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drawings/drawing10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1.xml" ContentType="application/vnd.openxmlformats-officedocument.drawing+xml"/>
  <Override PartName="/xl/comments6.xml" ContentType="application/vnd.openxmlformats-officedocument.spreadsheetml.comments+xml"/>
  <Override PartName="/xl/drawings/drawing12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classical_naca_airfoil_geometry\final_result\"/>
    </mc:Choice>
  </mc:AlternateContent>
  <xr:revisionPtr revIDLastSave="0" documentId="13_ncr:1_{AFC7FBAC-CF9A-44E9-8F2D-E272FEF5C753}" xr6:coauthVersionLast="47" xr6:coauthVersionMax="47" xr10:uidLastSave="{00000000-0000-0000-0000-000000000000}"/>
  <workbookProtection workbookAlgorithmName="SHA-512" workbookHashValue="fj8DUMSWaDMaJODoBx1VJbDIklepjmh/yt6s4Fl538GESnwHuNUCsZcanBIFafvW+MndThny1ZMnQ/WDfZj52Q==" workbookSaltValue="PZ9mBTzqv9gVx8n7kor9JQ==" workbookSpinCount="100000" lockStructure="1"/>
  <bookViews>
    <workbookView showVerticalScroll="0" showSheetTabs="0" xWindow="-108" yWindow="-108" windowWidth="23256" windowHeight="12456" xr2:uid="{C7B7226B-D5B4-4EF3-AAA0-D75BE5DCC693}"/>
  </bookViews>
  <sheets>
    <sheet name="Start_page" sheetId="5" r:id="rId1"/>
    <sheet name="Data1" sheetId="1" state="hidden" r:id="rId2"/>
    <sheet name="naca_4-digit_plot" sheetId="2" r:id="rId3"/>
    <sheet name="naca_4-digit_data" sheetId="16" r:id="rId4"/>
    <sheet name="Data2" sheetId="3" state="hidden" r:id="rId5"/>
    <sheet name="naca_5-digit_plot" sheetId="4" r:id="rId6"/>
    <sheet name="naca_5-digit_data" sheetId="17" r:id="rId7"/>
    <sheet name="Data3" sheetId="8" state="hidden" r:id="rId8"/>
    <sheet name="naca_4-digit_mod_plot" sheetId="6" r:id="rId9"/>
    <sheet name="naca_4-digit_mod_data" sheetId="18" r:id="rId10"/>
    <sheet name="Data4" sheetId="9" state="hidden" r:id="rId11"/>
    <sheet name="naca_5_mod_plot" sheetId="7" r:id="rId12"/>
    <sheet name="naca_5-digit_mod_data" sheetId="19" r:id="rId13"/>
    <sheet name="Data5" sheetId="14" state="hidden" r:id="rId14"/>
    <sheet name="naca_16-series_plot" sheetId="15" r:id="rId15"/>
    <sheet name="naca_16-series_data" sheetId="20" r:id="rId16"/>
    <sheet name="Data6" sheetId="22" state="hidden" r:id="rId17"/>
    <sheet name="naca_6-series_plot" sheetId="21" r:id="rId18"/>
    <sheet name="naca_6-series_data" sheetId="23" r:id="rId19"/>
  </sheets>
  <definedNames>
    <definedName name="_xlnm.Print_Area" localSheetId="0">Start_page!$A$1:$V$34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8" i="9" l="1"/>
  <c r="H4" i="7" s="1"/>
  <c r="S1" i="22"/>
  <c r="T1" i="22"/>
  <c r="U1" i="22"/>
  <c r="S2" i="22"/>
  <c r="T2" i="22"/>
  <c r="U2" i="22"/>
  <c r="S3" i="22"/>
  <c r="T3" i="22"/>
  <c r="U3" i="22"/>
  <c r="S4" i="22"/>
  <c r="T4" i="22"/>
  <c r="U4" i="22"/>
  <c r="S5" i="22"/>
  <c r="T5" i="22"/>
  <c r="U5" i="22"/>
  <c r="S6" i="22"/>
  <c r="T6" i="22"/>
  <c r="U6" i="22"/>
  <c r="S7" i="22"/>
  <c r="T7" i="22"/>
  <c r="U7" i="22"/>
  <c r="S8" i="22"/>
  <c r="T8" i="22"/>
  <c r="U8" i="22"/>
  <c r="S9" i="22"/>
  <c r="T9" i="22"/>
  <c r="U9" i="22"/>
  <c r="S10" i="22"/>
  <c r="T10" i="22"/>
  <c r="U10" i="22"/>
  <c r="S11" i="22"/>
  <c r="T11" i="22"/>
  <c r="U11" i="22"/>
  <c r="S12" i="22"/>
  <c r="T12" i="22"/>
  <c r="U12" i="22"/>
  <c r="S13" i="22"/>
  <c r="T13" i="22"/>
  <c r="U13" i="22"/>
  <c r="S14" i="22"/>
  <c r="T14" i="22"/>
  <c r="U14" i="22"/>
  <c r="S15" i="22"/>
  <c r="T15" i="22"/>
  <c r="U15" i="22"/>
  <c r="S16" i="22"/>
  <c r="T16" i="22"/>
  <c r="U16" i="22"/>
  <c r="S17" i="22"/>
  <c r="T17" i="22"/>
  <c r="U17" i="22"/>
  <c r="S18" i="22"/>
  <c r="T18" i="22"/>
  <c r="U18" i="22"/>
  <c r="S19" i="22"/>
  <c r="T19" i="22"/>
  <c r="U19" i="22"/>
  <c r="S20" i="22"/>
  <c r="T20" i="22"/>
  <c r="U20" i="22"/>
  <c r="S21" i="22"/>
  <c r="T21" i="22"/>
  <c r="U21" i="22"/>
  <c r="S22" i="22"/>
  <c r="T22" i="22"/>
  <c r="U22" i="22"/>
  <c r="S23" i="22"/>
  <c r="T23" i="22"/>
  <c r="U23" i="22"/>
  <c r="S24" i="22"/>
  <c r="T24" i="22"/>
  <c r="U24" i="22"/>
  <c r="S25" i="22"/>
  <c r="T25" i="22"/>
  <c r="U25" i="22"/>
  <c r="S26" i="22"/>
  <c r="T26" i="22"/>
  <c r="U26" i="22"/>
  <c r="S27" i="22"/>
  <c r="T27" i="22"/>
  <c r="U27" i="22"/>
  <c r="S28" i="22"/>
  <c r="T28" i="22"/>
  <c r="U28" i="22"/>
  <c r="S29" i="22"/>
  <c r="T29" i="22"/>
  <c r="U29" i="22"/>
  <c r="S30" i="22"/>
  <c r="Y30" i="22" s="1"/>
  <c r="T30" i="22"/>
  <c r="U30" i="22"/>
  <c r="S31" i="22"/>
  <c r="T31" i="22"/>
  <c r="U31" i="22"/>
  <c r="S32" i="22"/>
  <c r="T32" i="22"/>
  <c r="U32" i="22"/>
  <c r="S33" i="22"/>
  <c r="T33" i="22"/>
  <c r="U33" i="22"/>
  <c r="S34" i="22"/>
  <c r="T34" i="22"/>
  <c r="U34" i="22"/>
  <c r="S35" i="22"/>
  <c r="T35" i="22"/>
  <c r="U35" i="22"/>
  <c r="S36" i="22"/>
  <c r="T36" i="22"/>
  <c r="U36" i="22"/>
  <c r="S37" i="22"/>
  <c r="T37" i="22"/>
  <c r="U37" i="22"/>
  <c r="S38" i="22"/>
  <c r="T38" i="22"/>
  <c r="U38" i="22"/>
  <c r="S39" i="22"/>
  <c r="T39" i="22"/>
  <c r="U39" i="22"/>
  <c r="S40" i="22"/>
  <c r="T40" i="22"/>
  <c r="U40" i="22"/>
  <c r="S41" i="22"/>
  <c r="T41" i="22"/>
  <c r="U41" i="22"/>
  <c r="S42" i="22"/>
  <c r="AA42" i="22" s="1"/>
  <c r="T42" i="22"/>
  <c r="U42" i="22"/>
  <c r="S43" i="22"/>
  <c r="T43" i="22"/>
  <c r="U43" i="22"/>
  <c r="S44" i="22"/>
  <c r="T44" i="22"/>
  <c r="U44" i="22"/>
  <c r="S45" i="22"/>
  <c r="T45" i="22"/>
  <c r="U45" i="22"/>
  <c r="S46" i="22"/>
  <c r="T46" i="22"/>
  <c r="U46" i="22"/>
  <c r="S47" i="22"/>
  <c r="T47" i="22"/>
  <c r="U47" i="22"/>
  <c r="S48" i="22"/>
  <c r="T48" i="22"/>
  <c r="U48" i="22"/>
  <c r="S49" i="22"/>
  <c r="T49" i="22"/>
  <c r="U49" i="22"/>
  <c r="S50" i="22"/>
  <c r="T50" i="22"/>
  <c r="U50" i="22"/>
  <c r="S51" i="22"/>
  <c r="T51" i="22"/>
  <c r="U51" i="22"/>
  <c r="H2" i="7"/>
  <c r="A24" i="3"/>
  <c r="A2" i="3" s="1"/>
  <c r="A7" i="22"/>
  <c r="A8" i="22"/>
  <c r="H6" i="21" s="1"/>
  <c r="A6" i="8"/>
  <c r="H10" i="6"/>
  <c r="A5" i="8"/>
  <c r="A12" i="8"/>
  <c r="H2" i="6" s="1"/>
  <c r="A7" i="1"/>
  <c r="H8" i="2" s="1"/>
  <c r="A6" i="1"/>
  <c r="A5" i="1"/>
  <c r="A12" i="1"/>
  <c r="H4" i="2" s="1"/>
  <c r="AZ6" i="22"/>
  <c r="A11" i="22"/>
  <c r="AS6" i="22" s="1"/>
  <c r="Q1" i="14"/>
  <c r="A1" i="14" s="1"/>
  <c r="E10" i="14" s="1"/>
  <c r="AC2" i="22"/>
  <c r="AC3" i="22"/>
  <c r="AC4" i="22"/>
  <c r="AC5" i="22"/>
  <c r="AC6" i="22"/>
  <c r="AC7" i="22"/>
  <c r="AC8" i="22"/>
  <c r="AC9" i="22"/>
  <c r="AC10" i="22"/>
  <c r="AC11" i="22"/>
  <c r="AC12" i="22"/>
  <c r="AC13" i="22"/>
  <c r="AC14" i="22"/>
  <c r="AC15" i="22"/>
  <c r="AC16" i="22"/>
  <c r="AC17" i="22"/>
  <c r="AC18" i="22"/>
  <c r="AC19" i="22"/>
  <c r="AC20" i="22"/>
  <c r="AC21" i="22"/>
  <c r="AC22" i="22"/>
  <c r="AC23" i="22"/>
  <c r="AC24" i="22"/>
  <c r="AC25" i="22"/>
  <c r="AC26" i="22"/>
  <c r="AC27" i="22"/>
  <c r="AC28" i="22"/>
  <c r="AC29" i="22"/>
  <c r="AC30" i="22"/>
  <c r="AC31" i="22"/>
  <c r="AC32" i="22"/>
  <c r="AC33" i="22"/>
  <c r="AC34" i="22"/>
  <c r="AC35" i="22"/>
  <c r="AC36" i="22"/>
  <c r="AC37" i="22"/>
  <c r="AC38" i="22"/>
  <c r="AC39" i="22"/>
  <c r="AC40" i="22"/>
  <c r="AC41" i="22"/>
  <c r="AC42" i="22"/>
  <c r="AC43" i="22"/>
  <c r="AC44" i="22"/>
  <c r="AC45" i="22"/>
  <c r="AC46" i="22"/>
  <c r="AC47" i="22"/>
  <c r="AC48" i="22"/>
  <c r="AC49" i="22"/>
  <c r="AC50" i="22"/>
  <c r="AC51" i="22"/>
  <c r="AC1" i="22"/>
  <c r="AB2" i="22"/>
  <c r="AB3" i="22"/>
  <c r="AB4" i="22"/>
  <c r="AB5" i="22"/>
  <c r="AB6" i="22"/>
  <c r="AB7" i="22"/>
  <c r="AB8" i="22"/>
  <c r="AB9" i="22"/>
  <c r="AB10" i="22"/>
  <c r="AB11" i="22"/>
  <c r="AB12" i="22"/>
  <c r="AB13" i="22"/>
  <c r="AB14" i="22"/>
  <c r="AB15" i="22"/>
  <c r="AB16" i="22"/>
  <c r="AB17" i="22"/>
  <c r="AB18" i="22"/>
  <c r="AB19" i="22"/>
  <c r="AB20" i="22"/>
  <c r="AB21" i="22"/>
  <c r="AB22" i="22"/>
  <c r="AB23" i="22"/>
  <c r="AB24" i="22"/>
  <c r="AB25" i="22"/>
  <c r="AB26" i="22"/>
  <c r="AB27" i="22"/>
  <c r="AB28" i="22"/>
  <c r="AB29" i="22"/>
  <c r="AB30" i="22"/>
  <c r="AB31" i="22"/>
  <c r="AB32" i="22"/>
  <c r="AB33" i="22"/>
  <c r="AB34" i="22"/>
  <c r="AB35" i="22"/>
  <c r="AB36" i="22"/>
  <c r="AB37" i="22"/>
  <c r="AB38" i="22"/>
  <c r="AB39" i="22"/>
  <c r="AB40" i="22"/>
  <c r="AB41" i="22"/>
  <c r="AB42" i="22"/>
  <c r="AB43" i="22"/>
  <c r="AB44" i="22"/>
  <c r="AB45" i="22"/>
  <c r="AB46" i="22"/>
  <c r="AB47" i="22"/>
  <c r="AB48" i="22"/>
  <c r="AB49" i="22"/>
  <c r="AB50" i="22"/>
  <c r="AB51" i="22"/>
  <c r="AB1" i="22"/>
  <c r="Z2" i="22"/>
  <c r="Z3" i="22"/>
  <c r="Z4" i="22"/>
  <c r="Z5" i="22"/>
  <c r="Z6" i="22"/>
  <c r="Z7" i="22"/>
  <c r="Z8" i="22"/>
  <c r="Z9" i="22"/>
  <c r="Z10" i="22"/>
  <c r="Z11" i="22"/>
  <c r="Z12" i="22"/>
  <c r="Z13" i="22"/>
  <c r="Z14" i="22"/>
  <c r="Z15" i="22"/>
  <c r="Z16" i="22"/>
  <c r="Z17" i="22"/>
  <c r="Z18" i="22"/>
  <c r="Z19" i="22"/>
  <c r="Z20" i="22"/>
  <c r="Z21" i="22"/>
  <c r="Z22" i="22"/>
  <c r="Z23" i="22"/>
  <c r="Z24" i="22"/>
  <c r="Z25" i="22"/>
  <c r="Z26" i="22"/>
  <c r="Z27" i="22"/>
  <c r="Z28" i="22"/>
  <c r="Z29" i="22"/>
  <c r="Z30" i="22"/>
  <c r="Z31" i="22"/>
  <c r="Z32" i="22"/>
  <c r="Z33" i="22"/>
  <c r="Z34" i="22"/>
  <c r="Z35" i="22"/>
  <c r="Z36" i="22"/>
  <c r="Z37" i="22"/>
  <c r="Z38" i="22"/>
  <c r="Z39" i="22"/>
  <c r="Z40" i="22"/>
  <c r="Z41" i="22"/>
  <c r="Z42" i="22"/>
  <c r="Z43" i="22"/>
  <c r="Z44" i="22"/>
  <c r="Z45" i="22"/>
  <c r="Z46" i="22"/>
  <c r="Z47" i="22"/>
  <c r="Z48" i="22"/>
  <c r="Z49" i="22"/>
  <c r="Z50" i="22"/>
  <c r="Z51" i="22"/>
  <c r="Z1" i="22"/>
  <c r="X2" i="22"/>
  <c r="X3" i="22"/>
  <c r="X4" i="22"/>
  <c r="X5" i="22"/>
  <c r="X6" i="22"/>
  <c r="X7" i="22"/>
  <c r="X8" i="22"/>
  <c r="X9" i="22"/>
  <c r="X10" i="22"/>
  <c r="X11" i="22"/>
  <c r="X12" i="22"/>
  <c r="X13" i="22"/>
  <c r="X14" i="22"/>
  <c r="X15" i="22"/>
  <c r="X16" i="22"/>
  <c r="X17" i="22"/>
  <c r="X18" i="22"/>
  <c r="X19" i="22"/>
  <c r="X20" i="22"/>
  <c r="X21" i="22"/>
  <c r="X22" i="22"/>
  <c r="X23" i="22"/>
  <c r="X24" i="22"/>
  <c r="X25" i="22"/>
  <c r="X26" i="22"/>
  <c r="X27" i="22"/>
  <c r="X28" i="22"/>
  <c r="X29" i="22"/>
  <c r="X30" i="22"/>
  <c r="X31" i="22"/>
  <c r="X32" i="22"/>
  <c r="X33" i="22"/>
  <c r="X34" i="22"/>
  <c r="X35" i="22"/>
  <c r="X36" i="22"/>
  <c r="X37" i="22"/>
  <c r="X38" i="22"/>
  <c r="X39" i="22"/>
  <c r="X40" i="22"/>
  <c r="X41" i="22"/>
  <c r="X42" i="22"/>
  <c r="X43" i="22"/>
  <c r="X44" i="22"/>
  <c r="X45" i="22"/>
  <c r="X46" i="22"/>
  <c r="X47" i="22"/>
  <c r="X48" i="22"/>
  <c r="X49" i="22"/>
  <c r="X50" i="22"/>
  <c r="X51" i="22"/>
  <c r="X1" i="22"/>
  <c r="A14" i="22"/>
  <c r="A1" i="22" s="1"/>
  <c r="A12" i="22"/>
  <c r="AH1" i="14" a="1"/>
  <c r="AH1" i="14" s="1"/>
  <c r="A7" i="14"/>
  <c r="O1" i="14" s="1"/>
  <c r="A8" i="14"/>
  <c r="AE13" i="9"/>
  <c r="AE14" i="9"/>
  <c r="AE26" i="9"/>
  <c r="AE38" i="9"/>
  <c r="AI1" i="9" a="1"/>
  <c r="AI1" i="9" s="1"/>
  <c r="AF51" i="9"/>
  <c r="AF2" i="9"/>
  <c r="AF3" i="9"/>
  <c r="AF4" i="9"/>
  <c r="AF5" i="9"/>
  <c r="AF6" i="9"/>
  <c r="AF7" i="9"/>
  <c r="AF8" i="9"/>
  <c r="AF9" i="9"/>
  <c r="AF10" i="9"/>
  <c r="AF11" i="9"/>
  <c r="AF12" i="9"/>
  <c r="AF13" i="9"/>
  <c r="AF14" i="9"/>
  <c r="AF15" i="9"/>
  <c r="AF16" i="9"/>
  <c r="AF17" i="9"/>
  <c r="AF18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48" i="9"/>
  <c r="AF49" i="9"/>
  <c r="AF50" i="9"/>
  <c r="AF1" i="9"/>
  <c r="M13" i="9"/>
  <c r="M48" i="9"/>
  <c r="AE48" i="9" s="1"/>
  <c r="L12" i="9"/>
  <c r="L22" i="9"/>
  <c r="A14" i="9"/>
  <c r="M37" i="9" s="1"/>
  <c r="AE37" i="9" s="1"/>
  <c r="A15" i="9"/>
  <c r="AG1" i="8" a="1"/>
  <c r="AG1" i="8" s="1"/>
  <c r="A9" i="8"/>
  <c r="A10" i="8"/>
  <c r="AC1" i="3" a="1"/>
  <c r="AC1" i="3" s="1"/>
  <c r="A17" i="3"/>
  <c r="A18" i="3"/>
  <c r="V1" i="1" a="1"/>
  <c r="V1" i="1" s="1"/>
  <c r="A9" i="1"/>
  <c r="A10" i="1"/>
  <c r="L34" i="9" l="1"/>
  <c r="L24" i="9"/>
  <c r="L23" i="9"/>
  <c r="M38" i="9"/>
  <c r="M36" i="9"/>
  <c r="AE36" i="9" s="1"/>
  <c r="M26" i="9"/>
  <c r="L47" i="9"/>
  <c r="M25" i="9"/>
  <c r="AE25" i="9" s="1"/>
  <c r="L46" i="9"/>
  <c r="M24" i="9"/>
  <c r="AE24" i="9" s="1"/>
  <c r="L35" i="9"/>
  <c r="M14" i="9"/>
  <c r="L11" i="9"/>
  <c r="M2" i="9"/>
  <c r="AE2" i="9" s="1"/>
  <c r="M50" i="9"/>
  <c r="AE50" i="9" s="1"/>
  <c r="L48" i="9"/>
  <c r="M49" i="9"/>
  <c r="AE49" i="9" s="1"/>
  <c r="L36" i="9"/>
  <c r="A9" i="22"/>
  <c r="I2" i="21" s="1"/>
  <c r="B2" i="20"/>
  <c r="D77" i="1"/>
  <c r="D76" i="1"/>
  <c r="D25" i="1"/>
  <c r="D24" i="1"/>
  <c r="D62" i="1"/>
  <c r="D6" i="1"/>
  <c r="D63" i="1"/>
  <c r="D7" i="1"/>
  <c r="D61" i="1"/>
  <c r="D5" i="1"/>
  <c r="D60" i="1"/>
  <c r="D4" i="1"/>
  <c r="D99" i="1"/>
  <c r="D43" i="1"/>
  <c r="D98" i="1"/>
  <c r="D42" i="1"/>
  <c r="D97" i="1"/>
  <c r="D41" i="1"/>
  <c r="D96" i="1"/>
  <c r="D40" i="1"/>
  <c r="D79" i="1"/>
  <c r="D27" i="1"/>
  <c r="D78" i="1"/>
  <c r="D26" i="1"/>
  <c r="D91" i="1"/>
  <c r="D75" i="1"/>
  <c r="D55" i="1"/>
  <c r="D39" i="1"/>
  <c r="D19" i="1"/>
  <c r="D3" i="1"/>
  <c r="D90" i="1"/>
  <c r="D74" i="1"/>
  <c r="D54" i="1"/>
  <c r="D38" i="1"/>
  <c r="D18" i="1"/>
  <c r="D2" i="1"/>
  <c r="D89" i="1"/>
  <c r="D73" i="1"/>
  <c r="D53" i="1"/>
  <c r="D37" i="1"/>
  <c r="D17" i="1"/>
  <c r="D88" i="1"/>
  <c r="D72" i="1"/>
  <c r="D52" i="1"/>
  <c r="D36" i="1"/>
  <c r="D16" i="1"/>
  <c r="D1" i="1"/>
  <c r="D87" i="1"/>
  <c r="D67" i="1"/>
  <c r="D51" i="1"/>
  <c r="D31" i="1"/>
  <c r="D15" i="1"/>
  <c r="D102" i="1"/>
  <c r="D86" i="1"/>
  <c r="D66" i="1"/>
  <c r="D50" i="1"/>
  <c r="D30" i="1"/>
  <c r="D14" i="1"/>
  <c r="D101" i="1"/>
  <c r="D85" i="1"/>
  <c r="D65" i="1"/>
  <c r="D49" i="1"/>
  <c r="D29" i="1"/>
  <c r="D13" i="1"/>
  <c r="D100" i="1"/>
  <c r="D84" i="1"/>
  <c r="D64" i="1"/>
  <c r="D48" i="1"/>
  <c r="D28" i="1"/>
  <c r="D12" i="1"/>
  <c r="D95" i="1"/>
  <c r="D83" i="1"/>
  <c r="D71" i="1"/>
  <c r="D59" i="1"/>
  <c r="D47" i="1"/>
  <c r="D35" i="1"/>
  <c r="D23" i="1"/>
  <c r="D11" i="1"/>
  <c r="D94" i="1"/>
  <c r="D82" i="1"/>
  <c r="D70" i="1"/>
  <c r="D58" i="1"/>
  <c r="D46" i="1"/>
  <c r="D34" i="1"/>
  <c r="D22" i="1"/>
  <c r="D10" i="1"/>
  <c r="D93" i="1"/>
  <c r="D81" i="1"/>
  <c r="D69" i="1"/>
  <c r="D57" i="1"/>
  <c r="D45" i="1"/>
  <c r="D33" i="1"/>
  <c r="D21" i="1"/>
  <c r="D9" i="1"/>
  <c r="D92" i="1"/>
  <c r="D80" i="1"/>
  <c r="D68" i="1"/>
  <c r="D56" i="1"/>
  <c r="D44" i="1"/>
  <c r="D32" i="1"/>
  <c r="D20" i="1"/>
  <c r="D8" i="1"/>
  <c r="A6" i="22"/>
  <c r="L4" i="21" s="1"/>
  <c r="H2" i="21"/>
  <c r="A1" i="23" s="1"/>
  <c r="I2" i="4"/>
  <c r="H2" i="2"/>
  <c r="A20" i="3"/>
  <c r="E66" i="14"/>
  <c r="E3" i="14"/>
  <c r="E83" i="1"/>
  <c r="F83" i="1" s="1"/>
  <c r="E65" i="14"/>
  <c r="E64" i="14"/>
  <c r="E51" i="14"/>
  <c r="E50" i="14"/>
  <c r="E49" i="14"/>
  <c r="E99" i="14"/>
  <c r="E33" i="14"/>
  <c r="E98" i="14"/>
  <c r="E32" i="14"/>
  <c r="E2" i="14"/>
  <c r="E31" i="14"/>
  <c r="E18" i="14"/>
  <c r="E80" i="14"/>
  <c r="E17" i="14"/>
  <c r="E97" i="14"/>
  <c r="E81" i="14"/>
  <c r="E79" i="14"/>
  <c r="E16" i="14"/>
  <c r="E93" i="14"/>
  <c r="E78" i="14"/>
  <c r="E63" i="14"/>
  <c r="E45" i="14"/>
  <c r="E30" i="14"/>
  <c r="E15" i="14"/>
  <c r="E92" i="14"/>
  <c r="E77" i="14"/>
  <c r="E62" i="14"/>
  <c r="E44" i="14"/>
  <c r="E29" i="14"/>
  <c r="E14" i="14"/>
  <c r="E91" i="14"/>
  <c r="E76" i="14"/>
  <c r="E61" i="14"/>
  <c r="E43" i="14"/>
  <c r="E28" i="14"/>
  <c r="E13" i="14"/>
  <c r="E90" i="14"/>
  <c r="E75" i="14"/>
  <c r="E57" i="14"/>
  <c r="E42" i="14"/>
  <c r="E27" i="14"/>
  <c r="E9" i="14"/>
  <c r="E89" i="14"/>
  <c r="E74" i="14"/>
  <c r="E56" i="14"/>
  <c r="E41" i="14"/>
  <c r="E26" i="14"/>
  <c r="E8" i="14"/>
  <c r="E1" i="14"/>
  <c r="E88" i="14"/>
  <c r="E73" i="14"/>
  <c r="E55" i="14"/>
  <c r="E25" i="14"/>
  <c r="E40" i="14"/>
  <c r="E7" i="14"/>
  <c r="E102" i="14"/>
  <c r="E87" i="14"/>
  <c r="E69" i="14"/>
  <c r="E54" i="14"/>
  <c r="E39" i="14"/>
  <c r="E21" i="14"/>
  <c r="E6" i="14"/>
  <c r="E101" i="14"/>
  <c r="E86" i="14"/>
  <c r="E68" i="14"/>
  <c r="E53" i="14"/>
  <c r="E38" i="14"/>
  <c r="E20" i="14"/>
  <c r="E5" i="14"/>
  <c r="E100" i="14"/>
  <c r="E85" i="14"/>
  <c r="E67" i="14"/>
  <c r="E52" i="14"/>
  <c r="E37" i="14"/>
  <c r="E19" i="14"/>
  <c r="E4" i="14"/>
  <c r="E96" i="14"/>
  <c r="E84" i="14"/>
  <c r="E72" i="14"/>
  <c r="E60" i="14"/>
  <c r="E48" i="14"/>
  <c r="E36" i="14"/>
  <c r="E24" i="14"/>
  <c r="E12" i="14"/>
  <c r="E95" i="14"/>
  <c r="E83" i="14"/>
  <c r="E71" i="14"/>
  <c r="E59" i="14"/>
  <c r="E47" i="14"/>
  <c r="E35" i="14"/>
  <c r="E23" i="14"/>
  <c r="E11" i="14"/>
  <c r="E94" i="14"/>
  <c r="E82" i="14"/>
  <c r="E70" i="14"/>
  <c r="E58" i="14"/>
  <c r="E46" i="14"/>
  <c r="E34" i="14"/>
  <c r="E22" i="14"/>
  <c r="AA23" i="22"/>
  <c r="AA11" i="22"/>
  <c r="AA43" i="22"/>
  <c r="W51" i="22"/>
  <c r="Y1" i="22"/>
  <c r="C57" i="8"/>
  <c r="C53" i="8"/>
  <c r="C23" i="8"/>
  <c r="E82" i="8"/>
  <c r="F82" i="8" s="1"/>
  <c r="E48" i="8"/>
  <c r="F48" i="8" s="1"/>
  <c r="E47" i="8"/>
  <c r="F47" i="8" s="1"/>
  <c r="E31" i="8"/>
  <c r="F31" i="8" s="1"/>
  <c r="C52" i="8"/>
  <c r="C21" i="8"/>
  <c r="C93" i="8"/>
  <c r="C89" i="8"/>
  <c r="E1" i="8"/>
  <c r="F1" i="8" s="1"/>
  <c r="E11" i="8"/>
  <c r="F11" i="8" s="1"/>
  <c r="E30" i="8"/>
  <c r="F30" i="8" s="1"/>
  <c r="C17" i="8"/>
  <c r="C16" i="8"/>
  <c r="C88" i="8"/>
  <c r="E102" i="8"/>
  <c r="F102" i="8" s="1"/>
  <c r="E16" i="8"/>
  <c r="F16" i="8" s="1"/>
  <c r="C73" i="8"/>
  <c r="E88" i="8"/>
  <c r="F88" i="8" s="1"/>
  <c r="C95" i="8"/>
  <c r="E12" i="8"/>
  <c r="F12" i="8" s="1"/>
  <c r="C72" i="8"/>
  <c r="E84" i="8"/>
  <c r="F84" i="8" s="1"/>
  <c r="C59" i="8"/>
  <c r="E83" i="8"/>
  <c r="F83" i="8" s="1"/>
  <c r="C37" i="8"/>
  <c r="E67" i="8"/>
  <c r="F67" i="8" s="1"/>
  <c r="C36" i="8"/>
  <c r="E66" i="8"/>
  <c r="F66" i="8" s="1"/>
  <c r="E52" i="8"/>
  <c r="F52" i="8" s="1"/>
  <c r="C71" i="8"/>
  <c r="E100" i="8"/>
  <c r="F100" i="8" s="1"/>
  <c r="E64" i="8"/>
  <c r="F64" i="8" s="1"/>
  <c r="E28" i="8"/>
  <c r="F28" i="8" s="1"/>
  <c r="C35" i="8"/>
  <c r="C96" i="8"/>
  <c r="C60" i="8"/>
  <c r="C24" i="8"/>
  <c r="E90" i="8"/>
  <c r="F90" i="8" s="1"/>
  <c r="E54" i="8"/>
  <c r="F54" i="8" s="1"/>
  <c r="E18" i="8"/>
  <c r="F18" i="8" s="1"/>
  <c r="C87" i="8"/>
  <c r="C51" i="8"/>
  <c r="C15" i="8"/>
  <c r="E81" i="8"/>
  <c r="F81" i="8" s="1"/>
  <c r="E45" i="8"/>
  <c r="F45" i="8" s="1"/>
  <c r="E9" i="8"/>
  <c r="F9" i="8" s="1"/>
  <c r="C76" i="8"/>
  <c r="C40" i="8"/>
  <c r="C4" i="8"/>
  <c r="E70" i="8"/>
  <c r="F70" i="8" s="1"/>
  <c r="E34" i="8"/>
  <c r="F34" i="8" s="1"/>
  <c r="C75" i="8"/>
  <c r="C39" i="8"/>
  <c r="C3" i="8"/>
  <c r="E69" i="8"/>
  <c r="F69" i="8" s="1"/>
  <c r="E33" i="8"/>
  <c r="F33" i="8" s="1"/>
  <c r="E46" i="8"/>
  <c r="F46" i="8" s="1"/>
  <c r="E10" i="8"/>
  <c r="F10" i="8" s="1"/>
  <c r="C74" i="8"/>
  <c r="C38" i="8"/>
  <c r="C2" i="8"/>
  <c r="E68" i="8"/>
  <c r="F68" i="8" s="1"/>
  <c r="E32" i="8"/>
  <c r="F32" i="8" s="1"/>
  <c r="C86" i="8"/>
  <c r="C69" i="8"/>
  <c r="C50" i="8"/>
  <c r="C33" i="8"/>
  <c r="C14" i="8"/>
  <c r="E96" i="8"/>
  <c r="F96" i="8" s="1"/>
  <c r="E80" i="8"/>
  <c r="F80" i="8" s="1"/>
  <c r="E60" i="8"/>
  <c r="F60" i="8" s="1"/>
  <c r="E44" i="8"/>
  <c r="F44" i="8" s="1"/>
  <c r="E24" i="8"/>
  <c r="F24" i="8" s="1"/>
  <c r="E8" i="8"/>
  <c r="F8" i="8" s="1"/>
  <c r="C101" i="8"/>
  <c r="C49" i="8"/>
  <c r="C13" i="8"/>
  <c r="E79" i="8"/>
  <c r="F79" i="8" s="1"/>
  <c r="E43" i="8"/>
  <c r="F43" i="8" s="1"/>
  <c r="E23" i="8"/>
  <c r="F23" i="8" s="1"/>
  <c r="E7" i="8"/>
  <c r="F7" i="8" s="1"/>
  <c r="C85" i="8"/>
  <c r="C65" i="8"/>
  <c r="C29" i="8"/>
  <c r="E95" i="8"/>
  <c r="F95" i="8" s="1"/>
  <c r="E59" i="8"/>
  <c r="F59" i="8" s="1"/>
  <c r="C100" i="8"/>
  <c r="C84" i="8"/>
  <c r="C64" i="8"/>
  <c r="C48" i="8"/>
  <c r="C28" i="8"/>
  <c r="C12" i="8"/>
  <c r="E94" i="8"/>
  <c r="F94" i="8" s="1"/>
  <c r="E78" i="8"/>
  <c r="F78" i="8" s="1"/>
  <c r="E58" i="8"/>
  <c r="F58" i="8" s="1"/>
  <c r="E42" i="8"/>
  <c r="F42" i="8" s="1"/>
  <c r="E22" i="8"/>
  <c r="F22" i="8" s="1"/>
  <c r="E6" i="8"/>
  <c r="F6" i="8" s="1"/>
  <c r="H4" i="6"/>
  <c r="C99" i="8"/>
  <c r="C83" i="8"/>
  <c r="C63" i="8"/>
  <c r="C47" i="8"/>
  <c r="C27" i="8"/>
  <c r="C11" i="8"/>
  <c r="E93" i="8"/>
  <c r="F93" i="8" s="1"/>
  <c r="E76" i="8"/>
  <c r="F76" i="8" s="1"/>
  <c r="E57" i="8"/>
  <c r="F57" i="8" s="1"/>
  <c r="E40" i="8"/>
  <c r="F40" i="8" s="1"/>
  <c r="E21" i="8"/>
  <c r="F21" i="8" s="1"/>
  <c r="E4" i="8"/>
  <c r="F4" i="8" s="1"/>
  <c r="C98" i="8"/>
  <c r="C81" i="8"/>
  <c r="C62" i="8"/>
  <c r="C45" i="8"/>
  <c r="C26" i="8"/>
  <c r="C9" i="8"/>
  <c r="E92" i="8"/>
  <c r="F92" i="8" s="1"/>
  <c r="E72" i="8"/>
  <c r="F72" i="8" s="1"/>
  <c r="E56" i="8"/>
  <c r="F56" i="8" s="1"/>
  <c r="E36" i="8"/>
  <c r="F36" i="8" s="1"/>
  <c r="E20" i="8"/>
  <c r="F20" i="8" s="1"/>
  <c r="C97" i="8"/>
  <c r="C77" i="8"/>
  <c r="C61" i="8"/>
  <c r="C41" i="8"/>
  <c r="C25" i="8"/>
  <c r="C5" i="8"/>
  <c r="E91" i="8"/>
  <c r="F91" i="8" s="1"/>
  <c r="E71" i="8"/>
  <c r="F71" i="8" s="1"/>
  <c r="E55" i="8"/>
  <c r="F55" i="8" s="1"/>
  <c r="E35" i="8"/>
  <c r="F35" i="8" s="1"/>
  <c r="E19" i="8"/>
  <c r="F19" i="8" s="1"/>
  <c r="C1" i="8"/>
  <c r="C94" i="8"/>
  <c r="C82" i="8"/>
  <c r="C70" i="8"/>
  <c r="C58" i="8"/>
  <c r="C46" i="8"/>
  <c r="C34" i="8"/>
  <c r="C22" i="8"/>
  <c r="C10" i="8"/>
  <c r="E101" i="8"/>
  <c r="F101" i="8" s="1"/>
  <c r="E89" i="8"/>
  <c r="F89" i="8" s="1"/>
  <c r="E77" i="8"/>
  <c r="F77" i="8" s="1"/>
  <c r="E65" i="8"/>
  <c r="F65" i="8" s="1"/>
  <c r="E53" i="8"/>
  <c r="F53" i="8" s="1"/>
  <c r="E41" i="8"/>
  <c r="F41" i="8" s="1"/>
  <c r="E29" i="8"/>
  <c r="F29" i="8" s="1"/>
  <c r="E17" i="8"/>
  <c r="F17" i="8" s="1"/>
  <c r="E5" i="8"/>
  <c r="F5" i="8" s="1"/>
  <c r="H6" i="6"/>
  <c r="C92" i="8"/>
  <c r="C80" i="8"/>
  <c r="C68" i="8"/>
  <c r="C56" i="8"/>
  <c r="C44" i="8"/>
  <c r="C32" i="8"/>
  <c r="C20" i="8"/>
  <c r="C8" i="8"/>
  <c r="E99" i="8"/>
  <c r="F99" i="8" s="1"/>
  <c r="E87" i="8"/>
  <c r="F87" i="8" s="1"/>
  <c r="E75" i="8"/>
  <c r="F75" i="8" s="1"/>
  <c r="E63" i="8"/>
  <c r="F63" i="8" s="1"/>
  <c r="E51" i="8"/>
  <c r="F51" i="8" s="1"/>
  <c r="E39" i="8"/>
  <c r="F39" i="8" s="1"/>
  <c r="E27" i="8"/>
  <c r="F27" i="8" s="1"/>
  <c r="E15" i="8"/>
  <c r="F15" i="8" s="1"/>
  <c r="E3" i="8"/>
  <c r="F3" i="8" s="1"/>
  <c r="C91" i="8"/>
  <c r="C79" i="8"/>
  <c r="C67" i="8"/>
  <c r="C55" i="8"/>
  <c r="C43" i="8"/>
  <c r="C31" i="8"/>
  <c r="C19" i="8"/>
  <c r="C7" i="8"/>
  <c r="E98" i="8"/>
  <c r="F98" i="8" s="1"/>
  <c r="E86" i="8"/>
  <c r="F86" i="8" s="1"/>
  <c r="E74" i="8"/>
  <c r="F74" i="8" s="1"/>
  <c r="E62" i="8"/>
  <c r="F62" i="8" s="1"/>
  <c r="E50" i="8"/>
  <c r="F50" i="8" s="1"/>
  <c r="E38" i="8"/>
  <c r="F38" i="8" s="1"/>
  <c r="E26" i="8"/>
  <c r="F26" i="8" s="1"/>
  <c r="E14" i="8"/>
  <c r="F14" i="8" s="1"/>
  <c r="E2" i="8"/>
  <c r="F2" i="8" s="1"/>
  <c r="C102" i="8"/>
  <c r="C90" i="8"/>
  <c r="C78" i="8"/>
  <c r="C66" i="8"/>
  <c r="C54" i="8"/>
  <c r="C42" i="8"/>
  <c r="C30" i="8"/>
  <c r="C18" i="8"/>
  <c r="C6" i="8"/>
  <c r="E97" i="8"/>
  <c r="F97" i="8" s="1"/>
  <c r="E85" i="8"/>
  <c r="F85" i="8" s="1"/>
  <c r="E73" i="8"/>
  <c r="F73" i="8" s="1"/>
  <c r="E61" i="8"/>
  <c r="F61" i="8" s="1"/>
  <c r="E49" i="8"/>
  <c r="F49" i="8" s="1"/>
  <c r="E37" i="8"/>
  <c r="F37" i="8" s="1"/>
  <c r="E25" i="8"/>
  <c r="F25" i="8" s="1"/>
  <c r="E13" i="8"/>
  <c r="F13" i="8" s="1"/>
  <c r="C60" i="1"/>
  <c r="C59" i="1"/>
  <c r="E84" i="1"/>
  <c r="F84" i="1" s="1"/>
  <c r="E24" i="1"/>
  <c r="F24" i="1" s="1"/>
  <c r="E43" i="1"/>
  <c r="F43" i="1" s="1"/>
  <c r="E65" i="1"/>
  <c r="F65" i="1" s="1"/>
  <c r="E85" i="1"/>
  <c r="F85" i="1" s="1"/>
  <c r="C5" i="1"/>
  <c r="C24" i="1"/>
  <c r="C46" i="1"/>
  <c r="C66" i="1"/>
  <c r="C85" i="1"/>
  <c r="E5" i="1"/>
  <c r="F5" i="1" s="1"/>
  <c r="E28" i="1"/>
  <c r="F28" i="1" s="1"/>
  <c r="E48" i="1"/>
  <c r="F48" i="1" s="1"/>
  <c r="E67" i="1"/>
  <c r="F67" i="1" s="1"/>
  <c r="E89" i="1"/>
  <c r="F89" i="1" s="1"/>
  <c r="C7" i="1"/>
  <c r="C29" i="1"/>
  <c r="C48" i="1"/>
  <c r="C70" i="1"/>
  <c r="C90" i="1"/>
  <c r="E6" i="1"/>
  <c r="F6" i="1" s="1"/>
  <c r="E29" i="1"/>
  <c r="F29" i="1" s="1"/>
  <c r="E49" i="1"/>
  <c r="F49" i="1" s="1"/>
  <c r="E71" i="1"/>
  <c r="F71" i="1" s="1"/>
  <c r="E90" i="1"/>
  <c r="F90" i="1" s="1"/>
  <c r="C10" i="1"/>
  <c r="C30" i="1"/>
  <c r="C49" i="1"/>
  <c r="C71" i="1"/>
  <c r="C91" i="1"/>
  <c r="E7" i="1"/>
  <c r="F7" i="1" s="1"/>
  <c r="E30" i="1"/>
  <c r="F30" i="1" s="1"/>
  <c r="E52" i="1"/>
  <c r="F52" i="1" s="1"/>
  <c r="E72" i="1"/>
  <c r="F72" i="1" s="1"/>
  <c r="E91" i="1"/>
  <c r="F91" i="1" s="1"/>
  <c r="C11" i="1"/>
  <c r="C31" i="1"/>
  <c r="C53" i="1"/>
  <c r="C72" i="1"/>
  <c r="C94" i="1"/>
  <c r="E12" i="1"/>
  <c r="F12" i="1" s="1"/>
  <c r="E31" i="1"/>
  <c r="F31" i="1" s="1"/>
  <c r="E53" i="1"/>
  <c r="F53" i="1" s="1"/>
  <c r="E73" i="1"/>
  <c r="F73" i="1" s="1"/>
  <c r="E95" i="1"/>
  <c r="F95" i="1" s="1"/>
  <c r="C12" i="1"/>
  <c r="C34" i="1"/>
  <c r="C54" i="1"/>
  <c r="C73" i="1"/>
  <c r="E35" i="1"/>
  <c r="F35" i="1" s="1"/>
  <c r="E76" i="1"/>
  <c r="F76" i="1" s="1"/>
  <c r="C13" i="1"/>
  <c r="C77" i="1"/>
  <c r="E16" i="1"/>
  <c r="F16" i="1" s="1"/>
  <c r="E36" i="1"/>
  <c r="F36" i="1" s="1"/>
  <c r="E55" i="1"/>
  <c r="F55" i="1" s="1"/>
  <c r="E77" i="1"/>
  <c r="F77" i="1" s="1"/>
  <c r="C17" i="1"/>
  <c r="C36" i="1"/>
  <c r="C58" i="1"/>
  <c r="C78" i="1"/>
  <c r="C97" i="1"/>
  <c r="E17" i="1"/>
  <c r="F17" i="1" s="1"/>
  <c r="E37" i="1"/>
  <c r="F37" i="1" s="1"/>
  <c r="E59" i="1"/>
  <c r="F59" i="1" s="1"/>
  <c r="E78" i="1"/>
  <c r="F78" i="1" s="1"/>
  <c r="E100" i="1"/>
  <c r="F100" i="1" s="1"/>
  <c r="C18" i="1"/>
  <c r="E4" i="1"/>
  <c r="F4" i="1" s="1"/>
  <c r="E25" i="1"/>
  <c r="F25" i="1" s="1"/>
  <c r="E47" i="1"/>
  <c r="F47" i="1" s="1"/>
  <c r="E66" i="1"/>
  <c r="F66" i="1" s="1"/>
  <c r="E88" i="1"/>
  <c r="F88" i="1" s="1"/>
  <c r="C6" i="1"/>
  <c r="C25" i="1"/>
  <c r="C47" i="1"/>
  <c r="C67" i="1"/>
  <c r="C89" i="1"/>
  <c r="C95" i="1"/>
  <c r="E13" i="1"/>
  <c r="F13" i="1" s="1"/>
  <c r="E54" i="1"/>
  <c r="F54" i="1" s="1"/>
  <c r="E96" i="1"/>
  <c r="F96" i="1" s="1"/>
  <c r="C35" i="1"/>
  <c r="C55" i="1"/>
  <c r="C96" i="1"/>
  <c r="E97" i="1"/>
  <c r="F97" i="1" s="1"/>
  <c r="C43" i="1"/>
  <c r="H6" i="2"/>
  <c r="C1" i="1"/>
  <c r="C42" i="1"/>
  <c r="C84" i="1"/>
  <c r="E42" i="1"/>
  <c r="F42" i="1" s="1"/>
  <c r="C82" i="1"/>
  <c r="E40" i="1"/>
  <c r="F40" i="1" s="1"/>
  <c r="C79" i="1"/>
  <c r="E1" i="1"/>
  <c r="F1" i="1" s="1"/>
  <c r="E23" i="1"/>
  <c r="F23" i="1" s="1"/>
  <c r="E79" i="1"/>
  <c r="F79" i="1" s="1"/>
  <c r="E64" i="1"/>
  <c r="F64" i="1" s="1"/>
  <c r="C41" i="1"/>
  <c r="C37" i="1"/>
  <c r="C23" i="1"/>
  <c r="C22" i="1"/>
  <c r="C19" i="1"/>
  <c r="C65" i="1"/>
  <c r="E102" i="1"/>
  <c r="F102" i="1" s="1"/>
  <c r="E19" i="1"/>
  <c r="F19" i="1" s="1"/>
  <c r="C102" i="1"/>
  <c r="E61" i="1"/>
  <c r="F61" i="1" s="1"/>
  <c r="C101" i="1"/>
  <c r="E60" i="1"/>
  <c r="F60" i="1" s="1"/>
  <c r="C83" i="1"/>
  <c r="E41" i="1"/>
  <c r="F41" i="1" s="1"/>
  <c r="C61" i="1"/>
  <c r="E101" i="1"/>
  <c r="F101" i="1" s="1"/>
  <c r="E18" i="1"/>
  <c r="F18" i="1" s="1"/>
  <c r="C93" i="1"/>
  <c r="C81" i="1"/>
  <c r="C69" i="1"/>
  <c r="C57" i="1"/>
  <c r="C45" i="1"/>
  <c r="C33" i="1"/>
  <c r="C21" i="1"/>
  <c r="C9" i="1"/>
  <c r="E99" i="1"/>
  <c r="F99" i="1" s="1"/>
  <c r="E87" i="1"/>
  <c r="F87" i="1" s="1"/>
  <c r="E75" i="1"/>
  <c r="F75" i="1" s="1"/>
  <c r="E63" i="1"/>
  <c r="F63" i="1" s="1"/>
  <c r="E51" i="1"/>
  <c r="F51" i="1" s="1"/>
  <c r="E39" i="1"/>
  <c r="F39" i="1" s="1"/>
  <c r="E27" i="1"/>
  <c r="F27" i="1" s="1"/>
  <c r="E15" i="1"/>
  <c r="F15" i="1" s="1"/>
  <c r="E3" i="1"/>
  <c r="F3" i="1" s="1"/>
  <c r="C92" i="1"/>
  <c r="C80" i="1"/>
  <c r="C68" i="1"/>
  <c r="C56" i="1"/>
  <c r="C44" i="1"/>
  <c r="C32" i="1"/>
  <c r="C20" i="1"/>
  <c r="C8" i="1"/>
  <c r="E98" i="1"/>
  <c r="F98" i="1" s="1"/>
  <c r="E86" i="1"/>
  <c r="F86" i="1" s="1"/>
  <c r="E74" i="1"/>
  <c r="F74" i="1" s="1"/>
  <c r="E62" i="1"/>
  <c r="F62" i="1" s="1"/>
  <c r="E50" i="1"/>
  <c r="F50" i="1" s="1"/>
  <c r="E38" i="1"/>
  <c r="F38" i="1" s="1"/>
  <c r="E26" i="1"/>
  <c r="F26" i="1" s="1"/>
  <c r="E14" i="1"/>
  <c r="F14" i="1" s="1"/>
  <c r="E2" i="1"/>
  <c r="F2" i="1" s="1"/>
  <c r="E11" i="1"/>
  <c r="F11" i="1" s="1"/>
  <c r="C100" i="1"/>
  <c r="C88" i="1"/>
  <c r="C76" i="1"/>
  <c r="C64" i="1"/>
  <c r="C52" i="1"/>
  <c r="C40" i="1"/>
  <c r="C28" i="1"/>
  <c r="C16" i="1"/>
  <c r="C4" i="1"/>
  <c r="E94" i="1"/>
  <c r="F94" i="1" s="1"/>
  <c r="E82" i="1"/>
  <c r="F82" i="1" s="1"/>
  <c r="E70" i="1"/>
  <c r="F70" i="1" s="1"/>
  <c r="E58" i="1"/>
  <c r="F58" i="1" s="1"/>
  <c r="E46" i="1"/>
  <c r="F46" i="1" s="1"/>
  <c r="E34" i="1"/>
  <c r="F34" i="1" s="1"/>
  <c r="E22" i="1"/>
  <c r="F22" i="1" s="1"/>
  <c r="E10" i="1"/>
  <c r="F10" i="1" s="1"/>
  <c r="C99" i="1"/>
  <c r="C87" i="1"/>
  <c r="C75" i="1"/>
  <c r="C63" i="1"/>
  <c r="C51" i="1"/>
  <c r="C39" i="1"/>
  <c r="C27" i="1"/>
  <c r="C15" i="1"/>
  <c r="C3" i="1"/>
  <c r="E93" i="1"/>
  <c r="F93" i="1" s="1"/>
  <c r="E81" i="1"/>
  <c r="F81" i="1" s="1"/>
  <c r="E69" i="1"/>
  <c r="F69" i="1" s="1"/>
  <c r="E57" i="1"/>
  <c r="F57" i="1" s="1"/>
  <c r="E45" i="1"/>
  <c r="F45" i="1" s="1"/>
  <c r="E33" i="1"/>
  <c r="F33" i="1" s="1"/>
  <c r="E21" i="1"/>
  <c r="F21" i="1" s="1"/>
  <c r="E9" i="1"/>
  <c r="F9" i="1" s="1"/>
  <c r="C98" i="1"/>
  <c r="C86" i="1"/>
  <c r="C74" i="1"/>
  <c r="C62" i="1"/>
  <c r="C50" i="1"/>
  <c r="C38" i="1"/>
  <c r="C26" i="1"/>
  <c r="C14" i="1"/>
  <c r="C2" i="1"/>
  <c r="E92" i="1"/>
  <c r="F92" i="1" s="1"/>
  <c r="E80" i="1"/>
  <c r="F80" i="1" s="1"/>
  <c r="E68" i="1"/>
  <c r="F68" i="1" s="1"/>
  <c r="E56" i="1"/>
  <c r="F56" i="1" s="1"/>
  <c r="E44" i="1"/>
  <c r="F44" i="1" s="1"/>
  <c r="E32" i="1"/>
  <c r="F32" i="1" s="1"/>
  <c r="E20" i="1"/>
  <c r="F20" i="1" s="1"/>
  <c r="E8" i="1"/>
  <c r="F8" i="1" s="1"/>
  <c r="H4" i="21"/>
  <c r="AR18" i="22"/>
  <c r="AR17" i="22"/>
  <c r="AR6" i="22"/>
  <c r="AR5" i="22"/>
  <c r="AS19" i="22"/>
  <c r="AZ19" i="22" s="1"/>
  <c r="AS18" i="22"/>
  <c r="AZ18" i="22" s="1"/>
  <c r="AS7" i="22"/>
  <c r="AZ7" i="22" s="1"/>
  <c r="AR16" i="22"/>
  <c r="AS15" i="22"/>
  <c r="AZ15" i="22" s="1"/>
  <c r="AR25" i="22"/>
  <c r="AR13" i="22"/>
  <c r="AS26" i="22"/>
  <c r="AZ26" i="22" s="1"/>
  <c r="AS14" i="22"/>
  <c r="AZ14" i="22" s="1"/>
  <c r="AS2" i="22"/>
  <c r="AZ2" i="22" s="1"/>
  <c r="AR24" i="22"/>
  <c r="AR12" i="22"/>
  <c r="AS25" i="22"/>
  <c r="AZ25" i="22" s="1"/>
  <c r="AS13" i="22"/>
  <c r="AZ13" i="22" s="1"/>
  <c r="AR4" i="22"/>
  <c r="AS5" i="22"/>
  <c r="AZ5" i="22" s="1"/>
  <c r="AR15" i="22"/>
  <c r="AR3" i="22"/>
  <c r="AS16" i="22"/>
  <c r="AZ16" i="22" s="1"/>
  <c r="AS4" i="22"/>
  <c r="AZ4" i="22" s="1"/>
  <c r="AR14" i="22"/>
  <c r="AS3" i="22"/>
  <c r="AZ3" i="22" s="1"/>
  <c r="AR11" i="22"/>
  <c r="AS12" i="22"/>
  <c r="AZ12" i="22" s="1"/>
  <c r="AR22" i="22"/>
  <c r="AR10" i="22"/>
  <c r="AS23" i="22"/>
  <c r="AZ23" i="22" s="1"/>
  <c r="AS11" i="22"/>
  <c r="AZ11" i="22" s="1"/>
  <c r="AS17" i="22"/>
  <c r="AZ17" i="22" s="1"/>
  <c r="AR26" i="22"/>
  <c r="AS24" i="22"/>
  <c r="AZ24" i="22" s="1"/>
  <c r="AR21" i="22"/>
  <c r="AR9" i="22"/>
  <c r="AS22" i="22"/>
  <c r="AZ22" i="22" s="1"/>
  <c r="AS10" i="22"/>
  <c r="AZ10" i="22" s="1"/>
  <c r="AR20" i="22"/>
  <c r="AR8" i="22"/>
  <c r="AS21" i="22"/>
  <c r="AZ21" i="22" s="1"/>
  <c r="AS9" i="22"/>
  <c r="AZ9" i="22" s="1"/>
  <c r="AR1" i="22"/>
  <c r="AS1" i="22"/>
  <c r="AZ1" i="22" s="1"/>
  <c r="AR2" i="22"/>
  <c r="AR23" i="22"/>
  <c r="AR19" i="22"/>
  <c r="AR7" i="22"/>
  <c r="AS20" i="22"/>
  <c r="AZ20" i="22" s="1"/>
  <c r="AS8" i="22"/>
  <c r="AZ8" i="22" s="1"/>
  <c r="Y8" i="22"/>
  <c r="AA45" i="22"/>
  <c r="W41" i="22"/>
  <c r="AA29" i="22"/>
  <c r="Y19" i="22"/>
  <c r="AA18" i="22"/>
  <c r="W47" i="22"/>
  <c r="W35" i="22"/>
  <c r="Y37" i="22"/>
  <c r="AA24" i="22"/>
  <c r="AA12" i="22"/>
  <c r="Y14" i="22"/>
  <c r="Y2" i="22"/>
  <c r="Y7" i="22"/>
  <c r="Y6" i="22"/>
  <c r="W40" i="22"/>
  <c r="AA49" i="22"/>
  <c r="W49" i="22"/>
  <c r="W12" i="22"/>
  <c r="W34" i="22"/>
  <c r="Y18" i="22"/>
  <c r="AA47" i="22"/>
  <c r="Y44" i="22"/>
  <c r="W31" i="22"/>
  <c r="AA6" i="22"/>
  <c r="W29" i="22"/>
  <c r="W27" i="22"/>
  <c r="W33" i="22"/>
  <c r="W37" i="22"/>
  <c r="W32" i="22"/>
  <c r="W38" i="22"/>
  <c r="W24" i="22"/>
  <c r="Y43" i="22"/>
  <c r="Y15" i="22"/>
  <c r="Y3" i="22"/>
  <c r="Y41" i="22"/>
  <c r="AA41" i="22"/>
  <c r="AA40" i="22"/>
  <c r="Y40" i="22"/>
  <c r="AA39" i="22"/>
  <c r="Y39" i="22"/>
  <c r="W39" i="22"/>
  <c r="W50" i="22"/>
  <c r="AA50" i="22"/>
  <c r="Y50" i="22"/>
  <c r="AA48" i="22"/>
  <c r="W48" i="22"/>
  <c r="W36" i="22"/>
  <c r="Y36" i="22"/>
  <c r="AA35" i="22"/>
  <c r="Y35" i="22"/>
  <c r="W28" i="22"/>
  <c r="AA28" i="22"/>
  <c r="Y28" i="22"/>
  <c r="AA36" i="22"/>
  <c r="AA26" i="22"/>
  <c r="AA14" i="22"/>
  <c r="W42" i="22"/>
  <c r="Y51" i="22"/>
  <c r="Y29" i="22"/>
  <c r="AA37" i="22"/>
  <c r="AA25" i="22"/>
  <c r="AA13" i="22"/>
  <c r="Y24" i="22"/>
  <c r="Y12" i="22"/>
  <c r="W17" i="22"/>
  <c r="W5" i="22"/>
  <c r="Y49" i="22"/>
  <c r="Y26" i="22"/>
  <c r="AA30" i="22"/>
  <c r="W23" i="22"/>
  <c r="W11" i="22"/>
  <c r="W16" i="22"/>
  <c r="W4" i="22"/>
  <c r="Y47" i="22"/>
  <c r="Y42" i="22"/>
  <c r="Y48" i="22"/>
  <c r="Y22" i="22"/>
  <c r="Y10" i="22"/>
  <c r="Y21" i="22"/>
  <c r="Y9" i="22"/>
  <c r="AA51" i="22"/>
  <c r="W19" i="22"/>
  <c r="W7" i="22"/>
  <c r="AA19" i="22"/>
  <c r="W30" i="22"/>
  <c r="AA32" i="22"/>
  <c r="AA46" i="22"/>
  <c r="AA7" i="22"/>
  <c r="Y27" i="22"/>
  <c r="AA44" i="22"/>
  <c r="AA34" i="22"/>
  <c r="AA33" i="22"/>
  <c r="Y34" i="22"/>
  <c r="W46" i="22"/>
  <c r="Y46" i="22"/>
  <c r="Y33" i="22"/>
  <c r="W45" i="22"/>
  <c r="Y45" i="22"/>
  <c r="Y32" i="22"/>
  <c r="AA31" i="22"/>
  <c r="W44" i="22"/>
  <c r="Y31" i="22"/>
  <c r="Y38" i="22"/>
  <c r="W43" i="22"/>
  <c r="AA27" i="22"/>
  <c r="AA38" i="22"/>
  <c r="AA16" i="22"/>
  <c r="W22" i="22"/>
  <c r="W10" i="22"/>
  <c r="W9" i="22"/>
  <c r="Y17" i="22"/>
  <c r="Y5" i="22"/>
  <c r="AA21" i="22"/>
  <c r="AA9" i="22"/>
  <c r="Y20" i="22"/>
  <c r="W21" i="22"/>
  <c r="W20" i="22"/>
  <c r="W8" i="22"/>
  <c r="AA22" i="22"/>
  <c r="AA10" i="22"/>
  <c r="W1" i="22"/>
  <c r="W18" i="22"/>
  <c r="W6" i="22"/>
  <c r="Y16" i="22"/>
  <c r="Y4" i="22"/>
  <c r="AA20" i="22"/>
  <c r="AA8" i="22"/>
  <c r="W15" i="22"/>
  <c r="Y25" i="22"/>
  <c r="AA1" i="22"/>
  <c r="AA17" i="22"/>
  <c r="AA5" i="22"/>
  <c r="W26" i="22"/>
  <c r="W14" i="22"/>
  <c r="W2" i="22"/>
  <c r="AA4" i="22"/>
  <c r="W3" i="22"/>
  <c r="Y13" i="22"/>
  <c r="W25" i="22"/>
  <c r="W13" i="22"/>
  <c r="Y23" i="22"/>
  <c r="Y11" i="22"/>
  <c r="AA15" i="22"/>
  <c r="AA3" i="22"/>
  <c r="AA2" i="22"/>
  <c r="M3" i="9"/>
  <c r="AE3" i="9" s="1"/>
  <c r="M15" i="9"/>
  <c r="AE15" i="9" s="1"/>
  <c r="M27" i="9"/>
  <c r="AE27" i="9" s="1"/>
  <c r="M39" i="9"/>
  <c r="AE39" i="9" s="1"/>
  <c r="M51" i="9"/>
  <c r="AE51" i="9" s="1"/>
  <c r="L13" i="9"/>
  <c r="L25" i="9"/>
  <c r="L37" i="9"/>
  <c r="L49" i="9"/>
  <c r="M29" i="9"/>
  <c r="AE29" i="9" s="1"/>
  <c r="L3" i="9"/>
  <c r="L39" i="9"/>
  <c r="L29" i="9"/>
  <c r="L30" i="9"/>
  <c r="M33" i="9"/>
  <c r="AE33" i="9" s="1"/>
  <c r="M34" i="9"/>
  <c r="AE34" i="9" s="1"/>
  <c r="M1" i="9"/>
  <c r="AE1" i="9" s="1"/>
  <c r="L9" i="9"/>
  <c r="M4" i="9"/>
  <c r="AE4" i="9" s="1"/>
  <c r="M16" i="9"/>
  <c r="AE16" i="9" s="1"/>
  <c r="M28" i="9"/>
  <c r="AE28" i="9" s="1"/>
  <c r="M40" i="9"/>
  <c r="AE40" i="9" s="1"/>
  <c r="L2" i="9"/>
  <c r="L14" i="9"/>
  <c r="L26" i="9"/>
  <c r="L38" i="9"/>
  <c r="L50" i="9"/>
  <c r="M5" i="9"/>
  <c r="AE5" i="9" s="1"/>
  <c r="M41" i="9"/>
  <c r="AE41" i="9" s="1"/>
  <c r="L15" i="9"/>
  <c r="L51" i="9"/>
  <c r="M43" i="9"/>
  <c r="AE43" i="9" s="1"/>
  <c r="L6" i="9"/>
  <c r="P102" i="9"/>
  <c r="A103" i="19" s="1"/>
  <c r="L31" i="9"/>
  <c r="L32" i="9"/>
  <c r="M11" i="9"/>
  <c r="AE11" i="9" s="1"/>
  <c r="L33" i="9"/>
  <c r="M17" i="9"/>
  <c r="AE17" i="9" s="1"/>
  <c r="L27" i="9"/>
  <c r="L5" i="9"/>
  <c r="M44" i="9"/>
  <c r="AE44" i="9" s="1"/>
  <c r="M21" i="9"/>
  <c r="AE21" i="9" s="1"/>
  <c r="M46" i="9"/>
  <c r="AE46" i="9" s="1"/>
  <c r="M23" i="9"/>
  <c r="AE23" i="9" s="1"/>
  <c r="L45" i="9"/>
  <c r="M6" i="9"/>
  <c r="AE6" i="9" s="1"/>
  <c r="M18" i="9"/>
  <c r="AE18" i="9" s="1"/>
  <c r="M30" i="9"/>
  <c r="AE30" i="9" s="1"/>
  <c r="M42" i="9"/>
  <c r="AE42" i="9" s="1"/>
  <c r="L4" i="9"/>
  <c r="L16" i="9"/>
  <c r="L28" i="9"/>
  <c r="L40" i="9"/>
  <c r="Q1" i="9"/>
  <c r="B2" i="19" s="1"/>
  <c r="M7" i="9"/>
  <c r="AE7" i="9" s="1"/>
  <c r="M19" i="9"/>
  <c r="AE19" i="9" s="1"/>
  <c r="M31" i="9"/>
  <c r="AE31" i="9" s="1"/>
  <c r="L17" i="9"/>
  <c r="L41" i="9"/>
  <c r="P1" i="9"/>
  <c r="A2" i="19" s="1"/>
  <c r="Q102" i="9"/>
  <c r="B103" i="19" s="1"/>
  <c r="M8" i="9"/>
  <c r="AE8" i="9" s="1"/>
  <c r="M20" i="9"/>
  <c r="AE20" i="9" s="1"/>
  <c r="M32" i="9"/>
  <c r="AE32" i="9" s="1"/>
  <c r="L18" i="9"/>
  <c r="L42" i="9"/>
  <c r="M9" i="9"/>
  <c r="AE9" i="9" s="1"/>
  <c r="M45" i="9"/>
  <c r="AE45" i="9" s="1"/>
  <c r="L7" i="9"/>
  <c r="L19" i="9"/>
  <c r="L43" i="9"/>
  <c r="M10" i="9"/>
  <c r="AE10" i="9" s="1"/>
  <c r="M22" i="9"/>
  <c r="AE22" i="9" s="1"/>
  <c r="L8" i="9"/>
  <c r="L20" i="9"/>
  <c r="L44" i="9"/>
  <c r="M35" i="9"/>
  <c r="AE35" i="9" s="1"/>
  <c r="M47" i="9"/>
  <c r="AE47" i="9" s="1"/>
  <c r="L21" i="9"/>
  <c r="L1" i="9"/>
  <c r="L10" i="9"/>
  <c r="M12" i="9"/>
  <c r="AE12" i="9" s="1"/>
  <c r="U1" i="3"/>
  <c r="A2" i="17" s="1"/>
  <c r="N102" i="8"/>
  <c r="A103" i="18" s="1"/>
  <c r="N102" i="14"/>
  <c r="A103" i="20" s="1"/>
  <c r="O102" i="14"/>
  <c r="B103" i="20" s="1"/>
  <c r="O102" i="8"/>
  <c r="B103" i="18" s="1"/>
  <c r="O1" i="8"/>
  <c r="B2" i="18" s="1"/>
  <c r="N1" i="8"/>
  <c r="A2" i="18" s="1"/>
  <c r="N1" i="14"/>
  <c r="A2" i="20" s="1"/>
  <c r="V1" i="3"/>
  <c r="B2" i="17" s="1"/>
  <c r="V102" i="3"/>
  <c r="B103" i="17" s="1"/>
  <c r="U102" i="3"/>
  <c r="A103" i="17" s="1"/>
  <c r="N1" i="1"/>
  <c r="A2" i="16" s="1"/>
  <c r="O102" i="1"/>
  <c r="B103" i="16" s="1"/>
  <c r="O1" i="1"/>
  <c r="B2" i="16" s="1"/>
  <c r="N102" i="1"/>
  <c r="A103" i="16" s="1"/>
  <c r="AE1" i="22" l="1"/>
  <c r="AE2" i="22" s="1"/>
  <c r="H8" i="21"/>
  <c r="AE3" i="22"/>
  <c r="AJ21" i="22" s="1"/>
  <c r="AM2" i="22" a="1"/>
  <c r="AM2" i="22" s="1"/>
  <c r="AM6" i="22" a="1"/>
  <c r="AM6" i="22" s="1"/>
  <c r="A10" i="3" a="1"/>
  <c r="A10" i="3" s="1"/>
  <c r="A14" i="3" a="1"/>
  <c r="A14" i="3" s="1"/>
  <c r="A13" i="3" a="1"/>
  <c r="A13" i="3" s="1"/>
  <c r="AJ10" i="22"/>
  <c r="AM17" i="22" a="1"/>
  <c r="AM17" i="22" s="1"/>
  <c r="AM39" i="22" a="1"/>
  <c r="AM39" i="22" s="1"/>
  <c r="AM32" i="22" a="1"/>
  <c r="AM32" i="22" s="1"/>
  <c r="AM40" i="22" a="1"/>
  <c r="AM40" i="22" s="1"/>
  <c r="AM5" i="22" a="1"/>
  <c r="AM5" i="22" s="1"/>
  <c r="AM45" i="22" a="1"/>
  <c r="AM45" i="22" s="1"/>
  <c r="AM11" i="22" a="1"/>
  <c r="AM11" i="22" s="1"/>
  <c r="AM22" i="22" a="1"/>
  <c r="AM22" i="22" s="1"/>
  <c r="AM19" i="22" a="1"/>
  <c r="AM19" i="22" s="1"/>
  <c r="AM21" i="22" a="1"/>
  <c r="AM21" i="22" s="1"/>
  <c r="AM48" i="22" a="1"/>
  <c r="AM48" i="22" s="1"/>
  <c r="AM44" i="22" a="1"/>
  <c r="AM44" i="22" s="1"/>
  <c r="AM20" i="22" a="1"/>
  <c r="AM20" i="22" s="1"/>
  <c r="AM42" i="22" a="1"/>
  <c r="AM42" i="22" s="1"/>
  <c r="AM13" i="22" a="1"/>
  <c r="AM13" i="22" s="1"/>
  <c r="AM43" i="22" a="1"/>
  <c r="AM43" i="22" s="1"/>
  <c r="AM26" i="22" a="1"/>
  <c r="AM26" i="22" s="1"/>
  <c r="AM18" i="22" a="1"/>
  <c r="AM18" i="22" s="1"/>
  <c r="AM35" i="22" a="1"/>
  <c r="AM35" i="22" s="1"/>
  <c r="AM23" i="22" a="1"/>
  <c r="AM23" i="22" s="1"/>
  <c r="AM15" i="22" a="1"/>
  <c r="AM15" i="22" s="1"/>
  <c r="AM14" i="22" a="1"/>
  <c r="AM14" i="22" s="1"/>
  <c r="AM36" i="22" a="1"/>
  <c r="AM36" i="22" s="1"/>
  <c r="AM50" i="22" a="1"/>
  <c r="AM50" i="22" s="1"/>
  <c r="AM12" i="22" a="1"/>
  <c r="AM12" i="22" s="1"/>
  <c r="AM27" i="22" a="1"/>
  <c r="AM27" i="22" s="1"/>
  <c r="AM7" i="22" a="1"/>
  <c r="AM7" i="22" s="1"/>
  <c r="AM37" i="22" a="1"/>
  <c r="AM37" i="22" s="1"/>
  <c r="AM28" i="22" a="1"/>
  <c r="AM28" i="22" s="1"/>
  <c r="AM1" i="22" a="1"/>
  <c r="AM1" i="22" s="1"/>
  <c r="AM10" i="22" a="1"/>
  <c r="AM10" i="22" s="1"/>
  <c r="AM30" i="22" a="1"/>
  <c r="AM30" i="22" s="1"/>
  <c r="AM4" i="22" a="1"/>
  <c r="AM4" i="22" s="1"/>
  <c r="AM51" i="22" a="1"/>
  <c r="AM51" i="22" s="1"/>
  <c r="AM25" i="22" a="1"/>
  <c r="AM25" i="22" s="1"/>
  <c r="AM8" i="22" a="1"/>
  <c r="AM8" i="22" s="1"/>
  <c r="AM24" i="22" a="1"/>
  <c r="AM24" i="22" s="1"/>
  <c r="AM34" i="22" a="1"/>
  <c r="AM34" i="22" s="1"/>
  <c r="AM31" i="22" a="1"/>
  <c r="AM31" i="22" s="1"/>
  <c r="AM38" i="22" a="1"/>
  <c r="AM38" i="22" s="1"/>
  <c r="AM47" i="22" a="1"/>
  <c r="AM47" i="22" s="1"/>
  <c r="AM3" i="22" a="1"/>
  <c r="AM3" i="22" s="1"/>
  <c r="AM49" i="22" a="1"/>
  <c r="AM49" i="22" s="1"/>
  <c r="AM46" i="22" a="1"/>
  <c r="AM46" i="22" s="1"/>
  <c r="AM33" i="22" a="1"/>
  <c r="AM33" i="22" s="1"/>
  <c r="AM29" i="22" a="1"/>
  <c r="AM29" i="22" s="1"/>
  <c r="AM9" i="22" a="1"/>
  <c r="AM9" i="22" s="1"/>
  <c r="AM41" i="22" a="1"/>
  <c r="AM41" i="22" s="1"/>
  <c r="AM16" i="22" a="1"/>
  <c r="AM16" i="22" s="1"/>
  <c r="BB1" i="22" l="1"/>
  <c r="L6" i="21" s="1"/>
  <c r="AG45" i="22"/>
  <c r="AG44" i="22"/>
  <c r="AJ2" i="22"/>
  <c r="AG49" i="22"/>
  <c r="AJ49" i="22"/>
  <c r="AJ7" i="22"/>
  <c r="AG8" i="22"/>
  <c r="AG25" i="22"/>
  <c r="AG43" i="22"/>
  <c r="AG33" i="22"/>
  <c r="AG26" i="22"/>
  <c r="AJ15" i="22"/>
  <c r="AG31" i="22"/>
  <c r="AJ50" i="22"/>
  <c r="AG18" i="22"/>
  <c r="AJ40" i="22"/>
  <c r="AJ12" i="22"/>
  <c r="AJ29" i="22"/>
  <c r="AJ34" i="22"/>
  <c r="AJ36" i="22"/>
  <c r="AJ26" i="22"/>
  <c r="AG48" i="22"/>
  <c r="AI48" i="22" s="1"/>
  <c r="AJ16" i="22"/>
  <c r="AJ8" i="22"/>
  <c r="AG27" i="22"/>
  <c r="AJ11" i="22"/>
  <c r="AG21" i="22"/>
  <c r="AJ42" i="22"/>
  <c r="AJ51" i="22"/>
  <c r="AJ20" i="22"/>
  <c r="AG40" i="22"/>
  <c r="AJ22" i="22"/>
  <c r="AG11" i="22"/>
  <c r="AG42" i="22"/>
  <c r="AG3" i="22"/>
  <c r="AJ13" i="22"/>
  <c r="AG41" i="22"/>
  <c r="AG12" i="22"/>
  <c r="AJ14" i="22"/>
  <c r="AG9" i="22"/>
  <c r="AJ3" i="22"/>
  <c r="AG14" i="22"/>
  <c r="AG47" i="22"/>
  <c r="AG29" i="22"/>
  <c r="AG15" i="22"/>
  <c r="AJ44" i="22"/>
  <c r="AG28" i="22"/>
  <c r="AJ25" i="22"/>
  <c r="AJ43" i="22"/>
  <c r="AG7" i="22"/>
  <c r="AJ4" i="22"/>
  <c r="AG50" i="22"/>
  <c r="AG36" i="22"/>
  <c r="AG17" i="22"/>
  <c r="AG6" i="22"/>
  <c r="AJ41" i="22"/>
  <c r="AG39" i="22"/>
  <c r="AG46" i="22"/>
  <c r="AJ5" i="22"/>
  <c r="AJ46" i="22"/>
  <c r="AG30" i="22"/>
  <c r="AG32" i="22"/>
  <c r="AG5" i="22"/>
  <c r="AJ33" i="22"/>
  <c r="AG2" i="22"/>
  <c r="AG34" i="22"/>
  <c r="AG38" i="22"/>
  <c r="AJ19" i="22"/>
  <c r="AJ45" i="22"/>
  <c r="AG22" i="22"/>
  <c r="AJ1" i="22"/>
  <c r="AG1" i="22"/>
  <c r="AG23" i="22"/>
  <c r="AJ6" i="22"/>
  <c r="AJ38" i="22"/>
  <c r="AJ17" i="22"/>
  <c r="AJ24" i="22"/>
  <c r="AJ48" i="22"/>
  <c r="AJ39" i="22"/>
  <c r="AJ35" i="22"/>
  <c r="AJ18" i="22"/>
  <c r="AJ23" i="22"/>
  <c r="AG37" i="22"/>
  <c r="AG51" i="22"/>
  <c r="AJ9" i="22"/>
  <c r="AG4" i="22"/>
  <c r="AG10" i="22"/>
  <c r="AJ47" i="22"/>
  <c r="AJ31" i="22"/>
  <c r="AJ30" i="22"/>
  <c r="AG20" i="22"/>
  <c r="AJ28" i="22"/>
  <c r="AG35" i="22"/>
  <c r="AG19" i="22"/>
  <c r="AG24" i="22"/>
  <c r="AG16" i="22"/>
  <c r="AJ37" i="22"/>
  <c r="AJ32" i="22"/>
  <c r="AG13" i="22"/>
  <c r="AJ27" i="22"/>
  <c r="AH47" i="22"/>
  <c r="AH31" i="22"/>
  <c r="AI31" i="22" s="1"/>
  <c r="AK46" i="22"/>
  <c r="AH10" i="22"/>
  <c r="AH48" i="22"/>
  <c r="AK38" i="22"/>
  <c r="AH12" i="22"/>
  <c r="AI12" i="22" s="1"/>
  <c r="AT12" i="22" s="1"/>
  <c r="AK30" i="22"/>
  <c r="AK20" i="22"/>
  <c r="AK3" i="22"/>
  <c r="AK45" i="22"/>
  <c r="AK42" i="22"/>
  <c r="AL42" i="22" s="1"/>
  <c r="AN42" i="22" s="1"/>
  <c r="AK5" i="22"/>
  <c r="AH26" i="22"/>
  <c r="AH27" i="22"/>
  <c r="AI27" i="22" s="1"/>
  <c r="AK14" i="22"/>
  <c r="AL14" i="22" s="1"/>
  <c r="AN14" i="22" s="1"/>
  <c r="AH17" i="22"/>
  <c r="AI17" i="22" s="1"/>
  <c r="AU17" i="22" s="1"/>
  <c r="BA17" i="22" s="1"/>
  <c r="AH43" i="22"/>
  <c r="AI43" i="22" s="1"/>
  <c r="AH16" i="22"/>
  <c r="AH37" i="22"/>
  <c r="AK29" i="22"/>
  <c r="AK1" i="22"/>
  <c r="AK48" i="22"/>
  <c r="AH22" i="22"/>
  <c r="AK8" i="22"/>
  <c r="AK12" i="22"/>
  <c r="AK43" i="22"/>
  <c r="AL43" i="22" s="1"/>
  <c r="AN43" i="22" s="1"/>
  <c r="AH42" i="22"/>
  <c r="AH50" i="22"/>
  <c r="AK49" i="22"/>
  <c r="AK39" i="22"/>
  <c r="AL39" i="22" s="1"/>
  <c r="AN39" i="22" s="1"/>
  <c r="AH8" i="22"/>
  <c r="AH7" i="22"/>
  <c r="AH25" i="22"/>
  <c r="AH2" i="22"/>
  <c r="AK24" i="22"/>
  <c r="AH21" i="22"/>
  <c r="AH3" i="22"/>
  <c r="AK15" i="22"/>
  <c r="AK33" i="22"/>
  <c r="AL33" i="22" s="1"/>
  <c r="AN33" i="22" s="1"/>
  <c r="AH32" i="22"/>
  <c r="AI32" i="22" s="1"/>
  <c r="AK50" i="22"/>
  <c r="AL50" i="22" s="1"/>
  <c r="AN50" i="22" s="1"/>
  <c r="AK21" i="22"/>
  <c r="AL21" i="22" s="1"/>
  <c r="AN21" i="22" s="1"/>
  <c r="AK51" i="22"/>
  <c r="AK6" i="22"/>
  <c r="AK13" i="22"/>
  <c r="AK23" i="22"/>
  <c r="AH39" i="22"/>
  <c r="AK2" i="22"/>
  <c r="AK40" i="22"/>
  <c r="AH51" i="22"/>
  <c r="AH18" i="22"/>
  <c r="AI18" i="22" s="1"/>
  <c r="AU18" i="22" s="1"/>
  <c r="BA18" i="22" s="1"/>
  <c r="AK4" i="22"/>
  <c r="AL4" i="22" s="1"/>
  <c r="AN4" i="22" s="1"/>
  <c r="AH49" i="22"/>
  <c r="AH40" i="22"/>
  <c r="AI40" i="22" s="1"/>
  <c r="AH9" i="22"/>
  <c r="AK36" i="22"/>
  <c r="AH30" i="22"/>
  <c r="AH28" i="22"/>
  <c r="AH24" i="22"/>
  <c r="AK19" i="22"/>
  <c r="AK16" i="22"/>
  <c r="AH19" i="22"/>
  <c r="AK47" i="22"/>
  <c r="AL47" i="22" s="1"/>
  <c r="AN47" i="22" s="1"/>
  <c r="AK34" i="22"/>
  <c r="AK41" i="22"/>
  <c r="AK28" i="22"/>
  <c r="AH20" i="22"/>
  <c r="AH14" i="22"/>
  <c r="AH38" i="22"/>
  <c r="AH34" i="22"/>
  <c r="AH46" i="22"/>
  <c r="AH6" i="22"/>
  <c r="AK35" i="22"/>
  <c r="AK44" i="22"/>
  <c r="AH35" i="22"/>
  <c r="AH15" i="22"/>
  <c r="AI15" i="22" s="1"/>
  <c r="AU15" i="22" s="1"/>
  <c r="BA15" i="22" s="1"/>
  <c r="AH29" i="22"/>
  <c r="AK7" i="22"/>
  <c r="AL7" i="22" s="1"/>
  <c r="AN7" i="22" s="1"/>
  <c r="AH13" i="22"/>
  <c r="AH23" i="22"/>
  <c r="AI23" i="22" s="1"/>
  <c r="AU23" i="22" s="1"/>
  <c r="BA23" i="22" s="1"/>
  <c r="AK26" i="22"/>
  <c r="AH33" i="22"/>
  <c r="AK10" i="22"/>
  <c r="AL10" i="22" s="1"/>
  <c r="AN10" i="22" s="1"/>
  <c r="AH5" i="22"/>
  <c r="AH41" i="22"/>
  <c r="AI41" i="22" s="1"/>
  <c r="AK27" i="22"/>
  <c r="AL27" i="22" s="1"/>
  <c r="AN27" i="22" s="1"/>
  <c r="AH45" i="22"/>
  <c r="AI45" i="22" s="1"/>
  <c r="AK22" i="22"/>
  <c r="AH4" i="22"/>
  <c r="AI4" i="22" s="1"/>
  <c r="AU4" i="22" s="1"/>
  <c r="BA4" i="22" s="1"/>
  <c r="AH36" i="22"/>
  <c r="AK37" i="22"/>
  <c r="AH44" i="22"/>
  <c r="AK32" i="22"/>
  <c r="AL32" i="22" s="1"/>
  <c r="AN32" i="22" s="1"/>
  <c r="AH1" i="22"/>
  <c r="AK25" i="22"/>
  <c r="AH11" i="22"/>
  <c r="AK17" i="22"/>
  <c r="AK11" i="22"/>
  <c r="AL11" i="22" s="1"/>
  <c r="AN11" i="22" s="1"/>
  <c r="AK31" i="22"/>
  <c r="AL31" i="22" s="1"/>
  <c r="AN31" i="22" s="1"/>
  <c r="AK9" i="22"/>
  <c r="AL9" i="22" s="1"/>
  <c r="AN9" i="22" s="1"/>
  <c r="AK18" i="22"/>
  <c r="AL18" i="22" s="1"/>
  <c r="AN18" i="22" s="1"/>
  <c r="B52" i="14" a="1"/>
  <c r="B1" i="14" a="1"/>
  <c r="B52" i="9" a="1"/>
  <c r="B52" i="9" s="1"/>
  <c r="B1" i="9" a="1"/>
  <c r="B1" i="9" s="1"/>
  <c r="B52" i="8" a="1"/>
  <c r="B52" i="8" s="1"/>
  <c r="B1" i="8" a="1"/>
  <c r="B52" i="3" a="1"/>
  <c r="B1" i="3" a="1"/>
  <c r="B52" i="1" a="1"/>
  <c r="B52" i="1" s="1"/>
  <c r="B1" i="1" a="1"/>
  <c r="A1" i="18"/>
  <c r="X1" i="14"/>
  <c r="Y1" i="9"/>
  <c r="W1" i="8"/>
  <c r="H2" i="15"/>
  <c r="A1" i="20" s="1"/>
  <c r="AI30" i="22" l="1"/>
  <c r="AL37" i="22"/>
  <c r="AN37" i="22" s="1"/>
  <c r="AI10" i="22"/>
  <c r="AU10" i="22" s="1"/>
  <c r="BA10" i="22" s="1"/>
  <c r="AI13" i="22"/>
  <c r="AU13" i="22" s="1"/>
  <c r="BA13" i="22" s="1"/>
  <c r="AI20" i="22"/>
  <c r="AU20" i="22" s="1"/>
  <c r="BA20" i="22" s="1"/>
  <c r="AI9" i="22"/>
  <c r="AU9" i="22" s="1"/>
  <c r="BA9" i="22" s="1"/>
  <c r="AI8" i="22"/>
  <c r="AU8" i="22" s="1"/>
  <c r="BA8" i="22" s="1"/>
  <c r="AI37" i="22"/>
  <c r="AI29" i="22"/>
  <c r="AI49" i="22"/>
  <c r="AL49" i="22"/>
  <c r="AN49" i="22" s="1"/>
  <c r="AO49" i="22" s="1"/>
  <c r="AL38" i="22"/>
  <c r="AN38" i="22" s="1"/>
  <c r="AO38" i="22" s="1"/>
  <c r="AL51" i="22"/>
  <c r="AN51" i="22" s="1"/>
  <c r="AO51" i="22" s="1"/>
  <c r="AI36" i="22"/>
  <c r="AL28" i="22"/>
  <c r="AN28" i="22" s="1"/>
  <c r="AO28" i="22" s="1"/>
  <c r="AL22" i="22"/>
  <c r="AN22" i="22" s="1"/>
  <c r="AO22" i="22" s="1"/>
  <c r="AL34" i="22"/>
  <c r="AN34" i="22" s="1"/>
  <c r="AO34" i="22" s="1"/>
  <c r="AI50" i="22"/>
  <c r="AP50" i="22" s="1"/>
  <c r="AL12" i="22"/>
  <c r="AN12" i="22" s="1"/>
  <c r="AP12" i="22" s="1"/>
  <c r="AI44" i="22"/>
  <c r="AL15" i="22"/>
  <c r="AN15" i="22" s="1"/>
  <c r="AO15" i="22" s="1"/>
  <c r="AL17" i="22"/>
  <c r="AN17" i="22" s="1"/>
  <c r="AO17" i="22" s="1"/>
  <c r="AL40" i="22"/>
  <c r="AN40" i="22" s="1"/>
  <c r="AO40" i="22" s="1"/>
  <c r="AI26" i="22"/>
  <c r="AU26" i="22" s="1"/>
  <c r="BA26" i="22" s="1"/>
  <c r="AI5" i="22"/>
  <c r="AU5" i="22" s="1"/>
  <c r="BA5" i="22" s="1"/>
  <c r="AL2" i="22"/>
  <c r="AN2" i="22" s="1"/>
  <c r="AO2" i="22" s="1"/>
  <c r="AI21" i="22"/>
  <c r="AT21" i="22" s="1"/>
  <c r="AL41" i="22"/>
  <c r="AN41" i="22" s="1"/>
  <c r="AP41" i="22" s="1"/>
  <c r="AI33" i="22"/>
  <c r="AP33" i="22" s="1"/>
  <c r="AI25" i="22"/>
  <c r="AT25" i="22" s="1"/>
  <c r="AI47" i="22"/>
  <c r="AP47" i="22" s="1"/>
  <c r="AP31" i="22"/>
  <c r="AL30" i="22"/>
  <c r="AN30" i="22" s="1"/>
  <c r="AO30" i="22" s="1"/>
  <c r="AI16" i="22"/>
  <c r="AT16" i="22" s="1"/>
  <c r="AI35" i="22"/>
  <c r="AI42" i="22"/>
  <c r="AP42" i="22" s="1"/>
  <c r="AL44" i="22"/>
  <c r="AN44" i="22" s="1"/>
  <c r="AI19" i="22"/>
  <c r="AT19" i="22" s="1"/>
  <c r="AI51" i="22"/>
  <c r="AL46" i="22"/>
  <c r="AN46" i="22" s="1"/>
  <c r="AO46" i="22" s="1"/>
  <c r="AL35" i="22"/>
  <c r="AN35" i="22" s="1"/>
  <c r="AL16" i="22"/>
  <c r="AN16" i="22" s="1"/>
  <c r="AO16" i="22" s="1"/>
  <c r="AI3" i="22"/>
  <c r="AU3" i="22" s="1"/>
  <c r="BA3" i="22" s="1"/>
  <c r="AI11" i="22"/>
  <c r="AT11" i="22" s="1"/>
  <c r="AI6" i="22"/>
  <c r="AT6" i="22" s="1"/>
  <c r="AL19" i="22"/>
  <c r="AN19" i="22" s="1"/>
  <c r="AO19" i="22" s="1"/>
  <c r="AL8" i="22"/>
  <c r="AN8" i="22" s="1"/>
  <c r="AO8" i="22" s="1"/>
  <c r="AL5" i="22"/>
  <c r="AN5" i="22" s="1"/>
  <c r="AO5" i="22" s="1"/>
  <c r="AL25" i="22"/>
  <c r="AN25" i="22" s="1"/>
  <c r="AI46" i="22"/>
  <c r="AI24" i="22"/>
  <c r="AU24" i="22" s="1"/>
  <c r="BA24" i="22" s="1"/>
  <c r="AI39" i="22"/>
  <c r="AP39" i="22" s="1"/>
  <c r="AL24" i="22"/>
  <c r="AN24" i="22" s="1"/>
  <c r="AO24" i="22" s="1"/>
  <c r="AI22" i="22"/>
  <c r="AU22" i="22" s="1"/>
  <c r="BA22" i="22" s="1"/>
  <c r="AI1" i="22"/>
  <c r="AT1" i="22" s="1"/>
  <c r="AI34" i="22"/>
  <c r="AP34" i="22" s="1"/>
  <c r="AI28" i="22"/>
  <c r="AL23" i="22"/>
  <c r="AN23" i="22" s="1"/>
  <c r="AO23" i="22" s="1"/>
  <c r="AI2" i="22"/>
  <c r="AU2" i="22" s="1"/>
  <c r="BA2" i="22" s="1"/>
  <c r="AL48" i="22"/>
  <c r="AN48" i="22" s="1"/>
  <c r="AP48" i="22" s="1"/>
  <c r="AL45" i="22"/>
  <c r="AN45" i="22" s="1"/>
  <c r="AP45" i="22" s="1"/>
  <c r="AL26" i="22"/>
  <c r="AN26" i="22" s="1"/>
  <c r="AI38" i="22"/>
  <c r="AL13" i="22"/>
  <c r="AN13" i="22" s="1"/>
  <c r="AP13" i="22" s="1"/>
  <c r="AL1" i="22"/>
  <c r="AN1" i="22" s="1"/>
  <c r="AO1" i="22" s="1"/>
  <c r="AL3" i="22"/>
  <c r="AN3" i="22" s="1"/>
  <c r="AO3" i="22" s="1"/>
  <c r="AI14" i="22"/>
  <c r="AU14" i="22" s="1"/>
  <c r="BA14" i="22" s="1"/>
  <c r="AL36" i="22"/>
  <c r="AN36" i="22" s="1"/>
  <c r="AO36" i="22" s="1"/>
  <c r="AL6" i="22"/>
  <c r="AN6" i="22" s="1"/>
  <c r="AO6" i="22" s="1"/>
  <c r="AI7" i="22"/>
  <c r="AU7" i="22" s="1"/>
  <c r="BA7" i="22" s="1"/>
  <c r="AL29" i="22"/>
  <c r="AN29" i="22" s="1"/>
  <c r="AO29" i="22" s="1"/>
  <c r="AL20" i="22"/>
  <c r="AN20" i="22" s="1"/>
  <c r="AO20" i="22" s="1"/>
  <c r="AP43" i="22"/>
  <c r="AU12" i="22"/>
  <c r="BA12" i="22" s="1"/>
  <c r="AT18" i="22"/>
  <c r="AP18" i="22"/>
  <c r="AT17" i="22"/>
  <c r="AT23" i="22"/>
  <c r="AT13" i="22"/>
  <c r="AP37" i="22"/>
  <c r="AP27" i="22"/>
  <c r="AP9" i="22"/>
  <c r="AT9" i="22"/>
  <c r="AP10" i="22"/>
  <c r="AP4" i="22"/>
  <c r="AT4" i="22"/>
  <c r="AT15" i="22"/>
  <c r="AP32" i="22"/>
  <c r="AO42" i="22"/>
  <c r="B1" i="8"/>
  <c r="K8" i="8"/>
  <c r="AC8" i="8" s="1"/>
  <c r="K42" i="8"/>
  <c r="AC42" i="8" s="1"/>
  <c r="K2" i="8"/>
  <c r="AC2" i="8" s="1"/>
  <c r="K28" i="8"/>
  <c r="AC28" i="8" s="1"/>
  <c r="K18" i="8"/>
  <c r="AC18" i="8" s="1"/>
  <c r="J29" i="8"/>
  <c r="J41" i="8"/>
  <c r="K12" i="8"/>
  <c r="AC12" i="8" s="1"/>
  <c r="J8" i="8"/>
  <c r="K21" i="8"/>
  <c r="AC21" i="8" s="1"/>
  <c r="J13" i="8"/>
  <c r="K27" i="8"/>
  <c r="AC27" i="8" s="1"/>
  <c r="J28" i="8"/>
  <c r="J48" i="8"/>
  <c r="J2" i="8"/>
  <c r="K34" i="8"/>
  <c r="AC34" i="8" s="1"/>
  <c r="K17" i="8"/>
  <c r="AC17" i="8" s="1"/>
  <c r="K47" i="8"/>
  <c r="AC47" i="8" s="1"/>
  <c r="J18" i="8"/>
  <c r="K51" i="8"/>
  <c r="AC51" i="8" s="1"/>
  <c r="J51" i="8"/>
  <c r="K35" i="8"/>
  <c r="AC35" i="8" s="1"/>
  <c r="J6" i="8"/>
  <c r="J49" i="8"/>
  <c r="J38" i="8"/>
  <c r="J25" i="8"/>
  <c r="J19" i="8"/>
  <c r="J39" i="8"/>
  <c r="J5" i="8"/>
  <c r="J44" i="8"/>
  <c r="K20" i="8"/>
  <c r="AC20" i="8" s="1"/>
  <c r="K29" i="8"/>
  <c r="AC29" i="8" s="1"/>
  <c r="K14" i="8"/>
  <c r="AC14" i="8" s="1"/>
  <c r="K50" i="8"/>
  <c r="AC50" i="8" s="1"/>
  <c r="J23" i="8"/>
  <c r="J50" i="8"/>
  <c r="K40" i="8"/>
  <c r="AC40" i="8" s="1"/>
  <c r="J24" i="8"/>
  <c r="J45" i="8"/>
  <c r="K46" i="8"/>
  <c r="AC46" i="8" s="1"/>
  <c r="K9" i="8"/>
  <c r="AC9" i="8" s="1"/>
  <c r="J46" i="8"/>
  <c r="J14" i="8"/>
  <c r="J33" i="8"/>
  <c r="K10" i="8"/>
  <c r="AC10" i="8" s="1"/>
  <c r="J16" i="8"/>
  <c r="J37" i="8"/>
  <c r="K15" i="8"/>
  <c r="AC15" i="8" s="1"/>
  <c r="J43" i="8"/>
  <c r="J15" i="8"/>
  <c r="J22" i="8"/>
  <c r="J31" i="8"/>
  <c r="J27" i="8"/>
  <c r="K11" i="8"/>
  <c r="AC11" i="8" s="1"/>
  <c r="J36" i="8"/>
  <c r="J3" i="8"/>
  <c r="J7" i="8"/>
  <c r="K3" i="8"/>
  <c r="AC3" i="8" s="1"/>
  <c r="K38" i="8"/>
  <c r="AC38" i="8" s="1"/>
  <c r="J32" i="8"/>
  <c r="K49" i="8"/>
  <c r="AC49" i="8" s="1"/>
  <c r="J35" i="8"/>
  <c r="K16" i="8"/>
  <c r="AC16" i="8" s="1"/>
  <c r="J20" i="8"/>
  <c r="K19" i="8"/>
  <c r="AC19" i="8" s="1"/>
  <c r="K6" i="8"/>
  <c r="AC6" i="8" s="1"/>
  <c r="K41" i="8"/>
  <c r="AC41" i="8" s="1"/>
  <c r="J11" i="8"/>
  <c r="J26" i="8"/>
  <c r="K30" i="8"/>
  <c r="AC30" i="8" s="1"/>
  <c r="J21" i="8"/>
  <c r="K22" i="8"/>
  <c r="AC22" i="8" s="1"/>
  <c r="J42" i="8"/>
  <c r="K7" i="8"/>
  <c r="AC7" i="8" s="1"/>
  <c r="J17" i="8"/>
  <c r="K39" i="8"/>
  <c r="AC39" i="8" s="1"/>
  <c r="J4" i="8"/>
  <c r="K13" i="8"/>
  <c r="AC13" i="8" s="1"/>
  <c r="J9" i="8"/>
  <c r="J30" i="8"/>
  <c r="K25" i="8"/>
  <c r="AC25" i="8" s="1"/>
  <c r="K37" i="8"/>
  <c r="AC37" i="8" s="1"/>
  <c r="J34" i="8"/>
  <c r="K5" i="8"/>
  <c r="AC5" i="8" s="1"/>
  <c r="J47" i="8"/>
  <c r="K23" i="8"/>
  <c r="AC23" i="8" s="1"/>
  <c r="K44" i="8"/>
  <c r="AC44" i="8" s="1"/>
  <c r="K43" i="8"/>
  <c r="AC43" i="8" s="1"/>
  <c r="J10" i="8"/>
  <c r="K32" i="8"/>
  <c r="AC32" i="8" s="1"/>
  <c r="K26" i="8"/>
  <c r="AC26" i="8" s="1"/>
  <c r="K48" i="8"/>
  <c r="AC48" i="8" s="1"/>
  <c r="K4" i="8"/>
  <c r="AC4" i="8" s="1"/>
  <c r="K31" i="8"/>
  <c r="AC31" i="8" s="1"/>
  <c r="K36" i="8"/>
  <c r="AC36" i="8" s="1"/>
  <c r="K45" i="8"/>
  <c r="AC45" i="8" s="1"/>
  <c r="J40" i="8"/>
  <c r="J12" i="8"/>
  <c r="K24" i="8"/>
  <c r="AC24" i="8" s="1"/>
  <c r="K33" i="8"/>
  <c r="AC33" i="8" s="1"/>
  <c r="B52" i="3"/>
  <c r="R2" i="3"/>
  <c r="X2" i="3" s="1"/>
  <c r="Q32" i="3"/>
  <c r="Q5" i="3"/>
  <c r="Q18" i="3"/>
  <c r="Q33" i="3"/>
  <c r="Q37" i="3"/>
  <c r="R13" i="3"/>
  <c r="X13" i="3" s="1"/>
  <c r="Q45" i="3"/>
  <c r="R16" i="3"/>
  <c r="X16" i="3" s="1"/>
  <c r="Q39" i="3"/>
  <c r="Q31" i="3"/>
  <c r="Q27" i="3"/>
  <c r="Q40" i="3"/>
  <c r="R48" i="3"/>
  <c r="X48" i="3" s="1"/>
  <c r="Q50" i="3"/>
  <c r="Q21" i="3"/>
  <c r="R41" i="3"/>
  <c r="X41" i="3" s="1"/>
  <c r="R4" i="3"/>
  <c r="X4" i="3" s="1"/>
  <c r="R35" i="3"/>
  <c r="X35" i="3" s="1"/>
  <c r="R9" i="3"/>
  <c r="X9" i="3" s="1"/>
  <c r="Q23" i="3"/>
  <c r="Q17" i="3"/>
  <c r="R47" i="3"/>
  <c r="X47" i="3" s="1"/>
  <c r="R38" i="3"/>
  <c r="X38" i="3" s="1"/>
  <c r="R51" i="3"/>
  <c r="X51" i="3" s="1"/>
  <c r="R24" i="3"/>
  <c r="X24" i="3" s="1"/>
  <c r="R44" i="3"/>
  <c r="X44" i="3" s="1"/>
  <c r="Q7" i="3"/>
  <c r="R29" i="3"/>
  <c r="X29" i="3" s="1"/>
  <c r="R11" i="3"/>
  <c r="X11" i="3" s="1"/>
  <c r="Q4" i="3"/>
  <c r="R14" i="3"/>
  <c r="X14" i="3" s="1"/>
  <c r="Q48" i="3"/>
  <c r="R5" i="3"/>
  <c r="X5" i="3" s="1"/>
  <c r="R34" i="3"/>
  <c r="X34" i="3" s="1"/>
  <c r="R42" i="3"/>
  <c r="X42" i="3" s="1"/>
  <c r="Q14" i="3"/>
  <c r="R46" i="3"/>
  <c r="X46" i="3" s="1"/>
  <c r="R20" i="3"/>
  <c r="X20" i="3" s="1"/>
  <c r="R33" i="3"/>
  <c r="X33" i="3" s="1"/>
  <c r="R6" i="3"/>
  <c r="X6" i="3" s="1"/>
  <c r="R30" i="3"/>
  <c r="X30" i="3" s="1"/>
  <c r="Q35" i="3"/>
  <c r="R17" i="3"/>
  <c r="X17" i="3" s="1"/>
  <c r="Q13" i="3"/>
  <c r="Q47" i="3"/>
  <c r="Q26" i="3"/>
  <c r="Q10" i="3"/>
  <c r="Q19" i="3"/>
  <c r="Q25" i="3"/>
  <c r="R45" i="3"/>
  <c r="X45" i="3" s="1"/>
  <c r="R12" i="3"/>
  <c r="X12" i="3" s="1"/>
  <c r="Q16" i="3"/>
  <c r="Q42" i="3"/>
  <c r="Q6" i="3"/>
  <c r="Q22" i="3"/>
  <c r="R25" i="3"/>
  <c r="X25" i="3" s="1"/>
  <c r="Q20" i="3"/>
  <c r="Q29" i="3"/>
  <c r="R28" i="3"/>
  <c r="X28" i="3" s="1"/>
  <c r="Q51" i="3"/>
  <c r="Q43" i="3"/>
  <c r="R36" i="3"/>
  <c r="X36" i="3" s="1"/>
  <c r="R31" i="3"/>
  <c r="X31" i="3" s="1"/>
  <c r="Q24" i="3"/>
  <c r="R22" i="3"/>
  <c r="X22" i="3" s="1"/>
  <c r="Q34" i="3"/>
  <c r="Q30" i="3"/>
  <c r="Q46" i="3"/>
  <c r="Q11" i="3"/>
  <c r="Q28" i="3"/>
  <c r="Q41" i="3"/>
  <c r="R7" i="3"/>
  <c r="X7" i="3" s="1"/>
  <c r="R26" i="3"/>
  <c r="X26" i="3" s="1"/>
  <c r="R23" i="3"/>
  <c r="X23" i="3" s="1"/>
  <c r="R18" i="3"/>
  <c r="X18" i="3" s="1"/>
  <c r="R15" i="3"/>
  <c r="X15" i="3" s="1"/>
  <c r="Q12" i="3"/>
  <c r="R8" i="3"/>
  <c r="X8" i="3" s="1"/>
  <c r="Q9" i="3"/>
  <c r="R49" i="3"/>
  <c r="X49" i="3" s="1"/>
  <c r="R3" i="3"/>
  <c r="X3" i="3" s="1"/>
  <c r="Q8" i="3"/>
  <c r="R39" i="3"/>
  <c r="X39" i="3" s="1"/>
  <c r="Q36" i="3"/>
  <c r="R10" i="3"/>
  <c r="X10" i="3" s="1"/>
  <c r="Q3" i="3"/>
  <c r="R50" i="3"/>
  <c r="X50" i="3" s="1"/>
  <c r="R21" i="3"/>
  <c r="X21" i="3" s="1"/>
  <c r="Q15" i="3"/>
  <c r="Q49" i="3"/>
  <c r="Q44" i="3"/>
  <c r="Q2" i="3"/>
  <c r="R37" i="3"/>
  <c r="X37" i="3" s="1"/>
  <c r="R43" i="3"/>
  <c r="X43" i="3" s="1"/>
  <c r="R40" i="3"/>
  <c r="X40" i="3" s="1"/>
  <c r="R32" i="3"/>
  <c r="X32" i="3" s="1"/>
  <c r="R19" i="3"/>
  <c r="X19" i="3" s="1"/>
  <c r="Q38" i="3"/>
  <c r="R27" i="3"/>
  <c r="X27" i="3" s="1"/>
  <c r="B1" i="1"/>
  <c r="K22" i="1"/>
  <c r="Q22" i="1" s="1"/>
  <c r="J20" i="1"/>
  <c r="J18" i="1"/>
  <c r="J42" i="1"/>
  <c r="K35" i="1"/>
  <c r="Q35" i="1" s="1"/>
  <c r="J46" i="1"/>
  <c r="K10" i="1"/>
  <c r="Q10" i="1" s="1"/>
  <c r="K8" i="1"/>
  <c r="Q8" i="1" s="1"/>
  <c r="J4" i="1"/>
  <c r="K51" i="1"/>
  <c r="Q51" i="1" s="1"/>
  <c r="K2" i="1"/>
  <c r="Q2" i="1" s="1"/>
  <c r="K37" i="1"/>
  <c r="Q37" i="1" s="1"/>
  <c r="K33" i="1"/>
  <c r="Q33" i="1" s="1"/>
  <c r="K26" i="1"/>
  <c r="Q26" i="1" s="1"/>
  <c r="K42" i="1"/>
  <c r="Q42" i="1" s="1"/>
  <c r="J5" i="1"/>
  <c r="K16" i="1"/>
  <c r="Q16" i="1" s="1"/>
  <c r="K3" i="1"/>
  <c r="Q3" i="1" s="1"/>
  <c r="J37" i="1"/>
  <c r="K13" i="1"/>
  <c r="Q13" i="1" s="1"/>
  <c r="K6" i="1"/>
  <c r="Q6" i="1" s="1"/>
  <c r="K11" i="1"/>
  <c r="Q11" i="1" s="1"/>
  <c r="K41" i="1"/>
  <c r="Q41" i="1" s="1"/>
  <c r="K4" i="1"/>
  <c r="Q4" i="1" s="1"/>
  <c r="J35" i="1"/>
  <c r="K32" i="1"/>
  <c r="Q32" i="1" s="1"/>
  <c r="K47" i="1"/>
  <c r="Q47" i="1" s="1"/>
  <c r="J21" i="1"/>
  <c r="J45" i="1"/>
  <c r="J43" i="1"/>
  <c r="K17" i="1"/>
  <c r="Q17" i="1" s="1"/>
  <c r="J51" i="1"/>
  <c r="J19" i="1"/>
  <c r="K50" i="1"/>
  <c r="Q50" i="1" s="1"/>
  <c r="J7" i="1"/>
  <c r="K7" i="1"/>
  <c r="Q7" i="1" s="1"/>
  <c r="J31" i="1"/>
  <c r="J44" i="1"/>
  <c r="J41" i="1"/>
  <c r="K39" i="1"/>
  <c r="Q39" i="1" s="1"/>
  <c r="J2" i="1"/>
  <c r="J14" i="1"/>
  <c r="K45" i="1"/>
  <c r="Q45" i="1" s="1"/>
  <c r="J49" i="1"/>
  <c r="J13" i="1"/>
  <c r="J26" i="1"/>
  <c r="J29" i="1"/>
  <c r="K40" i="1"/>
  <c r="Q40" i="1" s="1"/>
  <c r="K27" i="1"/>
  <c r="Q27" i="1" s="1"/>
  <c r="J38" i="1"/>
  <c r="K48" i="1"/>
  <c r="Q48" i="1" s="1"/>
  <c r="J32" i="1"/>
  <c r="J22" i="1"/>
  <c r="K44" i="1"/>
  <c r="Q44" i="1" s="1"/>
  <c r="J11" i="1"/>
  <c r="J17" i="1"/>
  <c r="K28" i="1"/>
  <c r="Q28" i="1" s="1"/>
  <c r="K15" i="1"/>
  <c r="Q15" i="1" s="1"/>
  <c r="J48" i="1"/>
  <c r="K24" i="1"/>
  <c r="Q24" i="1" s="1"/>
  <c r="J9" i="1"/>
  <c r="J24" i="1"/>
  <c r="J36" i="1"/>
  <c r="K9" i="1"/>
  <c r="Q9" i="1" s="1"/>
  <c r="K29" i="1"/>
  <c r="Q29" i="1" s="1"/>
  <c r="J34" i="1"/>
  <c r="K14" i="1"/>
  <c r="Q14" i="1" s="1"/>
  <c r="K36" i="1"/>
  <c r="Q36" i="1" s="1"/>
  <c r="J6" i="1"/>
  <c r="J30" i="1"/>
  <c r="J25" i="1"/>
  <c r="K5" i="1"/>
  <c r="Q5" i="1" s="1"/>
  <c r="J39" i="1"/>
  <c r="K21" i="1"/>
  <c r="Q21" i="1" s="1"/>
  <c r="K31" i="1"/>
  <c r="Q31" i="1" s="1"/>
  <c r="J47" i="1"/>
  <c r="K12" i="1"/>
  <c r="Q12" i="1" s="1"/>
  <c r="K49" i="1"/>
  <c r="Q49" i="1" s="1"/>
  <c r="J12" i="1"/>
  <c r="J10" i="1"/>
  <c r="J40" i="1"/>
  <c r="J27" i="1"/>
  <c r="K20" i="1"/>
  <c r="Q20" i="1" s="1"/>
  <c r="J33" i="1"/>
  <c r="J8" i="1"/>
  <c r="J50" i="1"/>
  <c r="K34" i="1"/>
  <c r="Q34" i="1" s="1"/>
  <c r="K43" i="1"/>
  <c r="Q43" i="1" s="1"/>
  <c r="K38" i="1"/>
  <c r="Q38" i="1" s="1"/>
  <c r="J28" i="1"/>
  <c r="J15" i="1"/>
  <c r="K18" i="1"/>
  <c r="Q18" i="1" s="1"/>
  <c r="K30" i="1"/>
  <c r="Q30" i="1" s="1"/>
  <c r="K46" i="1"/>
  <c r="Q46" i="1" s="1"/>
  <c r="J23" i="1"/>
  <c r="K19" i="1"/>
  <c r="Q19" i="1" s="1"/>
  <c r="K25" i="1"/>
  <c r="Q25" i="1" s="1"/>
  <c r="K23" i="1"/>
  <c r="Q23" i="1" s="1"/>
  <c r="J16" i="1"/>
  <c r="J3" i="1"/>
  <c r="AO39" i="22"/>
  <c r="AO32" i="22"/>
  <c r="AO21" i="22"/>
  <c r="AO33" i="22"/>
  <c r="AO11" i="22"/>
  <c r="AO4" i="22"/>
  <c r="AO18" i="22"/>
  <c r="AO50" i="22"/>
  <c r="AO47" i="22"/>
  <c r="AO31" i="22"/>
  <c r="AO7" i="22"/>
  <c r="AO37" i="22"/>
  <c r="AO27" i="22"/>
  <c r="AO43" i="22"/>
  <c r="AO14" i="22"/>
  <c r="AO9" i="22"/>
  <c r="AO10" i="22"/>
  <c r="B52" i="14"/>
  <c r="C68" i="14"/>
  <c r="F76" i="14"/>
  <c r="C56" i="14"/>
  <c r="C73" i="14"/>
  <c r="F85" i="14"/>
  <c r="C54" i="14"/>
  <c r="F70" i="14"/>
  <c r="C87" i="14"/>
  <c r="F81" i="14"/>
  <c r="F86" i="14"/>
  <c r="F91" i="14"/>
  <c r="C53" i="14"/>
  <c r="C70" i="14"/>
  <c r="F62" i="14"/>
  <c r="F87" i="14"/>
  <c r="C78" i="14"/>
  <c r="F102" i="14"/>
  <c r="C102" i="14"/>
  <c r="F61" i="14"/>
  <c r="F92" i="14"/>
  <c r="C96" i="14"/>
  <c r="C66" i="14"/>
  <c r="C97" i="14"/>
  <c r="F84" i="14"/>
  <c r="C84" i="14"/>
  <c r="F67" i="14"/>
  <c r="F96" i="14"/>
  <c r="C72" i="14"/>
  <c r="C93" i="14"/>
  <c r="C101" i="14"/>
  <c r="F58" i="14"/>
  <c r="C75" i="14"/>
  <c r="F74" i="14"/>
  <c r="F83" i="14"/>
  <c r="C74" i="14"/>
  <c r="C62" i="14"/>
  <c r="F59" i="14"/>
  <c r="C58" i="14"/>
  <c r="F77" i="14"/>
  <c r="C69" i="14"/>
  <c r="C95" i="14"/>
  <c r="C82" i="14"/>
  <c r="C55" i="14"/>
  <c r="C92" i="14"/>
  <c r="C89" i="14"/>
  <c r="C63" i="14"/>
  <c r="C67" i="14"/>
  <c r="F75" i="14"/>
  <c r="F79" i="14"/>
  <c r="F54" i="14"/>
  <c r="F69" i="14"/>
  <c r="F72" i="14"/>
  <c r="C100" i="14"/>
  <c r="F90" i="14"/>
  <c r="F99" i="14"/>
  <c r="F98" i="14"/>
  <c r="F80" i="14"/>
  <c r="C59" i="14"/>
  <c r="F94" i="14"/>
  <c r="F65" i="14"/>
  <c r="F55" i="14"/>
  <c r="C94" i="14"/>
  <c r="C71" i="14"/>
  <c r="C77" i="14"/>
  <c r="F93" i="14"/>
  <c r="C60" i="14"/>
  <c r="C91" i="14"/>
  <c r="C65" i="14"/>
  <c r="C98" i="14"/>
  <c r="C83" i="14"/>
  <c r="F95" i="14"/>
  <c r="C86" i="14"/>
  <c r="C61" i="14"/>
  <c r="F63" i="14"/>
  <c r="C80" i="14"/>
  <c r="F57" i="14"/>
  <c r="C90" i="14"/>
  <c r="F78" i="14"/>
  <c r="F71" i="14"/>
  <c r="C88" i="14"/>
  <c r="C79" i="14"/>
  <c r="C81" i="14"/>
  <c r="C76" i="14"/>
  <c r="F53" i="14"/>
  <c r="F101" i="14"/>
  <c r="F64" i="14"/>
  <c r="C64" i="14"/>
  <c r="F73" i="14"/>
  <c r="F97" i="14"/>
  <c r="F100" i="14"/>
  <c r="F68" i="14"/>
  <c r="F89" i="14"/>
  <c r="F82" i="14"/>
  <c r="F56" i="14"/>
  <c r="F88" i="14"/>
  <c r="F66" i="14"/>
  <c r="C99" i="14"/>
  <c r="C85" i="14"/>
  <c r="F60" i="14"/>
  <c r="C57" i="14"/>
  <c r="B1" i="14"/>
  <c r="C2" i="14"/>
  <c r="C36" i="14"/>
  <c r="C21" i="14"/>
  <c r="F3" i="14"/>
  <c r="F15" i="14"/>
  <c r="C11" i="14"/>
  <c r="F11" i="14"/>
  <c r="C28" i="14"/>
  <c r="F44" i="14"/>
  <c r="J17" i="14"/>
  <c r="K26" i="14"/>
  <c r="AD26" i="14" s="1"/>
  <c r="J40" i="14"/>
  <c r="J11" i="14"/>
  <c r="J27" i="14"/>
  <c r="J8" i="14"/>
  <c r="K40" i="14"/>
  <c r="AD40" i="14" s="1"/>
  <c r="K32" i="14"/>
  <c r="AD32" i="14" s="1"/>
  <c r="C45" i="14"/>
  <c r="C32" i="14"/>
  <c r="F26" i="14"/>
  <c r="C6" i="14"/>
  <c r="J13" i="14"/>
  <c r="K10" i="14"/>
  <c r="AD10" i="14" s="1"/>
  <c r="F49" i="14"/>
  <c r="F42" i="14"/>
  <c r="C23" i="14"/>
  <c r="J34" i="14"/>
  <c r="J9" i="14"/>
  <c r="J14" i="14"/>
  <c r="F25" i="14"/>
  <c r="C41" i="14"/>
  <c r="C15" i="14"/>
  <c r="K3" i="14"/>
  <c r="AD3" i="14" s="1"/>
  <c r="K30" i="14"/>
  <c r="AD30" i="14" s="1"/>
  <c r="F28" i="14"/>
  <c r="C29" i="14"/>
  <c r="F45" i="14"/>
  <c r="J10" i="14"/>
  <c r="J51" i="14"/>
  <c r="J42" i="14"/>
  <c r="F4" i="14"/>
  <c r="C20" i="14"/>
  <c r="C17" i="14"/>
  <c r="K48" i="14"/>
  <c r="AD48" i="14" s="1"/>
  <c r="K41" i="14"/>
  <c r="AD41" i="14" s="1"/>
  <c r="J30" i="14"/>
  <c r="C48" i="14"/>
  <c r="F14" i="14"/>
  <c r="F21" i="14"/>
  <c r="J49" i="14"/>
  <c r="J44" i="14"/>
  <c r="K33" i="14"/>
  <c r="AD33" i="14" s="1"/>
  <c r="C25" i="14"/>
  <c r="C35" i="14"/>
  <c r="F9" i="14"/>
  <c r="C26" i="14"/>
  <c r="J41" i="14"/>
  <c r="J4" i="14"/>
  <c r="K5" i="14"/>
  <c r="AD5" i="14" s="1"/>
  <c r="J6" i="14"/>
  <c r="C7" i="14"/>
  <c r="F50" i="14"/>
  <c r="AG1" i="14" s="1"/>
  <c r="F19" i="14"/>
  <c r="C33" i="14"/>
  <c r="C43" i="14"/>
  <c r="C42" i="14"/>
  <c r="C16" i="14"/>
  <c r="F32" i="14"/>
  <c r="J5" i="14"/>
  <c r="J23" i="14"/>
  <c r="J39" i="14"/>
  <c r="K25" i="14"/>
  <c r="AD25" i="14" s="1"/>
  <c r="J38" i="14"/>
  <c r="K46" i="14"/>
  <c r="AD46" i="14" s="1"/>
  <c r="K16" i="14"/>
  <c r="AD16" i="14" s="1"/>
  <c r="K42" i="14"/>
  <c r="AD42" i="14" s="1"/>
  <c r="K20" i="14"/>
  <c r="AD20" i="14" s="1"/>
  <c r="F38" i="14"/>
  <c r="F13" i="14"/>
  <c r="F51" i="14"/>
  <c r="C39" i="14"/>
  <c r="J46" i="14"/>
  <c r="K15" i="14"/>
  <c r="AD15" i="14" s="1"/>
  <c r="F36" i="14"/>
  <c r="C27" i="14"/>
  <c r="J28" i="14"/>
  <c r="K47" i="14"/>
  <c r="AD47" i="14" s="1"/>
  <c r="K28" i="14"/>
  <c r="AD28" i="14" s="1"/>
  <c r="C9" i="14"/>
  <c r="C31" i="14"/>
  <c r="C50" i="14"/>
  <c r="J2" i="14"/>
  <c r="K49" i="14"/>
  <c r="AD49" i="14" s="1"/>
  <c r="C5" i="14"/>
  <c r="C38" i="14"/>
  <c r="K11" i="14"/>
  <c r="AD11" i="14" s="1"/>
  <c r="F35" i="14"/>
  <c r="K2" i="14"/>
  <c r="AD2" i="14" s="1"/>
  <c r="C24" i="14"/>
  <c r="F2" i="14"/>
  <c r="C44" i="14"/>
  <c r="F39" i="14"/>
  <c r="F43" i="14"/>
  <c r="F7" i="14"/>
  <c r="F30" i="14"/>
  <c r="C30" i="14"/>
  <c r="F46" i="14"/>
  <c r="C4" i="14"/>
  <c r="F20" i="14"/>
  <c r="K43" i="14"/>
  <c r="AD43" i="14" s="1"/>
  <c r="K37" i="14"/>
  <c r="AD37" i="14" s="1"/>
  <c r="J26" i="14"/>
  <c r="J45" i="14"/>
  <c r="K4" i="14"/>
  <c r="AD4" i="14" s="1"/>
  <c r="K34" i="14"/>
  <c r="AD34" i="14" s="1"/>
  <c r="K51" i="14"/>
  <c r="AD51" i="14" s="1"/>
  <c r="K18" i="14"/>
  <c r="AD18" i="14" s="1"/>
  <c r="K8" i="14"/>
  <c r="AD8" i="14" s="1"/>
  <c r="F22" i="14"/>
  <c r="K7" i="14"/>
  <c r="AD7" i="14" s="1"/>
  <c r="J43" i="14"/>
  <c r="K50" i="14"/>
  <c r="AD50" i="14" s="1"/>
  <c r="F12" i="14"/>
  <c r="J22" i="14"/>
  <c r="J19" i="14"/>
  <c r="C12" i="14"/>
  <c r="C3" i="14"/>
  <c r="K35" i="14"/>
  <c r="AD35" i="14" s="1"/>
  <c r="F33" i="14"/>
  <c r="J12" i="14"/>
  <c r="C8" i="14"/>
  <c r="F24" i="14"/>
  <c r="C13" i="14"/>
  <c r="F47" i="14"/>
  <c r="K38" i="14"/>
  <c r="AD38" i="14" s="1"/>
  <c r="K27" i="14"/>
  <c r="AD27" i="14" s="1"/>
  <c r="C46" i="14"/>
  <c r="F18" i="14"/>
  <c r="F31" i="14"/>
  <c r="C10" i="14"/>
  <c r="F6" i="14"/>
  <c r="F27" i="14"/>
  <c r="C22" i="14"/>
  <c r="C18" i="14"/>
  <c r="F34" i="14"/>
  <c r="C51" i="14"/>
  <c r="F8" i="14"/>
  <c r="K31" i="14"/>
  <c r="AD31" i="14" s="1"/>
  <c r="K13" i="14"/>
  <c r="AD13" i="14" s="1"/>
  <c r="J37" i="14"/>
  <c r="J33" i="14"/>
  <c r="J25" i="14"/>
  <c r="K22" i="14"/>
  <c r="AD22" i="14" s="1"/>
  <c r="J36" i="14"/>
  <c r="J15" i="14"/>
  <c r="J21" i="14"/>
  <c r="K29" i="14"/>
  <c r="AD29" i="14" s="1"/>
  <c r="C49" i="14"/>
  <c r="F5" i="14"/>
  <c r="C19" i="14"/>
  <c r="F10" i="14"/>
  <c r="K19" i="14"/>
  <c r="AD19" i="14" s="1"/>
  <c r="K39" i="14"/>
  <c r="AD39" i="14" s="1"/>
  <c r="J31" i="14"/>
  <c r="J16" i="14"/>
  <c r="K14" i="14"/>
  <c r="AD14" i="14" s="1"/>
  <c r="F17" i="14"/>
  <c r="F41" i="14"/>
  <c r="J3" i="14"/>
  <c r="J48" i="14"/>
  <c r="J47" i="14"/>
  <c r="J7" i="14"/>
  <c r="F37" i="14"/>
  <c r="F48" i="14"/>
  <c r="K23" i="14"/>
  <c r="AD23" i="14" s="1"/>
  <c r="K45" i="14"/>
  <c r="AD45" i="14" s="1"/>
  <c r="K36" i="14"/>
  <c r="AD36" i="14" s="1"/>
  <c r="K17" i="14"/>
  <c r="AD17" i="14" s="1"/>
  <c r="J18" i="14"/>
  <c r="F40" i="14"/>
  <c r="K24" i="14"/>
  <c r="AD24" i="14" s="1"/>
  <c r="J32" i="14"/>
  <c r="K21" i="14"/>
  <c r="AD21" i="14" s="1"/>
  <c r="K44" i="14"/>
  <c r="AD44" i="14" s="1"/>
  <c r="J35" i="14"/>
  <c r="C47" i="14"/>
  <c r="C40" i="14"/>
  <c r="K6" i="14"/>
  <c r="AD6" i="14" s="1"/>
  <c r="F23" i="14"/>
  <c r="F29" i="14"/>
  <c r="C14" i="14"/>
  <c r="J24" i="14"/>
  <c r="C34" i="14"/>
  <c r="J50" i="14"/>
  <c r="J29" i="14"/>
  <c r="K12" i="14"/>
  <c r="AD12" i="14" s="1"/>
  <c r="J20" i="14"/>
  <c r="C37" i="14"/>
  <c r="F16" i="14"/>
  <c r="K9" i="14"/>
  <c r="AD9" i="14" s="1"/>
  <c r="B1" i="3"/>
  <c r="A1" i="19"/>
  <c r="H4" i="15"/>
  <c r="S1" i="14"/>
  <c r="Y1" i="14" s="1"/>
  <c r="T1" i="14"/>
  <c r="A2" i="14"/>
  <c r="AT8" i="22" l="1"/>
  <c r="AT10" i="22"/>
  <c r="AT20" i="22"/>
  <c r="AP49" i="22"/>
  <c r="AU19" i="22"/>
  <c r="BA19" i="22" s="1"/>
  <c r="AP38" i="22"/>
  <c r="AV38" i="22" s="1"/>
  <c r="A39" i="23" s="1"/>
  <c r="AP21" i="22"/>
  <c r="AW21" i="22" s="1"/>
  <c r="B22" i="23" s="1"/>
  <c r="AO12" i="22"/>
  <c r="AV12" i="22" s="1"/>
  <c r="A13" i="23" s="1"/>
  <c r="AP40" i="22"/>
  <c r="AW40" i="22" s="1"/>
  <c r="B41" i="23" s="1"/>
  <c r="AU21" i="22"/>
  <c r="BA21" i="22" s="1"/>
  <c r="AP20" i="22"/>
  <c r="AW20" i="22" s="1"/>
  <c r="B21" i="23" s="1"/>
  <c r="AP51" i="22"/>
  <c r="AV51" i="22" s="1"/>
  <c r="A52" i="23" s="1"/>
  <c r="AT5" i="22"/>
  <c r="AP44" i="22"/>
  <c r="AP28" i="22"/>
  <c r="AW28" i="22" s="1"/>
  <c r="B29" i="23" s="1"/>
  <c r="AO41" i="22"/>
  <c r="AW41" i="22" s="1"/>
  <c r="B42" i="23" s="1"/>
  <c r="AP15" i="22"/>
  <c r="AV15" i="22" s="1"/>
  <c r="A16" i="23" s="1"/>
  <c r="AP17" i="22"/>
  <c r="AV17" i="22" s="1"/>
  <c r="A18" i="23" s="1"/>
  <c r="AU11" i="22"/>
  <c r="BA11" i="22" s="1"/>
  <c r="AP26" i="22"/>
  <c r="AU25" i="22"/>
  <c r="BA25" i="22" s="1"/>
  <c r="AP25" i="22"/>
  <c r="AT26" i="22"/>
  <c r="AP8" i="22"/>
  <c r="AV8" i="22" s="1"/>
  <c r="A9" i="23" s="1"/>
  <c r="AP35" i="22"/>
  <c r="AP23" i="22"/>
  <c r="AV23" i="22" s="1"/>
  <c r="A24" i="23" s="1"/>
  <c r="AP7" i="22"/>
  <c r="AW7" i="22" s="1"/>
  <c r="B8" i="23" s="1"/>
  <c r="AP29" i="22"/>
  <c r="AW29" i="22" s="1"/>
  <c r="B30" i="23" s="1"/>
  <c r="AT7" i="22"/>
  <c r="AP30" i="22"/>
  <c r="AW30" i="22" s="1"/>
  <c r="B31" i="23" s="1"/>
  <c r="AJ10" i="14"/>
  <c r="AJ22" i="14"/>
  <c r="AJ34" i="14"/>
  <c r="AJ46" i="14"/>
  <c r="AJ23" i="14"/>
  <c r="AJ35" i="14"/>
  <c r="AJ47" i="14"/>
  <c r="AJ12" i="14"/>
  <c r="AJ11" i="14"/>
  <c r="AJ24" i="14"/>
  <c r="AJ36" i="14"/>
  <c r="AJ48" i="14"/>
  <c r="AJ13" i="14"/>
  <c r="AJ25" i="14"/>
  <c r="AJ37" i="14"/>
  <c r="AJ49" i="14"/>
  <c r="AJ2" i="14"/>
  <c r="AJ14" i="14"/>
  <c r="AJ26" i="14"/>
  <c r="AJ38" i="14"/>
  <c r="AJ50" i="14"/>
  <c r="AJ3" i="14"/>
  <c r="AJ15" i="14"/>
  <c r="AJ27" i="14"/>
  <c r="AJ39" i="14"/>
  <c r="AJ51" i="14"/>
  <c r="AJ4" i="14"/>
  <c r="AJ16" i="14"/>
  <c r="AJ28" i="14"/>
  <c r="AJ40" i="14"/>
  <c r="AJ1" i="14"/>
  <c r="AJ5" i="14"/>
  <c r="AJ17" i="14"/>
  <c r="AJ29" i="14"/>
  <c r="AJ41" i="14"/>
  <c r="AJ6" i="14"/>
  <c r="AJ18" i="14"/>
  <c r="AJ30" i="14"/>
  <c r="AJ42" i="14"/>
  <c r="AJ7" i="14"/>
  <c r="AJ19" i="14"/>
  <c r="AJ31" i="14"/>
  <c r="AJ43" i="14"/>
  <c r="AJ8" i="14"/>
  <c r="AJ20" i="14"/>
  <c r="AJ32" i="14"/>
  <c r="AJ44" i="14"/>
  <c r="AJ9" i="14"/>
  <c r="AJ21" i="14"/>
  <c r="AJ33" i="14"/>
  <c r="AJ45" i="14"/>
  <c r="AO48" i="22"/>
  <c r="AV48" i="22" s="1"/>
  <c r="A49" i="23" s="1"/>
  <c r="AT2" i="22"/>
  <c r="AO45" i="22"/>
  <c r="AW45" i="22" s="1"/>
  <c r="B46" i="23" s="1"/>
  <c r="AO35" i="22"/>
  <c r="AO13" i="22"/>
  <c r="AW13" i="22" s="1"/>
  <c r="B14" i="23" s="1"/>
  <c r="AP46" i="22"/>
  <c r="AW46" i="22" s="1"/>
  <c r="B47" i="23" s="1"/>
  <c r="AU16" i="22"/>
  <c r="BA16" i="22" s="1"/>
  <c r="AO26" i="22"/>
  <c r="AO25" i="22"/>
  <c r="AP22" i="22"/>
  <c r="AV22" i="22" s="1"/>
  <c r="A23" i="23" s="1"/>
  <c r="AO44" i="22"/>
  <c r="AP5" i="22"/>
  <c r="AW5" i="22" s="1"/>
  <c r="B6" i="23" s="1"/>
  <c r="AU1" i="22"/>
  <c r="BA1" i="22" s="1"/>
  <c r="AP2" i="22"/>
  <c r="AW2" i="22" s="1"/>
  <c r="B3" i="23" s="1"/>
  <c r="AT22" i="22"/>
  <c r="AP36" i="22"/>
  <c r="AW36" i="22" s="1"/>
  <c r="B37" i="23" s="1"/>
  <c r="AT3" i="22"/>
  <c r="AP11" i="22"/>
  <c r="AV11" i="22" s="1"/>
  <c r="A12" i="23" s="1"/>
  <c r="AP6" i="22"/>
  <c r="AV6" i="22" s="1"/>
  <c r="A7" i="23" s="1"/>
  <c r="AU6" i="22"/>
  <c r="BA6" i="22" s="1"/>
  <c r="AP14" i="22"/>
  <c r="AW14" i="22" s="1"/>
  <c r="B15" i="23" s="1"/>
  <c r="AP16" i="22"/>
  <c r="AW16" i="22" s="1"/>
  <c r="B17" i="23" s="1"/>
  <c r="AT24" i="22"/>
  <c r="AT14" i="22"/>
  <c r="AP3" i="22"/>
  <c r="AV3" i="22" s="1"/>
  <c r="A4" i="23" s="1"/>
  <c r="AP1" i="22"/>
  <c r="AV1" i="22" s="1"/>
  <c r="A2" i="23" s="1"/>
  <c r="AP24" i="22"/>
  <c r="AW24" i="22" s="1"/>
  <c r="B25" i="23" s="1"/>
  <c r="AP19" i="22"/>
  <c r="AW19" i="22" s="1"/>
  <c r="B20" i="23" s="1"/>
  <c r="AW42" i="22"/>
  <c r="B43" i="23" s="1"/>
  <c r="AV42" i="22"/>
  <c r="A43" i="23" s="1"/>
  <c r="K1" i="8"/>
  <c r="AC1" i="8" s="1"/>
  <c r="J1" i="8"/>
  <c r="Q1" i="3"/>
  <c r="R1" i="3"/>
  <c r="X1" i="3" s="1"/>
  <c r="J1" i="1"/>
  <c r="K1" i="1"/>
  <c r="Q1" i="1" s="1"/>
  <c r="AV43" i="22"/>
  <c r="A44" i="23" s="1"/>
  <c r="AV20" i="22"/>
  <c r="A21" i="23" s="1"/>
  <c r="AV40" i="22"/>
  <c r="A41" i="23" s="1"/>
  <c r="AW37" i="22"/>
  <c r="B38" i="23" s="1"/>
  <c r="AV50" i="22"/>
  <c r="A51" i="23" s="1"/>
  <c r="AV9" i="22"/>
  <c r="A10" i="23" s="1"/>
  <c r="AW27" i="22"/>
  <c r="B28" i="23" s="1"/>
  <c r="AW4" i="22"/>
  <c r="B5" i="23" s="1"/>
  <c r="AW32" i="22"/>
  <c r="B33" i="23" s="1"/>
  <c r="AV34" i="22"/>
  <c r="A35" i="23" s="1"/>
  <c r="AV47" i="22"/>
  <c r="A48" i="23" s="1"/>
  <c r="AV39" i="22"/>
  <c r="A40" i="23" s="1"/>
  <c r="AV21" i="22"/>
  <c r="A22" i="23" s="1"/>
  <c r="AW10" i="22"/>
  <c r="B11" i="23" s="1"/>
  <c r="AV49" i="22"/>
  <c r="A50" i="23" s="1"/>
  <c r="AV31" i="22"/>
  <c r="A32" i="23" s="1"/>
  <c r="AV18" i="22"/>
  <c r="A19" i="23" s="1"/>
  <c r="AV33" i="22"/>
  <c r="A34" i="23" s="1"/>
  <c r="AW49" i="22"/>
  <c r="B50" i="23" s="1"/>
  <c r="AW31" i="22"/>
  <c r="B32" i="23" s="1"/>
  <c r="AW18" i="22"/>
  <c r="B19" i="23" s="1"/>
  <c r="AW33" i="22"/>
  <c r="B34" i="23" s="1"/>
  <c r="AW12" i="22"/>
  <c r="B13" i="23" s="1"/>
  <c r="AW38" i="22"/>
  <c r="B39" i="23" s="1"/>
  <c r="AW47" i="22"/>
  <c r="B48" i="23" s="1"/>
  <c r="AW39" i="22"/>
  <c r="B40" i="23" s="1"/>
  <c r="AW50" i="22"/>
  <c r="B51" i="23" s="1"/>
  <c r="AW43" i="22"/>
  <c r="B44" i="23" s="1"/>
  <c r="AV10" i="22"/>
  <c r="A11" i="23" s="1"/>
  <c r="AV37" i="22"/>
  <c r="A38" i="23" s="1"/>
  <c r="AW9" i="22"/>
  <c r="B10" i="23" s="1"/>
  <c r="AV27" i="22"/>
  <c r="A28" i="23" s="1"/>
  <c r="AV4" i="22"/>
  <c r="A5" i="23" s="1"/>
  <c r="AV32" i="22"/>
  <c r="A33" i="23" s="1"/>
  <c r="AW34" i="22"/>
  <c r="B35" i="23" s="1"/>
  <c r="C1" i="14"/>
  <c r="K1" i="14"/>
  <c r="AD1" i="14" s="1"/>
  <c r="J1" i="14"/>
  <c r="F1" i="14"/>
  <c r="F52" i="14"/>
  <c r="C52" i="14"/>
  <c r="M51" i="8"/>
  <c r="AD51" i="8" s="1"/>
  <c r="L51" i="8"/>
  <c r="L1" i="8"/>
  <c r="M1" i="8"/>
  <c r="AD1" i="8" s="1"/>
  <c r="Z1" i="14"/>
  <c r="AA1" i="14"/>
  <c r="D79" i="14" s="1"/>
  <c r="H6" i="15"/>
  <c r="K6" i="15" s="1"/>
  <c r="AF1" i="8"/>
  <c r="AG2" i="14"/>
  <c r="AI38" i="14" s="1"/>
  <c r="AB1" i="14"/>
  <c r="W1" i="14" s="1"/>
  <c r="A1" i="16"/>
  <c r="S1" i="8"/>
  <c r="A7" i="9"/>
  <c r="H10" i="7"/>
  <c r="T1" i="9"/>
  <c r="A5" i="9"/>
  <c r="A6" i="9"/>
  <c r="U1" i="9"/>
  <c r="AW51" i="22" l="1"/>
  <c r="B52" i="23" s="1"/>
  <c r="AV35" i="22"/>
  <c r="A36" i="23" s="1"/>
  <c r="AW8" i="22"/>
  <c r="B9" i="23" s="1"/>
  <c r="AV41" i="22"/>
  <c r="A42" i="23" s="1"/>
  <c r="AW15" i="22"/>
  <c r="B16" i="23" s="1"/>
  <c r="AV45" i="22"/>
  <c r="A46" i="23" s="1"/>
  <c r="AV28" i="22"/>
  <c r="A29" i="23" s="1"/>
  <c r="AV44" i="22"/>
  <c r="A45" i="23" s="1"/>
  <c r="AW17" i="22"/>
  <c r="B18" i="23" s="1"/>
  <c r="AV25" i="22"/>
  <c r="A26" i="23" s="1"/>
  <c r="AW26" i="22"/>
  <c r="B27" i="23" s="1"/>
  <c r="AW23" i="22"/>
  <c r="B24" i="23" s="1"/>
  <c r="AV7" i="22"/>
  <c r="A8" i="23" s="1"/>
  <c r="AV13" i="22"/>
  <c r="A14" i="23" s="1"/>
  <c r="AV36" i="22"/>
  <c r="A37" i="23" s="1"/>
  <c r="AW35" i="22"/>
  <c r="B36" i="23" s="1"/>
  <c r="AW22" i="22"/>
  <c r="B23" i="23" s="1"/>
  <c r="AV30" i="22"/>
  <c r="A31" i="23" s="1"/>
  <c r="AW48" i="22"/>
  <c r="B49" i="23" s="1"/>
  <c r="AV16" i="22"/>
  <c r="A17" i="23" s="1"/>
  <c r="AV29" i="22"/>
  <c r="A30" i="23" s="1"/>
  <c r="AV46" i="22"/>
  <c r="A47" i="23" s="1"/>
  <c r="AV14" i="22"/>
  <c r="A15" i="23" s="1"/>
  <c r="AV26" i="22"/>
  <c r="A27" i="23" s="1"/>
  <c r="AW25" i="22"/>
  <c r="B26" i="23" s="1"/>
  <c r="AV5" i="22"/>
  <c r="A6" i="23" s="1"/>
  <c r="AW1" i="22"/>
  <c r="B2" i="23" s="1"/>
  <c r="AV2" i="22"/>
  <c r="A3" i="23" s="1"/>
  <c r="AW44" i="22"/>
  <c r="B45" i="23" s="1"/>
  <c r="AW6" i="22"/>
  <c r="B7" i="23" s="1"/>
  <c r="AV24" i="22"/>
  <c r="A25" i="23" s="1"/>
  <c r="AW3" i="22"/>
  <c r="B4" i="23" s="1"/>
  <c r="AV19" i="22"/>
  <c r="A20" i="23" s="1"/>
  <c r="AW11" i="22"/>
  <c r="B12" i="23" s="1"/>
  <c r="AI7" i="14"/>
  <c r="AI43" i="14"/>
  <c r="AI30" i="14"/>
  <c r="AI1" i="14"/>
  <c r="AI34" i="14"/>
  <c r="AI18" i="14"/>
  <c r="AI10" i="14"/>
  <c r="AI40" i="14"/>
  <c r="AI26" i="14"/>
  <c r="AI14" i="14"/>
  <c r="AI6" i="14"/>
  <c r="AI48" i="14"/>
  <c r="AI44" i="14"/>
  <c r="AI51" i="14"/>
  <c r="AI37" i="14"/>
  <c r="AI32" i="14"/>
  <c r="AI24" i="14"/>
  <c r="AI39" i="14"/>
  <c r="AI21" i="14"/>
  <c r="AI12" i="14"/>
  <c r="AI8" i="14"/>
  <c r="AI27" i="14"/>
  <c r="AI23" i="14"/>
  <c r="AI49" i="14"/>
  <c r="AI45" i="14"/>
  <c r="AI28" i="14"/>
  <c r="AI2" i="14"/>
  <c r="AI42" i="14"/>
  <c r="AI33" i="14"/>
  <c r="AI25" i="14"/>
  <c r="AI16" i="14"/>
  <c r="AI22" i="14"/>
  <c r="AI13" i="14"/>
  <c r="AI9" i="14"/>
  <c r="AI4" i="14"/>
  <c r="AI36" i="14"/>
  <c r="AI47" i="14"/>
  <c r="AI41" i="14"/>
  <c r="AI15" i="14"/>
  <c r="AI20" i="14"/>
  <c r="AI31" i="14"/>
  <c r="AI29" i="14"/>
  <c r="AI3" i="14"/>
  <c r="AI35" i="14"/>
  <c r="AI11" i="14"/>
  <c r="AI17" i="14"/>
  <c r="AI50" i="14"/>
  <c r="AI19" i="14"/>
  <c r="AI46" i="14"/>
  <c r="AI5" i="14"/>
  <c r="D94" i="14"/>
  <c r="G94" i="14" s="1"/>
  <c r="D101" i="14"/>
  <c r="G101" i="14" s="1"/>
  <c r="D89" i="14"/>
  <c r="G89" i="14" s="1"/>
  <c r="D80" i="14"/>
  <c r="G80" i="14" s="1"/>
  <c r="D98" i="14"/>
  <c r="G98" i="14" s="1"/>
  <c r="M9" i="14"/>
  <c r="AE9" i="14" s="1"/>
  <c r="L9" i="14"/>
  <c r="M38" i="14"/>
  <c r="AE38" i="14" s="1"/>
  <c r="L38" i="14"/>
  <c r="L7" i="14"/>
  <c r="M7" i="14"/>
  <c r="AE7" i="14" s="1"/>
  <c r="M49" i="14"/>
  <c r="AE49" i="14" s="1"/>
  <c r="L49" i="14"/>
  <c r="M11" i="14"/>
  <c r="AE11" i="14" s="1"/>
  <c r="L11" i="14"/>
  <c r="M21" i="14"/>
  <c r="AE21" i="14" s="1"/>
  <c r="L21" i="14"/>
  <c r="M48" i="14"/>
  <c r="AE48" i="14" s="1"/>
  <c r="L48" i="14"/>
  <c r="M45" i="14"/>
  <c r="AE45" i="14" s="1"/>
  <c r="L45" i="14"/>
  <c r="M35" i="14"/>
  <c r="AE35" i="14" s="1"/>
  <c r="L35" i="14"/>
  <c r="L29" i="14"/>
  <c r="M29" i="14"/>
  <c r="AE29" i="14" s="1"/>
  <c r="M33" i="14"/>
  <c r="AE33" i="14" s="1"/>
  <c r="L33" i="14"/>
  <c r="M46" i="14"/>
  <c r="AE46" i="14" s="1"/>
  <c r="L46" i="14"/>
  <c r="M28" i="14"/>
  <c r="AE28" i="14" s="1"/>
  <c r="L28" i="14"/>
  <c r="L17" i="14"/>
  <c r="M17" i="14"/>
  <c r="AE17" i="14" s="1"/>
  <c r="M26" i="14"/>
  <c r="AE26" i="14" s="1"/>
  <c r="L26" i="14"/>
  <c r="L18" i="14"/>
  <c r="M18" i="14"/>
  <c r="AE18" i="14" s="1"/>
  <c r="M25" i="14"/>
  <c r="AE25" i="14" s="1"/>
  <c r="L25" i="14"/>
  <c r="L43" i="14"/>
  <c r="M43" i="14"/>
  <c r="AE43" i="14" s="1"/>
  <c r="M15" i="14"/>
  <c r="AE15" i="14" s="1"/>
  <c r="L15" i="14"/>
  <c r="M24" i="14"/>
  <c r="AE24" i="14" s="1"/>
  <c r="L24" i="14"/>
  <c r="M30" i="14"/>
  <c r="AE30" i="14" s="1"/>
  <c r="L30" i="14"/>
  <c r="M34" i="14"/>
  <c r="AE34" i="14" s="1"/>
  <c r="L34" i="14"/>
  <c r="L40" i="14"/>
  <c r="M40" i="14"/>
  <c r="AE40" i="14" s="1"/>
  <c r="M23" i="14"/>
  <c r="AE23" i="14" s="1"/>
  <c r="L23" i="14"/>
  <c r="M12" i="14"/>
  <c r="AE12" i="14" s="1"/>
  <c r="L12" i="14"/>
  <c r="M27" i="14"/>
  <c r="AE27" i="14" s="1"/>
  <c r="L27" i="14"/>
  <c r="M10" i="14"/>
  <c r="AE10" i="14" s="1"/>
  <c r="L10" i="14"/>
  <c r="L32" i="14"/>
  <c r="M32" i="14"/>
  <c r="AE32" i="14" s="1"/>
  <c r="L19" i="14"/>
  <c r="M19" i="14"/>
  <c r="AE19" i="14" s="1"/>
  <c r="M51" i="14"/>
  <c r="AE51" i="14" s="1"/>
  <c r="L51" i="14"/>
  <c r="M36" i="14"/>
  <c r="AE36" i="14" s="1"/>
  <c r="L36" i="14"/>
  <c r="M39" i="14"/>
  <c r="AE39" i="14" s="1"/>
  <c r="L39" i="14"/>
  <c r="L6" i="14"/>
  <c r="M6" i="14"/>
  <c r="AE6" i="14" s="1"/>
  <c r="L41" i="14"/>
  <c r="M41" i="14"/>
  <c r="AE41" i="14" s="1"/>
  <c r="M3" i="14"/>
  <c r="AE3" i="14" s="1"/>
  <c r="L3" i="14"/>
  <c r="M22" i="14"/>
  <c r="AE22" i="14" s="1"/>
  <c r="L22" i="14"/>
  <c r="M5" i="14"/>
  <c r="AE5" i="14" s="1"/>
  <c r="L5" i="14"/>
  <c r="M14" i="14"/>
  <c r="AE14" i="14" s="1"/>
  <c r="L14" i="14"/>
  <c r="L8" i="14"/>
  <c r="M8" i="14"/>
  <c r="AE8" i="14" s="1"/>
  <c r="M50" i="14"/>
  <c r="AE50" i="14" s="1"/>
  <c r="L50" i="14"/>
  <c r="M37" i="14"/>
  <c r="AE37" i="14" s="1"/>
  <c r="L37" i="14"/>
  <c r="L4" i="14"/>
  <c r="M4" i="14"/>
  <c r="AE4" i="14" s="1"/>
  <c r="M47" i="14"/>
  <c r="AE47" i="14" s="1"/>
  <c r="L47" i="14"/>
  <c r="L44" i="14"/>
  <c r="M44" i="14"/>
  <c r="AE44" i="14" s="1"/>
  <c r="M13" i="14"/>
  <c r="AE13" i="14" s="1"/>
  <c r="L13" i="14"/>
  <c r="L42" i="14"/>
  <c r="M42" i="14"/>
  <c r="AE42" i="14" s="1"/>
  <c r="L16" i="14"/>
  <c r="M16" i="14"/>
  <c r="AE16" i="14" s="1"/>
  <c r="L20" i="14"/>
  <c r="M20" i="14"/>
  <c r="AE20" i="14" s="1"/>
  <c r="M2" i="14"/>
  <c r="AE2" i="14" s="1"/>
  <c r="L2" i="14"/>
  <c r="L31" i="14"/>
  <c r="M31" i="14"/>
  <c r="AE31" i="14" s="1"/>
  <c r="D83" i="14"/>
  <c r="H83" i="14" s="1"/>
  <c r="D99" i="14"/>
  <c r="H99" i="14" s="1"/>
  <c r="D82" i="14"/>
  <c r="G82" i="14" s="1"/>
  <c r="D86" i="14"/>
  <c r="G86" i="14" s="1"/>
  <c r="D78" i="14"/>
  <c r="H78" i="14" s="1"/>
  <c r="D100" i="14"/>
  <c r="H100" i="14" s="1"/>
  <c r="D91" i="14"/>
  <c r="G91" i="14" s="1"/>
  <c r="D90" i="14"/>
  <c r="H90" i="14" s="1"/>
  <c r="D88" i="14"/>
  <c r="G88" i="14" s="1"/>
  <c r="D77" i="14"/>
  <c r="H77" i="14" s="1"/>
  <c r="D92" i="14"/>
  <c r="H92" i="14" s="1"/>
  <c r="D84" i="14"/>
  <c r="H84" i="14" s="1"/>
  <c r="D96" i="14"/>
  <c r="G96" i="14" s="1"/>
  <c r="D93" i="14"/>
  <c r="H93" i="14" s="1"/>
  <c r="D97" i="14"/>
  <c r="G97" i="14" s="1"/>
  <c r="D95" i="14"/>
  <c r="G95" i="14" s="1"/>
  <c r="D81" i="14"/>
  <c r="H81" i="14" s="1"/>
  <c r="D102" i="14"/>
  <c r="D85" i="14"/>
  <c r="G85" i="14" s="1"/>
  <c r="D87" i="14"/>
  <c r="H87" i="14" s="1"/>
  <c r="H8" i="7"/>
  <c r="G79" i="14"/>
  <c r="H79" i="14"/>
  <c r="Z1" i="9"/>
  <c r="AA1" i="9" s="1"/>
  <c r="U1" i="14"/>
  <c r="K4" i="15"/>
  <c r="V1" i="14"/>
  <c r="H12" i="7"/>
  <c r="AH2" i="9"/>
  <c r="H6" i="7"/>
  <c r="J2" i="9"/>
  <c r="J3" i="9" s="1"/>
  <c r="J4" i="9" s="1"/>
  <c r="J5" i="9" s="1"/>
  <c r="J6" i="9" s="1"/>
  <c r="J7" i="9" s="1"/>
  <c r="J8" i="9" s="1"/>
  <c r="J9" i="9" s="1"/>
  <c r="J10" i="9" s="1"/>
  <c r="J11" i="9" s="1"/>
  <c r="J12" i="9" s="1"/>
  <c r="J13" i="9" s="1"/>
  <c r="J14" i="9" s="1"/>
  <c r="J15" i="9" s="1"/>
  <c r="J16" i="9" s="1"/>
  <c r="J17" i="9" s="1"/>
  <c r="J18" i="9" s="1"/>
  <c r="J19" i="9" s="1"/>
  <c r="J20" i="9" s="1"/>
  <c r="A11" i="9" l="1"/>
  <c r="A12" i="9" s="1" a="1"/>
  <c r="A12" i="9" s="1"/>
  <c r="E97" i="9" s="1"/>
  <c r="F97" i="9" s="1"/>
  <c r="A10" i="9"/>
  <c r="AK5" i="9"/>
  <c r="AK23" i="9"/>
  <c r="AK20" i="9"/>
  <c r="AK48" i="9"/>
  <c r="AK50" i="9"/>
  <c r="AK21" i="9"/>
  <c r="AK43" i="9"/>
  <c r="AK10" i="9"/>
  <c r="AK47" i="9"/>
  <c r="AK8" i="9"/>
  <c r="AK17" i="9"/>
  <c r="AK13" i="9"/>
  <c r="AK32" i="9"/>
  <c r="AK37" i="9"/>
  <c r="AK51" i="9"/>
  <c r="AK31" i="9"/>
  <c r="AK27" i="9"/>
  <c r="AK3" i="9"/>
  <c r="AK46" i="9"/>
  <c r="AK34" i="9"/>
  <c r="AK29" i="9"/>
  <c r="AK7" i="9"/>
  <c r="AK44" i="9"/>
  <c r="AK26" i="9"/>
  <c r="AK1" i="9"/>
  <c r="AK16" i="9"/>
  <c r="AK45" i="9"/>
  <c r="AK22" i="9"/>
  <c r="AK12" i="9"/>
  <c r="AK41" i="9"/>
  <c r="AK19" i="9"/>
  <c r="AK9" i="9"/>
  <c r="AK38" i="9"/>
  <c r="AK33" i="9"/>
  <c r="AK25" i="9"/>
  <c r="AK14" i="9"/>
  <c r="AK6" i="9"/>
  <c r="AK4" i="9"/>
  <c r="AK39" i="9"/>
  <c r="AK36" i="9"/>
  <c r="AK18" i="9"/>
  <c r="AK24" i="9"/>
  <c r="AK11" i="9"/>
  <c r="AK28" i="9"/>
  <c r="AK30" i="9"/>
  <c r="AK49" i="9"/>
  <c r="AK35" i="9"/>
  <c r="AK15" i="9"/>
  <c r="AK42" i="9"/>
  <c r="AK2" i="9"/>
  <c r="AK40" i="9"/>
  <c r="H94" i="14"/>
  <c r="O94" i="14" s="1"/>
  <c r="B95" i="20" s="1"/>
  <c r="H98" i="14"/>
  <c r="N98" i="14" s="1"/>
  <c r="A99" i="20" s="1"/>
  <c r="H89" i="14"/>
  <c r="O89" i="14" s="1"/>
  <c r="B90" i="20" s="1"/>
  <c r="H101" i="14"/>
  <c r="O101" i="14" s="1"/>
  <c r="B102" i="20" s="1"/>
  <c r="H80" i="14"/>
  <c r="N80" i="14" s="1"/>
  <c r="A81" i="20" s="1"/>
  <c r="G83" i="14"/>
  <c r="N83" i="14" s="1"/>
  <c r="A84" i="20" s="1"/>
  <c r="H96" i="14"/>
  <c r="O96" i="14" s="1"/>
  <c r="B97" i="20" s="1"/>
  <c r="G77" i="14"/>
  <c r="N77" i="14" s="1"/>
  <c r="A78" i="20" s="1"/>
  <c r="H82" i="14"/>
  <c r="O82" i="14" s="1"/>
  <c r="B83" i="20" s="1"/>
  <c r="G99" i="14"/>
  <c r="N99" i="14" s="1"/>
  <c r="A100" i="20" s="1"/>
  <c r="G78" i="14"/>
  <c r="O78" i="14" s="1"/>
  <c r="B79" i="20" s="1"/>
  <c r="G93" i="14"/>
  <c r="O93" i="14" s="1"/>
  <c r="B94" i="20" s="1"/>
  <c r="H91" i="14"/>
  <c r="O91" i="14" s="1"/>
  <c r="B92" i="20" s="1"/>
  <c r="O79" i="14"/>
  <c r="B80" i="20" s="1"/>
  <c r="N79" i="14"/>
  <c r="A80" i="20" s="1"/>
  <c r="L1" i="14"/>
  <c r="M1" i="14"/>
  <c r="AE1" i="14" s="1"/>
  <c r="G100" i="14"/>
  <c r="G90" i="14"/>
  <c r="H86" i="14"/>
  <c r="N86" i="14" s="1"/>
  <c r="A87" i="20" s="1"/>
  <c r="H88" i="14"/>
  <c r="O88" i="14" s="1"/>
  <c r="B89" i="20" s="1"/>
  <c r="G92" i="14"/>
  <c r="G84" i="14"/>
  <c r="H97" i="14"/>
  <c r="O97" i="14" s="1"/>
  <c r="B98" i="20" s="1"/>
  <c r="G81" i="14"/>
  <c r="H95" i="14"/>
  <c r="N95" i="14" s="1"/>
  <c r="A96" i="20" s="1"/>
  <c r="G87" i="14"/>
  <c r="D67" i="14"/>
  <c r="D73" i="14"/>
  <c r="D56" i="14"/>
  <c r="D62" i="14"/>
  <c r="D68" i="14"/>
  <c r="D74" i="14"/>
  <c r="D57" i="14"/>
  <c r="D63" i="14"/>
  <c r="D72" i="14"/>
  <c r="D64" i="14"/>
  <c r="D69" i="14"/>
  <c r="D75" i="14"/>
  <c r="D76" i="14"/>
  <c r="D58" i="14"/>
  <c r="D52" i="14"/>
  <c r="D53" i="14"/>
  <c r="D70" i="14"/>
  <c r="D60" i="14"/>
  <c r="D51" i="14"/>
  <c r="D61" i="14"/>
  <c r="D65" i="14"/>
  <c r="D59" i="14"/>
  <c r="D54" i="14"/>
  <c r="D71" i="14"/>
  <c r="D66" i="14"/>
  <c r="D55" i="14"/>
  <c r="H85" i="14"/>
  <c r="N85" i="14" s="1"/>
  <c r="A86" i="20" s="1"/>
  <c r="K6" i="7"/>
  <c r="AB1" i="9"/>
  <c r="C82" i="9" s="1"/>
  <c r="D41" i="14"/>
  <c r="H41" i="14" s="1"/>
  <c r="D23" i="14"/>
  <c r="G23" i="14" s="1"/>
  <c r="D48" i="14"/>
  <c r="G48" i="14" s="1"/>
  <c r="D5" i="14"/>
  <c r="D7" i="14"/>
  <c r="G7" i="14" s="1"/>
  <c r="D35" i="14"/>
  <c r="G35" i="14" s="1"/>
  <c r="D9" i="14"/>
  <c r="D8" i="14"/>
  <c r="G8" i="14" s="1"/>
  <c r="D28" i="14"/>
  <c r="D12" i="14"/>
  <c r="D30" i="14"/>
  <c r="D1" i="14"/>
  <c r="D37" i="14"/>
  <c r="H37" i="14" s="1"/>
  <c r="D20" i="14"/>
  <c r="G20" i="14" s="1"/>
  <c r="D22" i="14"/>
  <c r="D10" i="14"/>
  <c r="D29" i="14"/>
  <c r="D42" i="14"/>
  <c r="D50" i="14"/>
  <c r="D14" i="14"/>
  <c r="D11" i="14"/>
  <c r="D31" i="14"/>
  <c r="D2" i="14"/>
  <c r="D21" i="14"/>
  <c r="D4" i="14"/>
  <c r="D3" i="14"/>
  <c r="D24" i="14"/>
  <c r="D26" i="14"/>
  <c r="D40" i="14"/>
  <c r="D18" i="14"/>
  <c r="D44" i="14"/>
  <c r="D49" i="14"/>
  <c r="D33" i="14"/>
  <c r="D17" i="14"/>
  <c r="D36" i="14"/>
  <c r="D38" i="14"/>
  <c r="D15" i="14"/>
  <c r="D46" i="14"/>
  <c r="D25" i="14"/>
  <c r="D6" i="14"/>
  <c r="D13" i="14"/>
  <c r="D19" i="14"/>
  <c r="D47" i="14"/>
  <c r="D45" i="14"/>
  <c r="D32" i="14"/>
  <c r="D39" i="14"/>
  <c r="D34" i="14"/>
  <c r="D27" i="14"/>
  <c r="D43" i="14"/>
  <c r="D16" i="14"/>
  <c r="K4" i="7"/>
  <c r="E21" i="9" l="1"/>
  <c r="F21" i="9" s="1"/>
  <c r="E36" i="9"/>
  <c r="F36" i="9" s="1"/>
  <c r="E60" i="9"/>
  <c r="F60" i="9" s="1"/>
  <c r="D24" i="9"/>
  <c r="O24" i="9" s="1"/>
  <c r="D14" i="9"/>
  <c r="O14" i="9" s="1"/>
  <c r="E27" i="9"/>
  <c r="F27" i="9" s="1"/>
  <c r="D30" i="9"/>
  <c r="N30" i="9" s="1"/>
  <c r="E48" i="9"/>
  <c r="F48" i="9" s="1"/>
  <c r="E11" i="9"/>
  <c r="F11" i="9" s="1"/>
  <c r="E49" i="9"/>
  <c r="F49" i="9" s="1"/>
  <c r="E19" i="9"/>
  <c r="F19" i="9" s="1"/>
  <c r="E34" i="9"/>
  <c r="F34" i="9" s="1"/>
  <c r="E4" i="9"/>
  <c r="F4" i="9" s="1"/>
  <c r="D1" i="9"/>
  <c r="O1" i="9" s="1"/>
  <c r="D39" i="9"/>
  <c r="N39" i="9" s="1"/>
  <c r="D99" i="9"/>
  <c r="E56" i="9"/>
  <c r="F56" i="9" s="1"/>
  <c r="D93" i="9"/>
  <c r="E54" i="9"/>
  <c r="F54" i="9" s="1"/>
  <c r="D91" i="9"/>
  <c r="D89" i="9"/>
  <c r="D69" i="9"/>
  <c r="E101" i="9"/>
  <c r="F101" i="9" s="1"/>
  <c r="E81" i="9"/>
  <c r="F81" i="9" s="1"/>
  <c r="E5" i="9"/>
  <c r="F5" i="9" s="1"/>
  <c r="E51" i="9"/>
  <c r="F51" i="9" s="1"/>
  <c r="D96" i="9"/>
  <c r="E64" i="9"/>
  <c r="F64" i="9" s="1"/>
  <c r="D8" i="9"/>
  <c r="O8" i="9" s="1"/>
  <c r="D101" i="9"/>
  <c r="D4" i="9"/>
  <c r="O4" i="9" s="1"/>
  <c r="E24" i="9"/>
  <c r="F24" i="9" s="1"/>
  <c r="E58" i="9"/>
  <c r="F58" i="9" s="1"/>
  <c r="D59" i="9"/>
  <c r="E72" i="9"/>
  <c r="F72" i="9" s="1"/>
  <c r="D71" i="9"/>
  <c r="E63" i="9"/>
  <c r="F63" i="9" s="1"/>
  <c r="D67" i="9"/>
  <c r="E68" i="9"/>
  <c r="F68" i="9" s="1"/>
  <c r="E70" i="9"/>
  <c r="F70" i="9" s="1"/>
  <c r="E76" i="9"/>
  <c r="F76" i="9" s="1"/>
  <c r="E78" i="9"/>
  <c r="F78" i="9" s="1"/>
  <c r="E80" i="9"/>
  <c r="F80" i="9" s="1"/>
  <c r="D6" i="9"/>
  <c r="O6" i="9" s="1"/>
  <c r="E18" i="9"/>
  <c r="F18" i="9" s="1"/>
  <c r="E47" i="9"/>
  <c r="F47" i="9" s="1"/>
  <c r="D27" i="9"/>
  <c r="N27" i="9" s="1"/>
  <c r="D40" i="9"/>
  <c r="N40" i="9" s="1"/>
  <c r="D33" i="9"/>
  <c r="O33" i="9" s="1"/>
  <c r="E16" i="9"/>
  <c r="F16" i="9" s="1"/>
  <c r="D37" i="9"/>
  <c r="O37" i="9" s="1"/>
  <c r="E10" i="9"/>
  <c r="F10" i="9" s="1"/>
  <c r="E96" i="9"/>
  <c r="F96" i="9" s="1"/>
  <c r="E87" i="9"/>
  <c r="F87" i="9" s="1"/>
  <c r="D54" i="9"/>
  <c r="D62" i="9"/>
  <c r="D66" i="9"/>
  <c r="D5" i="9"/>
  <c r="O5" i="9" s="1"/>
  <c r="E25" i="9"/>
  <c r="F25" i="9" s="1"/>
  <c r="D34" i="9"/>
  <c r="N34" i="9" s="1"/>
  <c r="E12" i="9"/>
  <c r="F12" i="9" s="1"/>
  <c r="D58" i="9"/>
  <c r="E99" i="9"/>
  <c r="F99" i="9" s="1"/>
  <c r="D74" i="9"/>
  <c r="D78" i="9"/>
  <c r="D86" i="9"/>
  <c r="D44" i="9"/>
  <c r="O44" i="9" s="1"/>
  <c r="D9" i="9"/>
  <c r="N9" i="9" s="1"/>
  <c r="E14" i="9"/>
  <c r="F14" i="9" s="1"/>
  <c r="D35" i="9"/>
  <c r="N35" i="9" s="1"/>
  <c r="E74" i="9"/>
  <c r="F74" i="9" s="1"/>
  <c r="E102" i="9"/>
  <c r="F102" i="9" s="1"/>
  <c r="D92" i="9"/>
  <c r="D100" i="9"/>
  <c r="D102" i="9"/>
  <c r="E38" i="9"/>
  <c r="F38" i="9" s="1"/>
  <c r="D28" i="9"/>
  <c r="N28" i="9" s="1"/>
  <c r="D50" i="9"/>
  <c r="N50" i="9" s="1"/>
  <c r="D38" i="9"/>
  <c r="N38" i="9" s="1"/>
  <c r="E86" i="9"/>
  <c r="F86" i="9" s="1"/>
  <c r="D73" i="9"/>
  <c r="E55" i="9"/>
  <c r="F55" i="9" s="1"/>
  <c r="E59" i="9"/>
  <c r="F59" i="9" s="1"/>
  <c r="E20" i="9"/>
  <c r="F20" i="9" s="1"/>
  <c r="E50" i="9"/>
  <c r="F50" i="9" s="1"/>
  <c r="D47" i="9"/>
  <c r="N47" i="9" s="1"/>
  <c r="E40" i="9"/>
  <c r="F40" i="9" s="1"/>
  <c r="E43" i="9"/>
  <c r="F43" i="9" s="1"/>
  <c r="D94" i="9"/>
  <c r="D88" i="9"/>
  <c r="E71" i="9"/>
  <c r="F71" i="9" s="1"/>
  <c r="E79" i="9"/>
  <c r="F79" i="9" s="1"/>
  <c r="D25" i="9"/>
  <c r="N25" i="9" s="1"/>
  <c r="D7" i="9"/>
  <c r="N7" i="9" s="1"/>
  <c r="D21" i="9"/>
  <c r="N21" i="9" s="1"/>
  <c r="D29" i="9"/>
  <c r="N29" i="9" s="1"/>
  <c r="D60" i="9"/>
  <c r="E67" i="9"/>
  <c r="F67" i="9" s="1"/>
  <c r="E91" i="9"/>
  <c r="F91" i="9" s="1"/>
  <c r="E95" i="9"/>
  <c r="F95" i="9" s="1"/>
  <c r="E2" i="9"/>
  <c r="F2" i="9" s="1"/>
  <c r="D26" i="9"/>
  <c r="N26" i="9" s="1"/>
  <c r="E17" i="9"/>
  <c r="F17" i="9" s="1"/>
  <c r="E22" i="9"/>
  <c r="F22" i="9" s="1"/>
  <c r="E73" i="9"/>
  <c r="F73" i="9" s="1"/>
  <c r="D51" i="9"/>
  <c r="N51" i="9" s="1"/>
  <c r="D55" i="9"/>
  <c r="D63" i="9"/>
  <c r="D19" i="9"/>
  <c r="N19" i="9" s="1"/>
  <c r="D17" i="9"/>
  <c r="O17" i="9" s="1"/>
  <c r="E42" i="9"/>
  <c r="F42" i="9" s="1"/>
  <c r="E7" i="9"/>
  <c r="F7" i="9" s="1"/>
  <c r="D84" i="9"/>
  <c r="D53" i="9"/>
  <c r="D77" i="9"/>
  <c r="D81" i="9"/>
  <c r="D15" i="9"/>
  <c r="N15" i="9" s="1"/>
  <c r="D36" i="9"/>
  <c r="N36" i="9" s="1"/>
  <c r="D13" i="9"/>
  <c r="O13" i="9" s="1"/>
  <c r="E84" i="9"/>
  <c r="F84" i="9" s="1"/>
  <c r="D83" i="9"/>
  <c r="E75" i="9"/>
  <c r="F75" i="9" s="1"/>
  <c r="D87" i="9"/>
  <c r="E88" i="9"/>
  <c r="F88" i="9" s="1"/>
  <c r="E90" i="9"/>
  <c r="F90" i="9" s="1"/>
  <c r="E92" i="9"/>
  <c r="F92" i="9" s="1"/>
  <c r="E94" i="9"/>
  <c r="F94" i="9" s="1"/>
  <c r="E100" i="9"/>
  <c r="F100" i="9" s="1"/>
  <c r="D20" i="9"/>
  <c r="O20" i="9" s="1"/>
  <c r="E8" i="9"/>
  <c r="F8" i="9" s="1"/>
  <c r="E46" i="9"/>
  <c r="F46" i="9" s="1"/>
  <c r="D46" i="9"/>
  <c r="O46" i="9" s="1"/>
  <c r="E15" i="9"/>
  <c r="F15" i="9" s="1"/>
  <c r="E39" i="9"/>
  <c r="F39" i="9" s="1"/>
  <c r="E35" i="9"/>
  <c r="F35" i="9" s="1"/>
  <c r="E33" i="9"/>
  <c r="F33" i="9" s="1"/>
  <c r="E28" i="9"/>
  <c r="F28" i="9" s="1"/>
  <c r="D95" i="9"/>
  <c r="E66" i="9"/>
  <c r="F66" i="9" s="1"/>
  <c r="D56" i="9"/>
  <c r="D64" i="9"/>
  <c r="E44" i="9"/>
  <c r="F44" i="9" s="1"/>
  <c r="E31" i="9"/>
  <c r="F31" i="9" s="1"/>
  <c r="D48" i="9"/>
  <c r="O48" i="9" s="1"/>
  <c r="D10" i="9"/>
  <c r="N10" i="9" s="1"/>
  <c r="D31" i="9"/>
  <c r="O31" i="9" s="1"/>
  <c r="E62" i="9"/>
  <c r="F62" i="9" s="1"/>
  <c r="E82" i="9"/>
  <c r="F82" i="9" s="1"/>
  <c r="G82" i="9" s="1"/>
  <c r="D76" i="9"/>
  <c r="D80" i="9"/>
  <c r="D32" i="9"/>
  <c r="O32" i="9" s="1"/>
  <c r="E29" i="9"/>
  <c r="F29" i="9" s="1"/>
  <c r="E3" i="9"/>
  <c r="F3" i="9" s="1"/>
  <c r="D43" i="9"/>
  <c r="O43" i="9" s="1"/>
  <c r="D70" i="9"/>
  <c r="D61" i="9"/>
  <c r="D90" i="9"/>
  <c r="D98" i="9"/>
  <c r="E32" i="9"/>
  <c r="F32" i="9" s="1"/>
  <c r="E23" i="9"/>
  <c r="F23" i="9" s="1"/>
  <c r="D16" i="9"/>
  <c r="N16" i="9" s="1"/>
  <c r="E9" i="9"/>
  <c r="F9" i="9" s="1"/>
  <c r="D82" i="9"/>
  <c r="D68" i="9"/>
  <c r="E53" i="9"/>
  <c r="F53" i="9" s="1"/>
  <c r="E57" i="9"/>
  <c r="F57" i="9" s="1"/>
  <c r="D52" i="9"/>
  <c r="E1" i="9"/>
  <c r="F1" i="9" s="1"/>
  <c r="D41" i="9"/>
  <c r="O41" i="9" s="1"/>
  <c r="D22" i="9"/>
  <c r="N22" i="9" s="1"/>
  <c r="E98" i="9"/>
  <c r="F98" i="9" s="1"/>
  <c r="D85" i="9"/>
  <c r="E69" i="9"/>
  <c r="F69" i="9" s="1"/>
  <c r="E77" i="9"/>
  <c r="F77" i="9" s="1"/>
  <c r="E52" i="9"/>
  <c r="F52" i="9" s="1"/>
  <c r="AH1" i="9" s="1"/>
  <c r="AJ51" i="9" s="1"/>
  <c r="E45" i="9"/>
  <c r="F45" i="9" s="1"/>
  <c r="E6" i="9"/>
  <c r="F6" i="9" s="1"/>
  <c r="D2" i="9"/>
  <c r="N2" i="9" s="1"/>
  <c r="E13" i="9"/>
  <c r="F13" i="9" s="1"/>
  <c r="E61" i="9"/>
  <c r="F61" i="9" s="1"/>
  <c r="D97" i="9"/>
  <c r="E89" i="9"/>
  <c r="F89" i="9" s="1"/>
  <c r="E93" i="9"/>
  <c r="F93" i="9" s="1"/>
  <c r="D12" i="9"/>
  <c r="O12" i="9" s="1"/>
  <c r="E37" i="9"/>
  <c r="F37" i="9" s="1"/>
  <c r="E41" i="9"/>
  <c r="F41" i="9" s="1"/>
  <c r="D3" i="9"/>
  <c r="N3" i="9" s="1"/>
  <c r="D72" i="9"/>
  <c r="E83" i="9"/>
  <c r="F83" i="9" s="1"/>
  <c r="D57" i="9"/>
  <c r="D65" i="9"/>
  <c r="D42" i="9"/>
  <c r="O42" i="9" s="1"/>
  <c r="D45" i="9"/>
  <c r="O45" i="9" s="1"/>
  <c r="D23" i="9"/>
  <c r="N23" i="9" s="1"/>
  <c r="D11" i="9"/>
  <c r="O11" i="9" s="1"/>
  <c r="E85" i="9"/>
  <c r="F85" i="9" s="1"/>
  <c r="E65" i="9"/>
  <c r="F65" i="9" s="1"/>
  <c r="D75" i="9"/>
  <c r="D79" i="9"/>
  <c r="D18" i="9"/>
  <c r="O18" i="9" s="1"/>
  <c r="E26" i="9"/>
  <c r="F26" i="9" s="1"/>
  <c r="E30" i="9"/>
  <c r="F30" i="9" s="1"/>
  <c r="D49" i="9"/>
  <c r="O49" i="9" s="1"/>
  <c r="AC1" i="9"/>
  <c r="O19" i="9"/>
  <c r="O98" i="14"/>
  <c r="B99" i="20" s="1"/>
  <c r="N94" i="14"/>
  <c r="A95" i="20" s="1"/>
  <c r="N82" i="14"/>
  <c r="A83" i="20" s="1"/>
  <c r="N89" i="14"/>
  <c r="A90" i="20" s="1"/>
  <c r="N96" i="14"/>
  <c r="A97" i="20" s="1"/>
  <c r="N101" i="14"/>
  <c r="A102" i="20" s="1"/>
  <c r="O83" i="14"/>
  <c r="B84" i="20" s="1"/>
  <c r="O80" i="14"/>
  <c r="B81" i="20" s="1"/>
  <c r="O99" i="14"/>
  <c r="B100" i="20" s="1"/>
  <c r="O77" i="14"/>
  <c r="B78" i="20" s="1"/>
  <c r="N91" i="14"/>
  <c r="A92" i="20" s="1"/>
  <c r="O85" i="14"/>
  <c r="B86" i="20" s="1"/>
  <c r="N78" i="14"/>
  <c r="A79" i="20" s="1"/>
  <c r="N93" i="14"/>
  <c r="A94" i="20" s="1"/>
  <c r="O95" i="14"/>
  <c r="B96" i="20" s="1"/>
  <c r="N97" i="14"/>
  <c r="A98" i="20" s="1"/>
  <c r="O100" i="14"/>
  <c r="B101" i="20" s="1"/>
  <c r="N100" i="14"/>
  <c r="A101" i="20" s="1"/>
  <c r="N88" i="14"/>
  <c r="A89" i="20" s="1"/>
  <c r="O86" i="14"/>
  <c r="B87" i="20" s="1"/>
  <c r="O92" i="14"/>
  <c r="B93" i="20" s="1"/>
  <c r="N92" i="14"/>
  <c r="A93" i="20" s="1"/>
  <c r="O81" i="14"/>
  <c r="B82" i="20" s="1"/>
  <c r="N81" i="14"/>
  <c r="A82" i="20" s="1"/>
  <c r="N84" i="14"/>
  <c r="A85" i="20" s="1"/>
  <c r="O84" i="14"/>
  <c r="B85" i="20" s="1"/>
  <c r="O90" i="14"/>
  <c r="B91" i="20" s="1"/>
  <c r="N90" i="14"/>
  <c r="A91" i="20" s="1"/>
  <c r="N87" i="14"/>
  <c r="A88" i="20" s="1"/>
  <c r="O87" i="14"/>
  <c r="B88" i="20" s="1"/>
  <c r="H61" i="14"/>
  <c r="G61" i="14"/>
  <c r="G63" i="14"/>
  <c r="H63" i="14"/>
  <c r="G51" i="14"/>
  <c r="H51" i="14"/>
  <c r="H57" i="14"/>
  <c r="G57" i="14"/>
  <c r="G64" i="14"/>
  <c r="H64" i="14"/>
  <c r="H65" i="14"/>
  <c r="G65" i="14"/>
  <c r="G74" i="14"/>
  <c r="H74" i="14"/>
  <c r="H70" i="14"/>
  <c r="G70" i="14"/>
  <c r="G53" i="14"/>
  <c r="H53" i="14"/>
  <c r="H52" i="14"/>
  <c r="G52" i="14"/>
  <c r="G56" i="14"/>
  <c r="H56" i="14"/>
  <c r="H54" i="14"/>
  <c r="G54" i="14"/>
  <c r="H72" i="14"/>
  <c r="G72" i="14"/>
  <c r="H55" i="14"/>
  <c r="G55" i="14"/>
  <c r="H58" i="14"/>
  <c r="G58" i="14"/>
  <c r="G73" i="14"/>
  <c r="H73" i="14"/>
  <c r="G67" i="14"/>
  <c r="H67" i="14"/>
  <c r="H69" i="14"/>
  <c r="G69" i="14"/>
  <c r="G59" i="14"/>
  <c r="H59" i="14"/>
  <c r="G60" i="14"/>
  <c r="H60" i="14"/>
  <c r="H68" i="14"/>
  <c r="G68" i="14"/>
  <c r="H62" i="14"/>
  <c r="G62" i="14"/>
  <c r="H66" i="14"/>
  <c r="G66" i="14"/>
  <c r="H76" i="14"/>
  <c r="G76" i="14"/>
  <c r="G71" i="14"/>
  <c r="H71" i="14"/>
  <c r="G75" i="14"/>
  <c r="H75" i="14"/>
  <c r="C87" i="9"/>
  <c r="C92" i="9"/>
  <c r="C91" i="9"/>
  <c r="C84" i="9"/>
  <c r="C81" i="9"/>
  <c r="C96" i="9"/>
  <c r="C85" i="9"/>
  <c r="C97" i="9"/>
  <c r="G97" i="9" s="1"/>
  <c r="C89" i="9"/>
  <c r="C93" i="9"/>
  <c r="C101" i="9"/>
  <c r="C99" i="9"/>
  <c r="C83" i="9"/>
  <c r="C94" i="9"/>
  <c r="C90" i="9"/>
  <c r="C88" i="9"/>
  <c r="C98" i="9"/>
  <c r="C95" i="9"/>
  <c r="C86" i="9"/>
  <c r="C102" i="9"/>
  <c r="C100" i="9"/>
  <c r="G41" i="14"/>
  <c r="G28" i="14"/>
  <c r="H12" i="14"/>
  <c r="H22" i="14"/>
  <c r="G12" i="14"/>
  <c r="G22" i="14"/>
  <c r="H28" i="14"/>
  <c r="G29" i="14"/>
  <c r="H23" i="14"/>
  <c r="O23" i="14" s="1"/>
  <c r="B24" i="20" s="1"/>
  <c r="H29" i="14"/>
  <c r="H8" i="14"/>
  <c r="O8" i="14" s="1"/>
  <c r="B9" i="20" s="1"/>
  <c r="H20" i="14"/>
  <c r="N20" i="14" s="1"/>
  <c r="A21" i="20" s="1"/>
  <c r="H11" i="14"/>
  <c r="G11" i="14"/>
  <c r="G10" i="14"/>
  <c r="H10" i="14"/>
  <c r="H48" i="14"/>
  <c r="N48" i="14" s="1"/>
  <c r="A49" i="20" s="1"/>
  <c r="H9" i="14"/>
  <c r="G9" i="14"/>
  <c r="G37" i="14"/>
  <c r="H35" i="14"/>
  <c r="N35" i="14" s="1"/>
  <c r="A36" i="20" s="1"/>
  <c r="H7" i="14"/>
  <c r="O7" i="14" s="1"/>
  <c r="B8" i="20" s="1"/>
  <c r="H30" i="14"/>
  <c r="H5" i="14"/>
  <c r="G5" i="14"/>
  <c r="G30" i="14"/>
  <c r="H42" i="14"/>
  <c r="H50" i="14"/>
  <c r="H14" i="14"/>
  <c r="G50" i="14"/>
  <c r="G14" i="14"/>
  <c r="G42" i="14"/>
  <c r="G25" i="14"/>
  <c r="H25" i="14"/>
  <c r="G33" i="14"/>
  <c r="H33" i="14"/>
  <c r="G45" i="14"/>
  <c r="H45" i="14"/>
  <c r="G46" i="14"/>
  <c r="H46" i="14"/>
  <c r="G38" i="14"/>
  <c r="H38" i="14"/>
  <c r="G49" i="14"/>
  <c r="H49" i="14"/>
  <c r="G24" i="14"/>
  <c r="H24" i="14"/>
  <c r="G31" i="14"/>
  <c r="H31" i="14"/>
  <c r="G27" i="14"/>
  <c r="H27" i="14"/>
  <c r="G47" i="14"/>
  <c r="H47" i="14"/>
  <c r="G44" i="14"/>
  <c r="H44" i="14"/>
  <c r="G3" i="14"/>
  <c r="H3" i="14"/>
  <c r="G34" i="14"/>
  <c r="H34" i="14"/>
  <c r="G36" i="14"/>
  <c r="H36" i="14"/>
  <c r="G4" i="14"/>
  <c r="H4" i="14"/>
  <c r="G18" i="14"/>
  <c r="H18" i="14"/>
  <c r="G13" i="14"/>
  <c r="H13" i="14"/>
  <c r="G16" i="14"/>
  <c r="H16" i="14"/>
  <c r="G17" i="14"/>
  <c r="H17" i="14"/>
  <c r="G19" i="14"/>
  <c r="H19" i="14"/>
  <c r="G40" i="14"/>
  <c r="H40" i="14"/>
  <c r="G32" i="14"/>
  <c r="H32" i="14"/>
  <c r="G15" i="14"/>
  <c r="H15" i="14"/>
  <c r="G39" i="14"/>
  <c r="H39" i="14"/>
  <c r="G21" i="14"/>
  <c r="H21" i="14"/>
  <c r="G2" i="14"/>
  <c r="H2" i="14"/>
  <c r="G6" i="14"/>
  <c r="H6" i="14"/>
  <c r="G26" i="14"/>
  <c r="H26" i="14"/>
  <c r="G43" i="14"/>
  <c r="H43" i="14"/>
  <c r="N14" i="9" l="1"/>
  <c r="N4" i="9"/>
  <c r="O28" i="9"/>
  <c r="N1" i="9"/>
  <c r="O50" i="9"/>
  <c r="N32" i="9"/>
  <c r="G96" i="9"/>
  <c r="O39" i="9"/>
  <c r="N24" i="9"/>
  <c r="H85" i="9"/>
  <c r="N12" i="9"/>
  <c r="G91" i="9"/>
  <c r="N17" i="9"/>
  <c r="H82" i="9"/>
  <c r="Q82" i="9" s="1"/>
  <c r="B83" i="19" s="1"/>
  <c r="O23" i="9"/>
  <c r="G93" i="9"/>
  <c r="H101" i="9"/>
  <c r="H89" i="9"/>
  <c r="O38" i="9"/>
  <c r="O30" i="9"/>
  <c r="AJ37" i="9"/>
  <c r="O47" i="9"/>
  <c r="N41" i="9"/>
  <c r="AJ43" i="9"/>
  <c r="G90" i="9"/>
  <c r="N8" i="9"/>
  <c r="N44" i="9"/>
  <c r="O26" i="9"/>
  <c r="N33" i="9"/>
  <c r="N46" i="9"/>
  <c r="G81" i="9"/>
  <c r="N42" i="9"/>
  <c r="H88" i="9"/>
  <c r="O10" i="9"/>
  <c r="N13" i="9"/>
  <c r="N48" i="9"/>
  <c r="O34" i="9"/>
  <c r="AJ35" i="9"/>
  <c r="O27" i="9"/>
  <c r="AJ24" i="9"/>
  <c r="G98" i="9"/>
  <c r="N20" i="9"/>
  <c r="N49" i="9"/>
  <c r="G84" i="9"/>
  <c r="O40" i="9"/>
  <c r="H94" i="9"/>
  <c r="H92" i="9"/>
  <c r="O9" i="9"/>
  <c r="O21" i="9"/>
  <c r="O7" i="9"/>
  <c r="O29" i="9"/>
  <c r="N5" i="9"/>
  <c r="AJ44" i="9"/>
  <c r="G83" i="9"/>
  <c r="H87" i="9"/>
  <c r="N6" i="9"/>
  <c r="O35" i="9"/>
  <c r="O25" i="9"/>
  <c r="O2" i="9"/>
  <c r="O3" i="9"/>
  <c r="N11" i="9"/>
  <c r="AJ38" i="9"/>
  <c r="H99" i="9"/>
  <c r="AJ15" i="9"/>
  <c r="AJ40" i="9"/>
  <c r="H100" i="9"/>
  <c r="N43" i="9"/>
  <c r="N18" i="9"/>
  <c r="AJ31" i="9"/>
  <c r="AJ13" i="9"/>
  <c r="O15" i="9"/>
  <c r="AJ28" i="9"/>
  <c r="AJ25" i="9"/>
  <c r="AJ1" i="9"/>
  <c r="H86" i="9"/>
  <c r="N31" i="9"/>
  <c r="O16" i="9"/>
  <c r="O22" i="9"/>
  <c r="N45" i="9"/>
  <c r="O36" i="9"/>
  <c r="AJ39" i="9"/>
  <c r="AJ50" i="9"/>
  <c r="N37" i="9"/>
  <c r="O51" i="9"/>
  <c r="AJ9" i="9"/>
  <c r="AJ7" i="9"/>
  <c r="AJ16" i="9"/>
  <c r="H95" i="9"/>
  <c r="X1" i="9"/>
  <c r="V1" i="9"/>
  <c r="W1" i="9"/>
  <c r="C72" i="9" s="1"/>
  <c r="C75" i="9"/>
  <c r="H75" i="9" s="1"/>
  <c r="C79" i="9"/>
  <c r="H79" i="9" s="1"/>
  <c r="C80" i="9"/>
  <c r="H80" i="9" s="1"/>
  <c r="C78" i="9"/>
  <c r="G78" i="9" s="1"/>
  <c r="C77" i="9"/>
  <c r="G77" i="9" s="1"/>
  <c r="C74" i="9"/>
  <c r="H74" i="9" s="1"/>
  <c r="C76" i="9"/>
  <c r="G76" i="9" s="1"/>
  <c r="N23" i="14"/>
  <c r="A24" i="20" s="1"/>
  <c r="O55" i="14"/>
  <c r="B56" i="20" s="1"/>
  <c r="N55" i="14"/>
  <c r="A56" i="20" s="1"/>
  <c r="O60" i="14"/>
  <c r="B61" i="20" s="1"/>
  <c r="N60" i="14"/>
  <c r="A61" i="20" s="1"/>
  <c r="O72" i="14"/>
  <c r="B73" i="20" s="1"/>
  <c r="N72" i="14"/>
  <c r="A73" i="20" s="1"/>
  <c r="N61" i="14"/>
  <c r="A62" i="20" s="1"/>
  <c r="O61" i="14"/>
  <c r="B62" i="20" s="1"/>
  <c r="O59" i="14"/>
  <c r="B60" i="20" s="1"/>
  <c r="N59" i="14"/>
  <c r="A60" i="20" s="1"/>
  <c r="O54" i="14"/>
  <c r="B55" i="20" s="1"/>
  <c r="N54" i="14"/>
  <c r="A55" i="20" s="1"/>
  <c r="O66" i="14"/>
  <c r="B67" i="20" s="1"/>
  <c r="N66" i="14"/>
  <c r="A67" i="20" s="1"/>
  <c r="O35" i="14"/>
  <c r="B36" i="20" s="1"/>
  <c r="O58" i="14"/>
  <c r="B59" i="20" s="1"/>
  <c r="N58" i="14"/>
  <c r="A59" i="20" s="1"/>
  <c r="O70" i="14"/>
  <c r="B71" i="20" s="1"/>
  <c r="N70" i="14"/>
  <c r="A71" i="20" s="1"/>
  <c r="N75" i="14"/>
  <c r="A76" i="20" s="1"/>
  <c r="O75" i="14"/>
  <c r="B76" i="20" s="1"/>
  <c r="O71" i="14"/>
  <c r="B72" i="20" s="1"/>
  <c r="N71" i="14"/>
  <c r="A72" i="20" s="1"/>
  <c r="N74" i="14"/>
  <c r="A75" i="20" s="1"/>
  <c r="O74" i="14"/>
  <c r="B75" i="20" s="1"/>
  <c r="O76" i="14"/>
  <c r="B77" i="20" s="1"/>
  <c r="N76" i="14"/>
  <c r="A77" i="20" s="1"/>
  <c r="O65" i="14"/>
  <c r="B66" i="20" s="1"/>
  <c r="N65" i="14"/>
  <c r="A66" i="20" s="1"/>
  <c r="O67" i="14"/>
  <c r="B68" i="20" s="1"/>
  <c r="N67" i="14"/>
  <c r="A68" i="20" s="1"/>
  <c r="O56" i="14"/>
  <c r="B57" i="20" s="1"/>
  <c r="N56" i="14"/>
  <c r="A57" i="20" s="1"/>
  <c r="O64" i="14"/>
  <c r="B65" i="20" s="1"/>
  <c r="N64" i="14"/>
  <c r="A65" i="20" s="1"/>
  <c r="O68" i="14"/>
  <c r="B69" i="20" s="1"/>
  <c r="N68" i="14"/>
  <c r="A69" i="20" s="1"/>
  <c r="O53" i="14"/>
  <c r="B54" i="20" s="1"/>
  <c r="N53" i="14"/>
  <c r="A54" i="20" s="1"/>
  <c r="N63" i="14"/>
  <c r="A64" i="20" s="1"/>
  <c r="O63" i="14"/>
  <c r="B64" i="20" s="1"/>
  <c r="O69" i="14"/>
  <c r="B70" i="20" s="1"/>
  <c r="N69" i="14"/>
  <c r="A70" i="20" s="1"/>
  <c r="N62" i="14"/>
  <c r="A63" i="20" s="1"/>
  <c r="O62" i="14"/>
  <c r="B63" i="20" s="1"/>
  <c r="O52" i="14"/>
  <c r="B53" i="20" s="1"/>
  <c r="N52" i="14"/>
  <c r="A53" i="20" s="1"/>
  <c r="O57" i="14"/>
  <c r="B58" i="20" s="1"/>
  <c r="N57" i="14"/>
  <c r="A58" i="20" s="1"/>
  <c r="N73" i="14"/>
  <c r="A74" i="20" s="1"/>
  <c r="O73" i="14"/>
  <c r="B74" i="20" s="1"/>
  <c r="O2" i="14"/>
  <c r="B3" i="20" s="1"/>
  <c r="N2" i="14"/>
  <c r="A3" i="20" s="1"/>
  <c r="O31" i="14"/>
  <c r="B32" i="20" s="1"/>
  <c r="N31" i="14"/>
  <c r="A32" i="20" s="1"/>
  <c r="O20" i="14"/>
  <c r="B21" i="20" s="1"/>
  <c r="O27" i="14"/>
  <c r="B28" i="20" s="1"/>
  <c r="N27" i="14"/>
  <c r="A28" i="20" s="1"/>
  <c r="O41" i="14"/>
  <c r="B42" i="20" s="1"/>
  <c r="N41" i="14"/>
  <c r="A42" i="20" s="1"/>
  <c r="N36" i="14"/>
  <c r="A37" i="20" s="1"/>
  <c r="O36" i="14"/>
  <c r="B37" i="20" s="1"/>
  <c r="O21" i="14"/>
  <c r="B22" i="20" s="1"/>
  <c r="N21" i="14"/>
  <c r="A22" i="20" s="1"/>
  <c r="O17" i="14"/>
  <c r="B18" i="20" s="1"/>
  <c r="N17" i="14"/>
  <c r="A18" i="20" s="1"/>
  <c r="O34" i="14"/>
  <c r="B35" i="20" s="1"/>
  <c r="N34" i="14"/>
  <c r="A35" i="20" s="1"/>
  <c r="N24" i="14"/>
  <c r="A25" i="20" s="1"/>
  <c r="O24" i="14"/>
  <c r="B25" i="20" s="1"/>
  <c r="N25" i="14"/>
  <c r="A26" i="20" s="1"/>
  <c r="O25" i="14"/>
  <c r="B26" i="20" s="1"/>
  <c r="O48" i="14"/>
  <c r="B49" i="20" s="1"/>
  <c r="O33" i="14"/>
  <c r="B34" i="20" s="1"/>
  <c r="N33" i="14"/>
  <c r="A34" i="20" s="1"/>
  <c r="O42" i="14"/>
  <c r="B43" i="20" s="1"/>
  <c r="N42" i="14"/>
  <c r="A43" i="20" s="1"/>
  <c r="N37" i="14"/>
  <c r="A38" i="20" s="1"/>
  <c r="O37" i="14"/>
  <c r="B38" i="20" s="1"/>
  <c r="O29" i="14"/>
  <c r="B30" i="20" s="1"/>
  <c r="N29" i="14"/>
  <c r="A30" i="20" s="1"/>
  <c r="O5" i="14"/>
  <c r="B6" i="20" s="1"/>
  <c r="N5" i="14"/>
  <c r="A6" i="20" s="1"/>
  <c r="N49" i="14"/>
  <c r="A50" i="20" s="1"/>
  <c r="O49" i="14"/>
  <c r="B50" i="20" s="1"/>
  <c r="N7" i="14"/>
  <c r="A8" i="20" s="1"/>
  <c r="O45" i="14"/>
  <c r="B46" i="20" s="1"/>
  <c r="N45" i="14"/>
  <c r="A46" i="20" s="1"/>
  <c r="O3" i="14"/>
  <c r="B4" i="20" s="1"/>
  <c r="N3" i="14"/>
  <c r="A4" i="20" s="1"/>
  <c r="O9" i="14"/>
  <c r="B10" i="20" s="1"/>
  <c r="N9" i="14"/>
  <c r="A10" i="20" s="1"/>
  <c r="O50" i="14"/>
  <c r="B51" i="20" s="1"/>
  <c r="N50" i="14"/>
  <c r="A51" i="20" s="1"/>
  <c r="O22" i="14"/>
  <c r="B23" i="20" s="1"/>
  <c r="N22" i="14"/>
  <c r="A23" i="20" s="1"/>
  <c r="O51" i="14"/>
  <c r="B52" i="20" s="1"/>
  <c r="N51" i="14"/>
  <c r="A52" i="20" s="1"/>
  <c r="O4" i="14"/>
  <c r="B5" i="20" s="1"/>
  <c r="N4" i="14"/>
  <c r="A5" i="20" s="1"/>
  <c r="O39" i="14"/>
  <c r="B40" i="20" s="1"/>
  <c r="N39" i="14"/>
  <c r="A40" i="20" s="1"/>
  <c r="O43" i="14"/>
  <c r="B44" i="20" s="1"/>
  <c r="N43" i="14"/>
  <c r="A44" i="20" s="1"/>
  <c r="O38" i="14"/>
  <c r="B39" i="20" s="1"/>
  <c r="N38" i="14"/>
  <c r="A39" i="20" s="1"/>
  <c r="N12" i="14"/>
  <c r="A13" i="20" s="1"/>
  <c r="O12" i="14"/>
  <c r="B13" i="20" s="1"/>
  <c r="O40" i="14"/>
  <c r="B41" i="20" s="1"/>
  <c r="N40" i="14"/>
  <c r="A41" i="20" s="1"/>
  <c r="O19" i="14"/>
  <c r="B20" i="20" s="1"/>
  <c r="N19" i="14"/>
  <c r="A20" i="20" s="1"/>
  <c r="O14" i="14"/>
  <c r="B15" i="20" s="1"/>
  <c r="N14" i="14"/>
  <c r="A15" i="20" s="1"/>
  <c r="N13" i="14"/>
  <c r="A14" i="20" s="1"/>
  <c r="O13" i="14"/>
  <c r="B14" i="20" s="1"/>
  <c r="O32" i="14"/>
  <c r="B33" i="20" s="1"/>
  <c r="N32" i="14"/>
  <c r="A33" i="20" s="1"/>
  <c r="O18" i="14"/>
  <c r="B19" i="20" s="1"/>
  <c r="N18" i="14"/>
  <c r="A19" i="20" s="1"/>
  <c r="N47" i="14"/>
  <c r="A48" i="20" s="1"/>
  <c r="O47" i="14"/>
  <c r="B48" i="20" s="1"/>
  <c r="O46" i="14"/>
  <c r="B47" i="20" s="1"/>
  <c r="N46" i="14"/>
  <c r="A47" i="20" s="1"/>
  <c r="O10" i="14"/>
  <c r="B11" i="20" s="1"/>
  <c r="N10" i="14"/>
  <c r="A11" i="20" s="1"/>
  <c r="N8" i="14"/>
  <c r="A9" i="20" s="1"/>
  <c r="O6" i="14"/>
  <c r="B7" i="20" s="1"/>
  <c r="N6" i="14"/>
  <c r="A7" i="20" s="1"/>
  <c r="O16" i="14"/>
  <c r="B17" i="20" s="1"/>
  <c r="N16" i="14"/>
  <c r="A17" i="20" s="1"/>
  <c r="O15" i="14"/>
  <c r="B16" i="20" s="1"/>
  <c r="N15" i="14"/>
  <c r="A16" i="20" s="1"/>
  <c r="O44" i="14"/>
  <c r="B45" i="20" s="1"/>
  <c r="N44" i="14"/>
  <c r="A45" i="20" s="1"/>
  <c r="O26" i="14"/>
  <c r="B27" i="20" s="1"/>
  <c r="N26" i="14"/>
  <c r="A27" i="20" s="1"/>
  <c r="O30" i="14"/>
  <c r="B31" i="20" s="1"/>
  <c r="N30" i="14"/>
  <c r="A31" i="20" s="1"/>
  <c r="N11" i="14"/>
  <c r="A12" i="20" s="1"/>
  <c r="O11" i="14"/>
  <c r="B12" i="20" s="1"/>
  <c r="O28" i="14"/>
  <c r="B29" i="20" s="1"/>
  <c r="N28" i="14"/>
  <c r="A29" i="20" s="1"/>
  <c r="AJ6" i="9"/>
  <c r="AJ5" i="9"/>
  <c r="AJ33" i="9"/>
  <c r="AJ26" i="9"/>
  <c r="AJ30" i="9"/>
  <c r="AJ49" i="9"/>
  <c r="AJ19" i="9"/>
  <c r="AJ45" i="9"/>
  <c r="AJ46" i="9"/>
  <c r="AJ4" i="9"/>
  <c r="AJ18" i="9"/>
  <c r="AJ22" i="9"/>
  <c r="AJ20" i="9"/>
  <c r="AJ14" i="9"/>
  <c r="AJ10" i="9"/>
  <c r="G92" i="9"/>
  <c r="AJ3" i="9"/>
  <c r="AJ34" i="9"/>
  <c r="AJ47" i="9"/>
  <c r="AJ42" i="9"/>
  <c r="AJ48" i="9"/>
  <c r="AJ21" i="9"/>
  <c r="AJ36" i="9"/>
  <c r="AJ11" i="9"/>
  <c r="AJ17" i="9"/>
  <c r="AJ23" i="9"/>
  <c r="AJ2" i="9"/>
  <c r="AJ8" i="9"/>
  <c r="AJ29" i="9"/>
  <c r="AJ12" i="9"/>
  <c r="AJ27" i="9"/>
  <c r="AJ32" i="9"/>
  <c r="AJ41" i="9"/>
  <c r="H84" i="9"/>
  <c r="H96" i="9"/>
  <c r="H91" i="9"/>
  <c r="H81" i="9"/>
  <c r="H93" i="9"/>
  <c r="G89" i="9"/>
  <c r="G99" i="9"/>
  <c r="G86" i="9"/>
  <c r="H98" i="9"/>
  <c r="H97" i="9"/>
  <c r="Q97" i="9" s="1"/>
  <c r="B98" i="19" s="1"/>
  <c r="G87" i="9"/>
  <c r="H90" i="9"/>
  <c r="G88" i="9"/>
  <c r="G85" i="9"/>
  <c r="G95" i="9"/>
  <c r="G101" i="9"/>
  <c r="G94" i="9"/>
  <c r="H83" i="9"/>
  <c r="G100" i="9"/>
  <c r="C1" i="9"/>
  <c r="C22" i="9"/>
  <c r="C23" i="9"/>
  <c r="C27" i="9"/>
  <c r="C12" i="9"/>
  <c r="C26" i="9"/>
  <c r="C4" i="9"/>
  <c r="C15" i="9"/>
  <c r="C16" i="9"/>
  <c r="C5" i="9"/>
  <c r="C6" i="9"/>
  <c r="C28" i="9"/>
  <c r="C17" i="9"/>
  <c r="C7" i="9"/>
  <c r="C3" i="9"/>
  <c r="C2" i="9"/>
  <c r="C29" i="9"/>
  <c r="C19" i="9"/>
  <c r="C18" i="9"/>
  <c r="C20" i="9"/>
  <c r="C13" i="9"/>
  <c r="C25" i="9"/>
  <c r="C10" i="9"/>
  <c r="C14" i="9"/>
  <c r="C11" i="9"/>
  <c r="C21" i="9"/>
  <c r="C8" i="9"/>
  <c r="C9" i="9"/>
  <c r="C24" i="9"/>
  <c r="Q90" i="9" l="1"/>
  <c r="B91" i="19" s="1"/>
  <c r="P82" i="9"/>
  <c r="A83" i="19" s="1"/>
  <c r="Q96" i="9"/>
  <c r="B97" i="19" s="1"/>
  <c r="Q91" i="9"/>
  <c r="B92" i="19" s="1"/>
  <c r="Q93" i="9"/>
  <c r="B94" i="19" s="1"/>
  <c r="P83" i="9"/>
  <c r="A84" i="19" s="1"/>
  <c r="Q98" i="9"/>
  <c r="B99" i="19" s="1"/>
  <c r="P81" i="9"/>
  <c r="A82" i="19" s="1"/>
  <c r="P84" i="9"/>
  <c r="A85" i="19" s="1"/>
  <c r="C41" i="9"/>
  <c r="H41" i="9" s="1"/>
  <c r="C35" i="9"/>
  <c r="G35" i="9" s="1"/>
  <c r="C61" i="9"/>
  <c r="G61" i="9" s="1"/>
  <c r="C30" i="9"/>
  <c r="H30" i="9" s="1"/>
  <c r="C47" i="9"/>
  <c r="G47" i="9" s="1"/>
  <c r="C65" i="9"/>
  <c r="G65" i="9" s="1"/>
  <c r="C60" i="9"/>
  <c r="H60" i="9" s="1"/>
  <c r="C36" i="9"/>
  <c r="G36" i="9" s="1"/>
  <c r="C51" i="9"/>
  <c r="H51" i="9" s="1"/>
  <c r="C56" i="9"/>
  <c r="G56" i="9" s="1"/>
  <c r="C69" i="9"/>
  <c r="H69" i="9" s="1"/>
  <c r="C40" i="9"/>
  <c r="H40" i="9" s="1"/>
  <c r="C53" i="9"/>
  <c r="G53" i="9" s="1"/>
  <c r="C62" i="9"/>
  <c r="G62" i="9" s="1"/>
  <c r="C48" i="9"/>
  <c r="H48" i="9" s="1"/>
  <c r="C59" i="9"/>
  <c r="H59" i="9" s="1"/>
  <c r="C55" i="9"/>
  <c r="G55" i="9" s="1"/>
  <c r="C33" i="9"/>
  <c r="G33" i="9" s="1"/>
  <c r="C64" i="9"/>
  <c r="H64" i="9" s="1"/>
  <c r="C66" i="9"/>
  <c r="G66" i="9" s="1"/>
  <c r="C71" i="9"/>
  <c r="H71" i="9" s="1"/>
  <c r="C67" i="9"/>
  <c r="G67" i="9" s="1"/>
  <c r="C32" i="9"/>
  <c r="G32" i="9" s="1"/>
  <c r="C38" i="9"/>
  <c r="H38" i="9" s="1"/>
  <c r="C57" i="9"/>
  <c r="G57" i="9" s="1"/>
  <c r="C34" i="9"/>
  <c r="H34" i="9" s="1"/>
  <c r="C42" i="9"/>
  <c r="H42" i="9" s="1"/>
  <c r="C46" i="9"/>
  <c r="H46" i="9" s="1"/>
  <c r="C54" i="9"/>
  <c r="H54" i="9" s="1"/>
  <c r="C31" i="9"/>
  <c r="G31" i="9" s="1"/>
  <c r="C73" i="9"/>
  <c r="G73" i="9" s="1"/>
  <c r="C52" i="9"/>
  <c r="H52" i="9" s="1"/>
  <c r="C68" i="9"/>
  <c r="G68" i="9" s="1"/>
  <c r="C44" i="9"/>
  <c r="H44" i="9" s="1"/>
  <c r="C45" i="9"/>
  <c r="H45" i="9" s="1"/>
  <c r="C37" i="9"/>
  <c r="G37" i="9" s="1"/>
  <c r="C63" i="9"/>
  <c r="H63" i="9" s="1"/>
  <c r="C70" i="9"/>
  <c r="G70" i="9" s="1"/>
  <c r="C49" i="9"/>
  <c r="H49" i="9" s="1"/>
  <c r="C39" i="9"/>
  <c r="H39" i="9" s="1"/>
  <c r="C50" i="9"/>
  <c r="G50" i="9" s="1"/>
  <c r="C43" i="9"/>
  <c r="G43" i="9" s="1"/>
  <c r="C58" i="9"/>
  <c r="G58" i="9" s="1"/>
  <c r="G79" i="9"/>
  <c r="P79" i="9" s="1"/>
  <c r="A80" i="19" s="1"/>
  <c r="G75" i="9"/>
  <c r="Q75" i="9" s="1"/>
  <c r="B76" i="19" s="1"/>
  <c r="H78" i="9"/>
  <c r="Q78" i="9" s="1"/>
  <c r="B79" i="19" s="1"/>
  <c r="G80" i="9"/>
  <c r="P80" i="9" s="1"/>
  <c r="A81" i="19" s="1"/>
  <c r="H77" i="9"/>
  <c r="Q77" i="9" s="1"/>
  <c r="B78" i="19" s="1"/>
  <c r="H76" i="9"/>
  <c r="Q76" i="9" s="1"/>
  <c r="B77" i="19" s="1"/>
  <c r="G74" i="9"/>
  <c r="P74" i="9" s="1"/>
  <c r="A75" i="19" s="1"/>
  <c r="P93" i="9"/>
  <c r="A94" i="19" s="1"/>
  <c r="Q81" i="9"/>
  <c r="B82" i="19" s="1"/>
  <c r="Q83" i="9"/>
  <c r="B84" i="19" s="1"/>
  <c r="P96" i="9"/>
  <c r="A97" i="19" s="1"/>
  <c r="P91" i="9"/>
  <c r="A92" i="19" s="1"/>
  <c r="P94" i="9"/>
  <c r="A95" i="19" s="1"/>
  <c r="Q94" i="9"/>
  <c r="B95" i="19" s="1"/>
  <c r="P95" i="9"/>
  <c r="A96" i="19" s="1"/>
  <c r="Q95" i="9"/>
  <c r="B96" i="19" s="1"/>
  <c r="Q99" i="9"/>
  <c r="B100" i="19" s="1"/>
  <c r="P99" i="9"/>
  <c r="A100" i="19" s="1"/>
  <c r="P86" i="9"/>
  <c r="A87" i="19" s="1"/>
  <c r="Q86" i="9"/>
  <c r="B87" i="19" s="1"/>
  <c r="P101" i="9"/>
  <c r="A102" i="19" s="1"/>
  <c r="Q101" i="9"/>
  <c r="B102" i="19" s="1"/>
  <c r="Q84" i="9"/>
  <c r="B85" i="19" s="1"/>
  <c r="Q85" i="9"/>
  <c r="B86" i="19" s="1"/>
  <c r="P85" i="9"/>
  <c r="A86" i="19" s="1"/>
  <c r="Q89" i="9"/>
  <c r="B90" i="19" s="1"/>
  <c r="P89" i="9"/>
  <c r="A90" i="19" s="1"/>
  <c r="Q92" i="9"/>
  <c r="B93" i="19" s="1"/>
  <c r="P92" i="9"/>
  <c r="A93" i="19" s="1"/>
  <c r="P90" i="9"/>
  <c r="A91" i="19" s="1"/>
  <c r="Q100" i="9"/>
  <c r="B101" i="19" s="1"/>
  <c r="P100" i="9"/>
  <c r="A101" i="19" s="1"/>
  <c r="P87" i="9"/>
  <c r="A88" i="19" s="1"/>
  <c r="Q87" i="9"/>
  <c r="B88" i="19" s="1"/>
  <c r="P97" i="9"/>
  <c r="A98" i="19" s="1"/>
  <c r="P98" i="9"/>
  <c r="A99" i="19" s="1"/>
  <c r="Q88" i="9"/>
  <c r="B89" i="19" s="1"/>
  <c r="P88" i="9"/>
  <c r="A89" i="19" s="1"/>
  <c r="H67" i="9"/>
  <c r="H72" i="9"/>
  <c r="G72" i="9"/>
  <c r="H57" i="9"/>
  <c r="G2" i="9"/>
  <c r="H2" i="9"/>
  <c r="G6" i="9"/>
  <c r="H6" i="9"/>
  <c r="G16" i="9"/>
  <c r="H16" i="9"/>
  <c r="G11" i="9"/>
  <c r="H11" i="9"/>
  <c r="G7" i="9"/>
  <c r="H7" i="9"/>
  <c r="G25" i="9"/>
  <c r="H25" i="9"/>
  <c r="G18" i="9"/>
  <c r="H18" i="9"/>
  <c r="G12" i="9"/>
  <c r="H12" i="9"/>
  <c r="H4" i="9"/>
  <c r="G4" i="9"/>
  <c r="H19" i="9"/>
  <c r="G19" i="9"/>
  <c r="H27" i="9"/>
  <c r="G27" i="9"/>
  <c r="G24" i="9"/>
  <c r="H24" i="9"/>
  <c r="H8" i="9"/>
  <c r="G8" i="9"/>
  <c r="H21" i="9"/>
  <c r="G21" i="9"/>
  <c r="G20" i="9"/>
  <c r="H20" i="9"/>
  <c r="H3" i="9"/>
  <c r="G3" i="9"/>
  <c r="G9" i="9"/>
  <c r="H9" i="9"/>
  <c r="H29" i="9"/>
  <c r="G29" i="9"/>
  <c r="H17" i="9"/>
  <c r="G17" i="9"/>
  <c r="G14" i="9"/>
  <c r="H14" i="9"/>
  <c r="G13" i="9"/>
  <c r="H13" i="9"/>
  <c r="G15" i="9"/>
  <c r="H15" i="9"/>
  <c r="G10" i="9"/>
  <c r="H10" i="9"/>
  <c r="H26" i="9"/>
  <c r="G26" i="9"/>
  <c r="G22" i="9"/>
  <c r="H22" i="9"/>
  <c r="H5" i="9"/>
  <c r="G5" i="9"/>
  <c r="H28" i="9"/>
  <c r="G28" i="9"/>
  <c r="G23" i="9"/>
  <c r="H23" i="9"/>
  <c r="A7" i="8"/>
  <c r="H8" i="6" s="1"/>
  <c r="A7" i="3"/>
  <c r="A5" i="3"/>
  <c r="R1" i="8"/>
  <c r="P67" i="9" l="1"/>
  <c r="A68" i="19" s="1"/>
  <c r="H53" i="9"/>
  <c r="P53" i="9" s="1"/>
  <c r="A54" i="19" s="1"/>
  <c r="C4" i="3"/>
  <c r="C16" i="3"/>
  <c r="C28" i="3"/>
  <c r="C40" i="3"/>
  <c r="C52" i="3"/>
  <c r="C64" i="3"/>
  <c r="C76" i="3"/>
  <c r="C88" i="3"/>
  <c r="C100" i="3"/>
  <c r="C53" i="3"/>
  <c r="C89" i="3"/>
  <c r="C6" i="3"/>
  <c r="C18" i="3"/>
  <c r="C30" i="3"/>
  <c r="C42" i="3"/>
  <c r="C54" i="3"/>
  <c r="C66" i="3"/>
  <c r="C78" i="3"/>
  <c r="C90" i="3"/>
  <c r="C102" i="3"/>
  <c r="C7" i="3"/>
  <c r="C19" i="3"/>
  <c r="C31" i="3"/>
  <c r="C43" i="3"/>
  <c r="C55" i="3"/>
  <c r="C67" i="3"/>
  <c r="C79" i="3"/>
  <c r="C91" i="3"/>
  <c r="C1" i="3"/>
  <c r="C8" i="3"/>
  <c r="C32" i="3"/>
  <c r="C56" i="3"/>
  <c r="C80" i="3"/>
  <c r="C9" i="3"/>
  <c r="C33" i="3"/>
  <c r="C57" i="3"/>
  <c r="C81" i="3"/>
  <c r="C10" i="3"/>
  <c r="C22" i="3"/>
  <c r="C46" i="3"/>
  <c r="C58" i="3"/>
  <c r="C82" i="3"/>
  <c r="C11" i="3"/>
  <c r="C35" i="3"/>
  <c r="C59" i="3"/>
  <c r="C83" i="3"/>
  <c r="C95" i="3"/>
  <c r="C12" i="3"/>
  <c r="C36" i="3"/>
  <c r="C60" i="3"/>
  <c r="C84" i="3"/>
  <c r="C13" i="3"/>
  <c r="C25" i="3"/>
  <c r="C49" i="3"/>
  <c r="C61" i="3"/>
  <c r="C73" i="3"/>
  <c r="C97" i="3"/>
  <c r="C2" i="3"/>
  <c r="C26" i="3"/>
  <c r="C50" i="3"/>
  <c r="C74" i="3"/>
  <c r="C98" i="3"/>
  <c r="C3" i="3"/>
  <c r="C27" i="3"/>
  <c r="C51" i="3"/>
  <c r="C87" i="3"/>
  <c r="C5" i="3"/>
  <c r="C17" i="3"/>
  <c r="C29" i="3"/>
  <c r="C41" i="3"/>
  <c r="C65" i="3"/>
  <c r="C77" i="3"/>
  <c r="C101" i="3"/>
  <c r="C20" i="3"/>
  <c r="C44" i="3"/>
  <c r="C68" i="3"/>
  <c r="C92" i="3"/>
  <c r="C21" i="3"/>
  <c r="C45" i="3"/>
  <c r="C69" i="3"/>
  <c r="C93" i="3"/>
  <c r="C34" i="3"/>
  <c r="C70" i="3"/>
  <c r="C94" i="3"/>
  <c r="C23" i="3"/>
  <c r="C47" i="3"/>
  <c r="C71" i="3"/>
  <c r="C24" i="3"/>
  <c r="C48" i="3"/>
  <c r="C72" i="3"/>
  <c r="C96" i="3"/>
  <c r="C37" i="3"/>
  <c r="C85" i="3"/>
  <c r="C14" i="3"/>
  <c r="C38" i="3"/>
  <c r="C62" i="3"/>
  <c r="C86" i="3"/>
  <c r="C15" i="3"/>
  <c r="C39" i="3"/>
  <c r="C63" i="3"/>
  <c r="C75" i="3"/>
  <c r="C99" i="3"/>
  <c r="H35" i="9"/>
  <c r="P35" i="9" s="1"/>
  <c r="A36" i="19" s="1"/>
  <c r="G41" i="9"/>
  <c r="Q41" i="9" s="1"/>
  <c r="B42" i="19" s="1"/>
  <c r="G34" i="9"/>
  <c r="P34" i="9" s="1"/>
  <c r="A35" i="19" s="1"/>
  <c r="H55" i="9"/>
  <c r="Q55" i="9" s="1"/>
  <c r="B56" i="19" s="1"/>
  <c r="G42" i="9"/>
  <c r="P42" i="9" s="1"/>
  <c r="A43" i="19" s="1"/>
  <c r="G71" i="9"/>
  <c r="Q71" i="9" s="1"/>
  <c r="B72" i="19" s="1"/>
  <c r="G30" i="9"/>
  <c r="P30" i="9" s="1"/>
  <c r="A31" i="19" s="1"/>
  <c r="G46" i="9"/>
  <c r="Q46" i="9" s="1"/>
  <c r="B47" i="19" s="1"/>
  <c r="G48" i="9"/>
  <c r="Q48" i="9" s="1"/>
  <c r="B49" i="19" s="1"/>
  <c r="G38" i="9"/>
  <c r="Q38" i="9" s="1"/>
  <c r="B39" i="19" s="1"/>
  <c r="H66" i="9"/>
  <c r="Q66" i="9" s="1"/>
  <c r="B67" i="19" s="1"/>
  <c r="G64" i="9"/>
  <c r="P64" i="9" s="1"/>
  <c r="A65" i="19" s="1"/>
  <c r="G40" i="9"/>
  <c r="P40" i="9" s="1"/>
  <c r="A41" i="19" s="1"/>
  <c r="H61" i="9"/>
  <c r="Q61" i="9" s="1"/>
  <c r="B62" i="19" s="1"/>
  <c r="G52" i="9"/>
  <c r="Q52" i="9" s="1"/>
  <c r="B53" i="19" s="1"/>
  <c r="H73" i="9"/>
  <c r="Q73" i="9" s="1"/>
  <c r="B74" i="19" s="1"/>
  <c r="G54" i="9"/>
  <c r="P54" i="9" s="1"/>
  <c r="A55" i="19" s="1"/>
  <c r="G60" i="9"/>
  <c r="Q60" i="9" s="1"/>
  <c r="B61" i="19" s="1"/>
  <c r="H65" i="9"/>
  <c r="P65" i="9" s="1"/>
  <c r="A66" i="19" s="1"/>
  <c r="H33" i="9"/>
  <c r="Q33" i="9" s="1"/>
  <c r="B34" i="19" s="1"/>
  <c r="H36" i="9"/>
  <c r="Q36" i="9" s="1"/>
  <c r="B37" i="19" s="1"/>
  <c r="H47" i="9"/>
  <c r="P47" i="9" s="1"/>
  <c r="A48" i="19" s="1"/>
  <c r="G69" i="9"/>
  <c r="Q69" i="9" s="1"/>
  <c r="B70" i="19" s="1"/>
  <c r="G59" i="9"/>
  <c r="Q59" i="9" s="1"/>
  <c r="B60" i="19" s="1"/>
  <c r="H32" i="9"/>
  <c r="Q32" i="9" s="1"/>
  <c r="B33" i="19" s="1"/>
  <c r="H31" i="9"/>
  <c r="Q31" i="9" s="1"/>
  <c r="B32" i="19" s="1"/>
  <c r="H62" i="9"/>
  <c r="P62" i="9" s="1"/>
  <c r="A63" i="19" s="1"/>
  <c r="H56" i="9"/>
  <c r="P56" i="9" s="1"/>
  <c r="A57" i="19" s="1"/>
  <c r="G51" i="9"/>
  <c r="Q51" i="9" s="1"/>
  <c r="B52" i="19" s="1"/>
  <c r="H68" i="9"/>
  <c r="Q68" i="9" s="1"/>
  <c r="B69" i="19" s="1"/>
  <c r="G44" i="9"/>
  <c r="Q44" i="9" s="1"/>
  <c r="B45" i="19" s="1"/>
  <c r="G45" i="9"/>
  <c r="P45" i="9" s="1"/>
  <c r="A46" i="19" s="1"/>
  <c r="H58" i="9"/>
  <c r="P58" i="9" s="1"/>
  <c r="A59" i="19" s="1"/>
  <c r="G49" i="9"/>
  <c r="Q49" i="9" s="1"/>
  <c r="B50" i="19" s="1"/>
  <c r="H50" i="9"/>
  <c r="Q50" i="9" s="1"/>
  <c r="B51" i="19" s="1"/>
  <c r="H37" i="9"/>
  <c r="P37" i="9" s="1"/>
  <c r="A38" i="19" s="1"/>
  <c r="H70" i="9"/>
  <c r="Q70" i="9" s="1"/>
  <c r="B71" i="19" s="1"/>
  <c r="G63" i="9"/>
  <c r="Q63" i="9" s="1"/>
  <c r="B64" i="19" s="1"/>
  <c r="H43" i="9"/>
  <c r="P43" i="9" s="1"/>
  <c r="A44" i="19" s="1"/>
  <c r="G39" i="9"/>
  <c r="P39" i="9" s="1"/>
  <c r="A40" i="19" s="1"/>
  <c r="H12" i="6"/>
  <c r="X1" i="8" a="1"/>
  <c r="X1" i="8" s="1"/>
  <c r="Y1" i="8" s="1"/>
  <c r="Q79" i="9"/>
  <c r="B80" i="19" s="1"/>
  <c r="P75" i="9"/>
  <c r="A76" i="19" s="1"/>
  <c r="Q74" i="9"/>
  <c r="B75" i="19" s="1"/>
  <c r="P78" i="9"/>
  <c r="A79" i="19" s="1"/>
  <c r="Q80" i="9"/>
  <c r="B81" i="19" s="1"/>
  <c r="P76" i="9"/>
  <c r="A77" i="19" s="1"/>
  <c r="P77" i="9"/>
  <c r="A78" i="19" s="1"/>
  <c r="Q67" i="9"/>
  <c r="B68" i="19" s="1"/>
  <c r="Q23" i="9"/>
  <c r="B24" i="19" s="1"/>
  <c r="P23" i="9"/>
  <c r="A24" i="19" s="1"/>
  <c r="Q22" i="9"/>
  <c r="B23" i="19" s="1"/>
  <c r="P22" i="9"/>
  <c r="A23" i="19" s="1"/>
  <c r="Q2" i="9"/>
  <c r="B3" i="19" s="1"/>
  <c r="P2" i="9"/>
  <c r="A3" i="19" s="1"/>
  <c r="P17" i="9"/>
  <c r="A18" i="19" s="1"/>
  <c r="Q17" i="9"/>
  <c r="B18" i="19" s="1"/>
  <c r="Q21" i="9"/>
  <c r="B22" i="19" s="1"/>
  <c r="P21" i="9"/>
  <c r="A22" i="19" s="1"/>
  <c r="Q12" i="9"/>
  <c r="B13" i="19" s="1"/>
  <c r="P12" i="9"/>
  <c r="A13" i="19" s="1"/>
  <c r="Q72" i="9"/>
  <c r="B73" i="19" s="1"/>
  <c r="P72" i="9"/>
  <c r="A73" i="19" s="1"/>
  <c r="P16" i="9"/>
  <c r="A17" i="19" s="1"/>
  <c r="Q16" i="9"/>
  <c r="B17" i="19" s="1"/>
  <c r="Q8" i="9"/>
  <c r="B9" i="19" s="1"/>
  <c r="P8" i="9"/>
  <c r="A9" i="19" s="1"/>
  <c r="P4" i="9"/>
  <c r="A5" i="19" s="1"/>
  <c r="Q4" i="9"/>
  <c r="B5" i="19" s="1"/>
  <c r="Q15" i="9"/>
  <c r="B16" i="19" s="1"/>
  <c r="P15" i="9"/>
  <c r="A16" i="19" s="1"/>
  <c r="P18" i="9"/>
  <c r="A19" i="19" s="1"/>
  <c r="Q18" i="9"/>
  <c r="B19" i="19" s="1"/>
  <c r="P7" i="9"/>
  <c r="A8" i="19" s="1"/>
  <c r="Q7" i="9"/>
  <c r="B8" i="19" s="1"/>
  <c r="P57" i="9"/>
  <c r="A58" i="19" s="1"/>
  <c r="Q57" i="9"/>
  <c r="B58" i="19" s="1"/>
  <c r="Q26" i="9"/>
  <c r="B27" i="19" s="1"/>
  <c r="P26" i="9"/>
  <c r="A27" i="19" s="1"/>
  <c r="Q11" i="9"/>
  <c r="B12" i="19" s="1"/>
  <c r="P11" i="9"/>
  <c r="A12" i="19" s="1"/>
  <c r="Q28" i="9"/>
  <c r="B29" i="19" s="1"/>
  <c r="P28" i="9"/>
  <c r="A29" i="19" s="1"/>
  <c r="Q10" i="9"/>
  <c r="B11" i="19" s="1"/>
  <c r="P10" i="9"/>
  <c r="A11" i="19" s="1"/>
  <c r="Q5" i="9"/>
  <c r="B6" i="19" s="1"/>
  <c r="P5" i="9"/>
  <c r="A6" i="19" s="1"/>
  <c r="Q53" i="9"/>
  <c r="B54" i="19" s="1"/>
  <c r="Q24" i="9"/>
  <c r="B25" i="19" s="1"/>
  <c r="P24" i="9"/>
  <c r="A25" i="19" s="1"/>
  <c r="Q25" i="9"/>
  <c r="B26" i="19" s="1"/>
  <c r="P25" i="9"/>
  <c r="A26" i="19" s="1"/>
  <c r="P6" i="9"/>
  <c r="A7" i="19" s="1"/>
  <c r="Q6" i="9"/>
  <c r="B7" i="19" s="1"/>
  <c r="Q14" i="9"/>
  <c r="B15" i="19" s="1"/>
  <c r="P14" i="9"/>
  <c r="A15" i="19" s="1"/>
  <c r="P19" i="9"/>
  <c r="A20" i="19" s="1"/>
  <c r="Q19" i="9"/>
  <c r="B20" i="19" s="1"/>
  <c r="Q29" i="9"/>
  <c r="B30" i="19" s="1"/>
  <c r="P29" i="9"/>
  <c r="A30" i="19" s="1"/>
  <c r="Q9" i="9"/>
  <c r="B10" i="19" s="1"/>
  <c r="P9" i="9"/>
  <c r="A10" i="19" s="1"/>
  <c r="Q13" i="9"/>
  <c r="B14" i="19" s="1"/>
  <c r="P13" i="9"/>
  <c r="A14" i="19" s="1"/>
  <c r="Q20" i="9"/>
  <c r="B21" i="19" s="1"/>
  <c r="P20" i="9"/>
  <c r="A21" i="19" s="1"/>
  <c r="Q3" i="9"/>
  <c r="B4" i="19" s="1"/>
  <c r="P3" i="9"/>
  <c r="A4" i="19" s="1"/>
  <c r="Q27" i="9"/>
  <c r="B28" i="19" s="1"/>
  <c r="P27" i="9"/>
  <c r="A28" i="19" s="1"/>
  <c r="U1" i="1"/>
  <c r="AB2" i="3"/>
  <c r="U2" i="1"/>
  <c r="K6" i="2"/>
  <c r="AF2" i="8"/>
  <c r="K4" i="6"/>
  <c r="O2" i="3"/>
  <c r="Q35" i="9" l="1"/>
  <c r="B36" i="19" s="1"/>
  <c r="Q42" i="9"/>
  <c r="B43" i="19" s="1"/>
  <c r="Q34" i="9"/>
  <c r="B35" i="19" s="1"/>
  <c r="P41" i="9"/>
  <c r="A42" i="19" s="1"/>
  <c r="P55" i="9"/>
  <c r="A56" i="19" s="1"/>
  <c r="P48" i="9"/>
  <c r="A49" i="19" s="1"/>
  <c r="Q40" i="9"/>
  <c r="B41" i="19" s="1"/>
  <c r="P52" i="9"/>
  <c r="A53" i="19" s="1"/>
  <c r="P73" i="9"/>
  <c r="A74" i="19" s="1"/>
  <c r="P61" i="9"/>
  <c r="A62" i="19" s="1"/>
  <c r="P31" i="9"/>
  <c r="A32" i="19" s="1"/>
  <c r="P38" i="9"/>
  <c r="A39" i="19" s="1"/>
  <c r="Q47" i="9"/>
  <c r="B48" i="19" s="1"/>
  <c r="Q45" i="9"/>
  <c r="B46" i="19" s="1"/>
  <c r="P33" i="9"/>
  <c r="A34" i="19" s="1"/>
  <c r="Q30" i="9"/>
  <c r="B31" i="19" s="1"/>
  <c r="P68" i="9"/>
  <c r="A69" i="19" s="1"/>
  <c r="P71" i="9"/>
  <c r="A72" i="19" s="1"/>
  <c r="P46" i="9"/>
  <c r="A47" i="19" s="1"/>
  <c r="Q65" i="9"/>
  <c r="B66" i="19" s="1"/>
  <c r="P66" i="9"/>
  <c r="A67" i="19" s="1"/>
  <c r="Q54" i="9"/>
  <c r="B55" i="19" s="1"/>
  <c r="P32" i="9"/>
  <c r="A33" i="19" s="1"/>
  <c r="P51" i="9"/>
  <c r="A52" i="19" s="1"/>
  <c r="Q64" i="9"/>
  <c r="B65" i="19" s="1"/>
  <c r="P50" i="9"/>
  <c r="A51" i="19" s="1"/>
  <c r="P69" i="9"/>
  <c r="A70" i="19" s="1"/>
  <c r="P36" i="9"/>
  <c r="A37" i="19" s="1"/>
  <c r="P59" i="9"/>
  <c r="A60" i="19" s="1"/>
  <c r="P60" i="9"/>
  <c r="A61" i="19" s="1"/>
  <c r="Q62" i="9"/>
  <c r="B63" i="19" s="1"/>
  <c r="Q56" i="9"/>
  <c r="B57" i="19" s="1"/>
  <c r="P63" i="9"/>
  <c r="A64" i="19" s="1"/>
  <c r="Q37" i="9"/>
  <c r="B38" i="19" s="1"/>
  <c r="P49" i="9"/>
  <c r="A50" i="19" s="1"/>
  <c r="P44" i="9"/>
  <c r="A45" i="19" s="1"/>
  <c r="Q58" i="9"/>
  <c r="B59" i="19" s="1"/>
  <c r="Q39" i="9"/>
  <c r="B40" i="19" s="1"/>
  <c r="Q43" i="9"/>
  <c r="B44" i="19" s="1"/>
  <c r="P70" i="9"/>
  <c r="A71" i="19" s="1"/>
  <c r="AH51" i="8"/>
  <c r="AI16" i="8"/>
  <c r="AI24" i="8"/>
  <c r="AI33" i="8"/>
  <c r="AI43" i="8"/>
  <c r="AI46" i="8"/>
  <c r="AI12" i="8"/>
  <c r="AI18" i="8"/>
  <c r="AI44" i="8"/>
  <c r="AI17" i="8"/>
  <c r="AI26" i="8"/>
  <c r="AI48" i="8"/>
  <c r="AI31" i="8"/>
  <c r="AI7" i="8"/>
  <c r="AI47" i="8"/>
  <c r="AI40" i="8"/>
  <c r="AI21" i="8"/>
  <c r="AI19" i="8"/>
  <c r="AI11" i="8"/>
  <c r="AI4" i="8"/>
  <c r="AI13" i="8"/>
  <c r="AI32" i="8"/>
  <c r="AI25" i="8"/>
  <c r="AI41" i="8"/>
  <c r="AI20" i="8"/>
  <c r="AI39" i="8"/>
  <c r="AI51" i="8"/>
  <c r="AI27" i="8"/>
  <c r="AI49" i="8"/>
  <c r="AI28" i="8"/>
  <c r="AI10" i="8"/>
  <c r="AI14" i="8"/>
  <c r="AI22" i="8"/>
  <c r="AI29" i="8"/>
  <c r="AI36" i="8"/>
  <c r="AI42" i="8"/>
  <c r="AI50" i="8"/>
  <c r="AI2" i="8"/>
  <c r="AI37" i="8"/>
  <c r="AI15" i="8"/>
  <c r="AI9" i="8"/>
  <c r="AI30" i="8"/>
  <c r="AI38" i="8"/>
  <c r="AI45" i="8"/>
  <c r="AI1" i="8"/>
  <c r="AI3" i="8"/>
  <c r="AI8" i="8"/>
  <c r="AI35" i="8"/>
  <c r="AI34" i="8"/>
  <c r="AI6" i="8"/>
  <c r="AI5" i="8"/>
  <c r="AI23" i="8"/>
  <c r="M10" i="1"/>
  <c r="R10" i="1" s="1"/>
  <c r="L10" i="1"/>
  <c r="M28" i="1"/>
  <c r="R28" i="1" s="1"/>
  <c r="L28" i="1"/>
  <c r="M15" i="1"/>
  <c r="R15" i="1" s="1"/>
  <c r="L15" i="1"/>
  <c r="M4" i="1"/>
  <c r="R4" i="1" s="1"/>
  <c r="L4" i="1"/>
  <c r="L38" i="1"/>
  <c r="M38" i="1"/>
  <c r="R38" i="1" s="1"/>
  <c r="M26" i="1"/>
  <c r="R26" i="1" s="1"/>
  <c r="L26" i="1"/>
  <c r="M42" i="1"/>
  <c r="R42" i="1" s="1"/>
  <c r="L42" i="1"/>
  <c r="M25" i="1"/>
  <c r="R25" i="1" s="1"/>
  <c r="L25" i="1"/>
  <c r="M41" i="1"/>
  <c r="R41" i="1" s="1"/>
  <c r="L41" i="1"/>
  <c r="M19" i="1"/>
  <c r="R19" i="1" s="1"/>
  <c r="L19" i="1"/>
  <c r="L29" i="1"/>
  <c r="M29" i="1"/>
  <c r="R29" i="1" s="1"/>
  <c r="M51" i="1"/>
  <c r="R51" i="1" s="1"/>
  <c r="L51" i="1"/>
  <c r="L36" i="1"/>
  <c r="M36" i="1"/>
  <c r="R36" i="1" s="1"/>
  <c r="M47" i="1"/>
  <c r="R47" i="1" s="1"/>
  <c r="L47" i="1"/>
  <c r="M7" i="1"/>
  <c r="R7" i="1" s="1"/>
  <c r="L7" i="1"/>
  <c r="M17" i="1"/>
  <c r="R17" i="1" s="1"/>
  <c r="L17" i="1"/>
  <c r="L24" i="1"/>
  <c r="M24" i="1"/>
  <c r="R24" i="1" s="1"/>
  <c r="M12" i="1"/>
  <c r="R12" i="1" s="1"/>
  <c r="L12" i="1"/>
  <c r="M46" i="1"/>
  <c r="R46" i="1" s="1"/>
  <c r="L46" i="1"/>
  <c r="M45" i="1"/>
  <c r="R45" i="1" s="1"/>
  <c r="L45" i="1"/>
  <c r="L11" i="1"/>
  <c r="M11" i="1"/>
  <c r="R11" i="1" s="1"/>
  <c r="L34" i="1"/>
  <c r="M34" i="1"/>
  <c r="R34" i="1" s="1"/>
  <c r="L33" i="1"/>
  <c r="M33" i="1"/>
  <c r="R33" i="1" s="1"/>
  <c r="M44" i="1"/>
  <c r="R44" i="1" s="1"/>
  <c r="L44" i="1"/>
  <c r="M9" i="1"/>
  <c r="R9" i="1" s="1"/>
  <c r="L9" i="1"/>
  <c r="M27" i="1"/>
  <c r="R27" i="1" s="1"/>
  <c r="L27" i="1"/>
  <c r="L16" i="1"/>
  <c r="M16" i="1"/>
  <c r="R16" i="1" s="1"/>
  <c r="L50" i="1"/>
  <c r="M50" i="1"/>
  <c r="R50" i="1" s="1"/>
  <c r="M3" i="1"/>
  <c r="R3" i="1" s="1"/>
  <c r="L3" i="1"/>
  <c r="M49" i="1"/>
  <c r="R49" i="1" s="1"/>
  <c r="L49" i="1"/>
  <c r="M37" i="1"/>
  <c r="R37" i="1" s="1"/>
  <c r="L37" i="1"/>
  <c r="L43" i="1"/>
  <c r="M43" i="1"/>
  <c r="R43" i="1" s="1"/>
  <c r="L14" i="1"/>
  <c r="M14" i="1"/>
  <c r="R14" i="1" s="1"/>
  <c r="L31" i="1"/>
  <c r="M31" i="1"/>
  <c r="R31" i="1" s="1"/>
  <c r="M30" i="1"/>
  <c r="R30" i="1" s="1"/>
  <c r="L30" i="1"/>
  <c r="M20" i="1"/>
  <c r="R20" i="1" s="1"/>
  <c r="L20" i="1"/>
  <c r="M2" i="1"/>
  <c r="R2" i="1" s="1"/>
  <c r="L2" i="1"/>
  <c r="M13" i="1"/>
  <c r="R13" i="1" s="1"/>
  <c r="L13" i="1"/>
  <c r="M48" i="1"/>
  <c r="R48" i="1" s="1"/>
  <c r="L48" i="1"/>
  <c r="M18" i="1"/>
  <c r="R18" i="1" s="1"/>
  <c r="L18" i="1"/>
  <c r="M6" i="1"/>
  <c r="R6" i="1" s="1"/>
  <c r="L6" i="1"/>
  <c r="L35" i="1"/>
  <c r="M35" i="1"/>
  <c r="R35" i="1" s="1"/>
  <c r="M5" i="1"/>
  <c r="R5" i="1" s="1"/>
  <c r="L5" i="1"/>
  <c r="M23" i="1"/>
  <c r="R23" i="1" s="1"/>
  <c r="L23" i="1"/>
  <c r="L1" i="1"/>
  <c r="M1" i="1"/>
  <c r="R1" i="1" s="1"/>
  <c r="L22" i="1"/>
  <c r="M22" i="1"/>
  <c r="R22" i="1" s="1"/>
  <c r="L21" i="1"/>
  <c r="M21" i="1"/>
  <c r="R21" i="1" s="1"/>
  <c r="M8" i="1"/>
  <c r="R8" i="1" s="1"/>
  <c r="L8" i="1"/>
  <c r="M40" i="1"/>
  <c r="R40" i="1" s="1"/>
  <c r="L40" i="1"/>
  <c r="L39" i="1"/>
  <c r="M39" i="1"/>
  <c r="R39" i="1" s="1"/>
  <c r="M32" i="1"/>
  <c r="R32" i="1" s="1"/>
  <c r="L32" i="1"/>
  <c r="K4" i="2"/>
  <c r="X51" i="1"/>
  <c r="W51" i="1"/>
  <c r="X13" i="1"/>
  <c r="X25" i="1"/>
  <c r="X37" i="1"/>
  <c r="X49" i="1"/>
  <c r="X14" i="1"/>
  <c r="X26" i="1"/>
  <c r="X38" i="1"/>
  <c r="X50" i="1"/>
  <c r="X3" i="1"/>
  <c r="X15" i="1"/>
  <c r="X27" i="1"/>
  <c r="X39" i="1"/>
  <c r="X1" i="1"/>
  <c r="X4" i="1"/>
  <c r="X16" i="1"/>
  <c r="X40" i="1"/>
  <c r="X5" i="1"/>
  <c r="X29" i="1"/>
  <c r="X41" i="1"/>
  <c r="X18" i="1"/>
  <c r="X42" i="1"/>
  <c r="X19" i="1"/>
  <c r="X43" i="1"/>
  <c r="X20" i="1"/>
  <c r="X32" i="1"/>
  <c r="X9" i="1"/>
  <c r="X33" i="1"/>
  <c r="X10" i="1"/>
  <c r="X34" i="1"/>
  <c r="X11" i="1"/>
  <c r="X35" i="1"/>
  <c r="X12" i="1"/>
  <c r="X36" i="1"/>
  <c r="X2" i="1"/>
  <c r="X28" i="1"/>
  <c r="X17" i="1"/>
  <c r="X6" i="1"/>
  <c r="X30" i="1"/>
  <c r="X7" i="1"/>
  <c r="X31" i="1"/>
  <c r="X8" i="1"/>
  <c r="X44" i="1"/>
  <c r="X21" i="1"/>
  <c r="X45" i="1"/>
  <c r="X22" i="1"/>
  <c r="X46" i="1"/>
  <c r="X23" i="1"/>
  <c r="X47" i="1"/>
  <c r="X24" i="1"/>
  <c r="X48" i="1"/>
  <c r="G50" i="1"/>
  <c r="G17" i="1"/>
  <c r="G3" i="1"/>
  <c r="G47" i="1"/>
  <c r="G23" i="1"/>
  <c r="G20" i="1"/>
  <c r="G32" i="1"/>
  <c r="G87" i="1"/>
  <c r="H87" i="1"/>
  <c r="G96" i="1"/>
  <c r="H96" i="1"/>
  <c r="H68" i="1"/>
  <c r="G68" i="1"/>
  <c r="G90" i="1"/>
  <c r="H90" i="1"/>
  <c r="H67" i="1"/>
  <c r="G67" i="1"/>
  <c r="G72" i="1"/>
  <c r="H72" i="1"/>
  <c r="H60" i="1"/>
  <c r="G60" i="1"/>
  <c r="G66" i="1"/>
  <c r="H66" i="1"/>
  <c r="H93" i="1"/>
  <c r="G93" i="1"/>
  <c r="G97" i="1"/>
  <c r="H97" i="1"/>
  <c r="G89" i="1"/>
  <c r="H89" i="1"/>
  <c r="H76" i="1"/>
  <c r="G76" i="1"/>
  <c r="H56" i="1"/>
  <c r="G56" i="1"/>
  <c r="G52" i="1"/>
  <c r="H52" i="1"/>
  <c r="G78" i="1"/>
  <c r="H78" i="1"/>
  <c r="H98" i="1"/>
  <c r="G98" i="1"/>
  <c r="H95" i="1"/>
  <c r="G95" i="1"/>
  <c r="H92" i="1"/>
  <c r="G92" i="1"/>
  <c r="G65" i="1"/>
  <c r="H65" i="1"/>
  <c r="H70" i="1"/>
  <c r="G70" i="1"/>
  <c r="H86" i="1"/>
  <c r="G86" i="1"/>
  <c r="H83" i="1"/>
  <c r="G83" i="1"/>
  <c r="H91" i="1"/>
  <c r="G91" i="1"/>
  <c r="H55" i="1"/>
  <c r="G55" i="1"/>
  <c r="G75" i="1"/>
  <c r="H75" i="1"/>
  <c r="H84" i="1"/>
  <c r="G84" i="1"/>
  <c r="H58" i="1"/>
  <c r="G58" i="1"/>
  <c r="H79" i="1"/>
  <c r="G79" i="1"/>
  <c r="H63" i="1"/>
  <c r="G63" i="1"/>
  <c r="G101" i="1"/>
  <c r="H101" i="1"/>
  <c r="H57" i="1"/>
  <c r="G57" i="1"/>
  <c r="H100" i="1"/>
  <c r="G100" i="1"/>
  <c r="G85" i="1"/>
  <c r="H85" i="1"/>
  <c r="H82" i="1"/>
  <c r="G82" i="1"/>
  <c r="G54" i="1"/>
  <c r="H54" i="1"/>
  <c r="G73" i="1"/>
  <c r="H73" i="1"/>
  <c r="H88" i="1"/>
  <c r="G88" i="1"/>
  <c r="G51" i="1"/>
  <c r="H51" i="1"/>
  <c r="H61" i="1"/>
  <c r="G61" i="1"/>
  <c r="H81" i="1"/>
  <c r="G81" i="1"/>
  <c r="G53" i="1"/>
  <c r="H53" i="1"/>
  <c r="H94" i="1"/>
  <c r="G94" i="1"/>
  <c r="G74" i="1"/>
  <c r="H74" i="1"/>
  <c r="H71" i="1"/>
  <c r="G71" i="1"/>
  <c r="G64" i="1"/>
  <c r="H64" i="1"/>
  <c r="H69" i="1"/>
  <c r="G69" i="1"/>
  <c r="H80" i="1"/>
  <c r="G80" i="1"/>
  <c r="G77" i="1"/>
  <c r="H77" i="1"/>
  <c r="H99" i="1"/>
  <c r="G99" i="1"/>
  <c r="G62" i="1"/>
  <c r="H62" i="1"/>
  <c r="H59" i="1"/>
  <c r="G59" i="1"/>
  <c r="G48" i="1"/>
  <c r="H14" i="1"/>
  <c r="G36" i="1"/>
  <c r="H11" i="1"/>
  <c r="G21" i="1"/>
  <c r="G9" i="1"/>
  <c r="G25" i="1"/>
  <c r="H46" i="1"/>
  <c r="G30" i="1"/>
  <c r="G46" i="1"/>
  <c r="G14" i="1"/>
  <c r="H15" i="1"/>
  <c r="G11" i="1"/>
  <c r="G2" i="1"/>
  <c r="G45" i="1"/>
  <c r="H21" i="1"/>
  <c r="H9" i="1"/>
  <c r="G15" i="1"/>
  <c r="H7" i="1"/>
  <c r="H34" i="1"/>
  <c r="H36" i="1"/>
  <c r="H17" i="1"/>
  <c r="H41" i="1"/>
  <c r="H24" i="1"/>
  <c r="H32" i="1"/>
  <c r="G10" i="1"/>
  <c r="G8" i="1"/>
  <c r="H47" i="1"/>
  <c r="H20" i="1"/>
  <c r="G27" i="1"/>
  <c r="G18" i="1"/>
  <c r="G43" i="1"/>
  <c r="H23" i="1"/>
  <c r="G49" i="1"/>
  <c r="G37" i="1"/>
  <c r="H12" i="1"/>
  <c r="G13" i="1"/>
  <c r="G38" i="1"/>
  <c r="H28" i="1"/>
  <c r="H42" i="1"/>
  <c r="H29" i="1"/>
  <c r="G29" i="1"/>
  <c r="G42" i="1"/>
  <c r="G24" i="1"/>
  <c r="H19" i="1"/>
  <c r="H3" i="1"/>
  <c r="G5" i="1"/>
  <c r="G16" i="1"/>
  <c r="G12" i="1"/>
  <c r="H30" i="1"/>
  <c r="G6" i="1"/>
  <c r="G4" i="1"/>
  <c r="G41" i="1"/>
  <c r="G35" i="1"/>
  <c r="H16" i="1"/>
  <c r="H4" i="1"/>
  <c r="H44" i="1"/>
  <c r="H40" i="1"/>
  <c r="H49" i="1"/>
  <c r="H27" i="1"/>
  <c r="H13" i="1"/>
  <c r="H2" i="1"/>
  <c r="H18" i="1"/>
  <c r="H31" i="1"/>
  <c r="G33" i="1"/>
  <c r="G19" i="1"/>
  <c r="G40" i="1"/>
  <c r="G44" i="1"/>
  <c r="H5" i="1"/>
  <c r="H50" i="1"/>
  <c r="H37" i="1"/>
  <c r="G7" i="1"/>
  <c r="G26" i="1"/>
  <c r="G34" i="1"/>
  <c r="H43" i="1"/>
  <c r="G31" i="1"/>
  <c r="H39" i="1"/>
  <c r="H38" i="1"/>
  <c r="H25" i="1"/>
  <c r="H22" i="1"/>
  <c r="H45" i="1"/>
  <c r="H8" i="1"/>
  <c r="G28" i="1"/>
  <c r="G39" i="1"/>
  <c r="G22" i="1"/>
  <c r="H6" i="1"/>
  <c r="H26" i="1"/>
  <c r="H35" i="1"/>
  <c r="H10" i="1"/>
  <c r="H48" i="1"/>
  <c r="H33" i="1"/>
  <c r="K6" i="6"/>
  <c r="Z1" i="8"/>
  <c r="D2" i="8" s="1"/>
  <c r="O3" i="3"/>
  <c r="O4" i="3" s="1"/>
  <c r="O5" i="3" s="1"/>
  <c r="O6" i="3" s="1"/>
  <c r="O7" i="3" s="1"/>
  <c r="O8" i="3" s="1"/>
  <c r="O9" i="3" s="1"/>
  <c r="O10" i="3" s="1"/>
  <c r="O11" i="3" s="1"/>
  <c r="O12" i="3" s="1"/>
  <c r="O13" i="3" s="1"/>
  <c r="O14" i="3" s="1"/>
  <c r="O15" i="3" s="1"/>
  <c r="O16" i="3" s="1"/>
  <c r="O17" i="3" s="1"/>
  <c r="O18" i="3" s="1"/>
  <c r="O19" i="3" s="1"/>
  <c r="O20" i="3" s="1"/>
  <c r="A9" i="3" s="1"/>
  <c r="AA1" i="8" l="1"/>
  <c r="T1" i="8" s="1"/>
  <c r="O15" i="1"/>
  <c r="B16" i="16" s="1"/>
  <c r="N15" i="1"/>
  <c r="A16" i="16" s="1"/>
  <c r="O32" i="1"/>
  <c r="B33" i="16" s="1"/>
  <c r="N32" i="1"/>
  <c r="A33" i="16" s="1"/>
  <c r="N41" i="1"/>
  <c r="A42" i="16" s="1"/>
  <c r="O41" i="1"/>
  <c r="B42" i="16" s="1"/>
  <c r="O77" i="1"/>
  <c r="B78" i="16" s="1"/>
  <c r="N77" i="1"/>
  <c r="A78" i="16" s="1"/>
  <c r="O73" i="1"/>
  <c r="B74" i="16" s="1"/>
  <c r="N73" i="1"/>
  <c r="A74" i="16" s="1"/>
  <c r="N72" i="1"/>
  <c r="A73" i="16" s="1"/>
  <c r="O72" i="1"/>
  <c r="B73" i="16" s="1"/>
  <c r="O20" i="1"/>
  <c r="B21" i="16" s="1"/>
  <c r="N20" i="1"/>
  <c r="A21" i="16" s="1"/>
  <c r="O31" i="1"/>
  <c r="B32" i="16" s="1"/>
  <c r="N31" i="1"/>
  <c r="A32" i="16" s="1"/>
  <c r="O4" i="1"/>
  <c r="B5" i="16" s="1"/>
  <c r="N4" i="1"/>
  <c r="A5" i="16" s="1"/>
  <c r="N80" i="1"/>
  <c r="A81" i="16" s="1"/>
  <c r="O80" i="1"/>
  <c r="B81" i="16" s="1"/>
  <c r="O63" i="1"/>
  <c r="B64" i="16" s="1"/>
  <c r="N63" i="1"/>
  <c r="A64" i="16" s="1"/>
  <c r="N91" i="1"/>
  <c r="A92" i="16" s="1"/>
  <c r="O91" i="1"/>
  <c r="B92" i="16" s="1"/>
  <c r="N95" i="1"/>
  <c r="A96" i="16" s="1"/>
  <c r="O95" i="1"/>
  <c r="B96" i="16" s="1"/>
  <c r="O67" i="1"/>
  <c r="B68" i="16" s="1"/>
  <c r="N67" i="1"/>
  <c r="A68" i="16" s="1"/>
  <c r="O23" i="1"/>
  <c r="B24" i="16" s="1"/>
  <c r="N23" i="1"/>
  <c r="A24" i="16" s="1"/>
  <c r="N6" i="1"/>
  <c r="A7" i="16" s="1"/>
  <c r="O6" i="1"/>
  <c r="B7" i="16" s="1"/>
  <c r="O8" i="1"/>
  <c r="B9" i="16" s="1"/>
  <c r="N8" i="1"/>
  <c r="A9" i="16" s="1"/>
  <c r="N45" i="1"/>
  <c r="A46" i="16" s="1"/>
  <c r="O45" i="1"/>
  <c r="B46" i="16" s="1"/>
  <c r="N36" i="1"/>
  <c r="A37" i="16" s="1"/>
  <c r="O36" i="1"/>
  <c r="B37" i="16" s="1"/>
  <c r="N53" i="1"/>
  <c r="A54" i="16" s="1"/>
  <c r="O53" i="1"/>
  <c r="B54" i="16" s="1"/>
  <c r="O54" i="1"/>
  <c r="B55" i="16" s="1"/>
  <c r="N54" i="1"/>
  <c r="A55" i="16" s="1"/>
  <c r="O89" i="1"/>
  <c r="B90" i="16" s="1"/>
  <c r="N89" i="1"/>
  <c r="A90" i="16" s="1"/>
  <c r="N47" i="1"/>
  <c r="A48" i="16" s="1"/>
  <c r="O47" i="1"/>
  <c r="B48" i="16" s="1"/>
  <c r="O29" i="1"/>
  <c r="B30" i="16" s="1"/>
  <c r="N29" i="1"/>
  <c r="A30" i="16" s="1"/>
  <c r="N10" i="1"/>
  <c r="A11" i="16" s="1"/>
  <c r="O10" i="1"/>
  <c r="B11" i="16" s="1"/>
  <c r="N81" i="1"/>
  <c r="A82" i="16" s="1"/>
  <c r="O81" i="1"/>
  <c r="B82" i="16" s="1"/>
  <c r="N82" i="1"/>
  <c r="A83" i="16" s="1"/>
  <c r="O82" i="1"/>
  <c r="B83" i="16" s="1"/>
  <c r="N79" i="1"/>
  <c r="A80" i="16" s="1"/>
  <c r="O79" i="1"/>
  <c r="B80" i="16" s="1"/>
  <c r="N83" i="1"/>
  <c r="A84" i="16" s="1"/>
  <c r="O83" i="1"/>
  <c r="B84" i="16" s="1"/>
  <c r="O98" i="1"/>
  <c r="B99" i="16" s="1"/>
  <c r="N98" i="1"/>
  <c r="A99" i="16" s="1"/>
  <c r="N3" i="1"/>
  <c r="A4" i="16" s="1"/>
  <c r="O3" i="1"/>
  <c r="B4" i="16" s="1"/>
  <c r="O19" i="1"/>
  <c r="B20" i="16" s="1"/>
  <c r="N19" i="1"/>
  <c r="A20" i="16" s="1"/>
  <c r="N27" i="1"/>
  <c r="A28" i="16" s="1"/>
  <c r="O27" i="1"/>
  <c r="B28" i="16" s="1"/>
  <c r="N94" i="1"/>
  <c r="A95" i="16" s="1"/>
  <c r="O94" i="1"/>
  <c r="B95" i="16" s="1"/>
  <c r="N76" i="1"/>
  <c r="A77" i="16" s="1"/>
  <c r="O76" i="1"/>
  <c r="B77" i="16" s="1"/>
  <c r="N33" i="1"/>
  <c r="A34" i="16" s="1"/>
  <c r="O33" i="1"/>
  <c r="B34" i="16" s="1"/>
  <c r="O21" i="1"/>
  <c r="B22" i="16" s="1"/>
  <c r="N21" i="1"/>
  <c r="A22" i="16" s="1"/>
  <c r="N101" i="1"/>
  <c r="A102" i="16" s="1"/>
  <c r="O101" i="1"/>
  <c r="B102" i="16" s="1"/>
  <c r="O38" i="1"/>
  <c r="B39" i="16" s="1"/>
  <c r="N38" i="1"/>
  <c r="A39" i="16" s="1"/>
  <c r="N26" i="1"/>
  <c r="A27" i="16" s="1"/>
  <c r="O26" i="1"/>
  <c r="B27" i="16" s="1"/>
  <c r="N12" i="1"/>
  <c r="A13" i="16" s="1"/>
  <c r="O12" i="1"/>
  <c r="B13" i="16" s="1"/>
  <c r="O11" i="1"/>
  <c r="B12" i="16" s="1"/>
  <c r="N11" i="1"/>
  <c r="A12" i="16" s="1"/>
  <c r="O97" i="1"/>
  <c r="B98" i="16" s="1"/>
  <c r="N97" i="1"/>
  <c r="A98" i="16" s="1"/>
  <c r="O39" i="1"/>
  <c r="B40" i="16" s="1"/>
  <c r="N39" i="1"/>
  <c r="A40" i="16" s="1"/>
  <c r="O16" i="1"/>
  <c r="B17" i="16" s="1"/>
  <c r="N16" i="1"/>
  <c r="A17" i="16" s="1"/>
  <c r="N59" i="1"/>
  <c r="A60" i="16" s="1"/>
  <c r="O59" i="1"/>
  <c r="B60" i="16" s="1"/>
  <c r="N58" i="1"/>
  <c r="A59" i="16" s="1"/>
  <c r="O58" i="1"/>
  <c r="B59" i="16" s="1"/>
  <c r="N93" i="1"/>
  <c r="A94" i="16" s="1"/>
  <c r="O93" i="1"/>
  <c r="B94" i="16" s="1"/>
  <c r="N28" i="1"/>
  <c r="A29" i="16" s="1"/>
  <c r="O28" i="1"/>
  <c r="B29" i="16" s="1"/>
  <c r="O37" i="1"/>
  <c r="B38" i="16" s="1"/>
  <c r="N37" i="1"/>
  <c r="A38" i="16" s="1"/>
  <c r="N46" i="1"/>
  <c r="A47" i="16" s="1"/>
  <c r="O46" i="1"/>
  <c r="B47" i="16" s="1"/>
  <c r="N100" i="1"/>
  <c r="A101" i="16" s="1"/>
  <c r="O100" i="1"/>
  <c r="B101" i="16" s="1"/>
  <c r="O30" i="1"/>
  <c r="B31" i="16" s="1"/>
  <c r="N30" i="1"/>
  <c r="A31" i="16" s="1"/>
  <c r="N62" i="1"/>
  <c r="A63" i="16" s="1"/>
  <c r="O62" i="1"/>
  <c r="B63" i="16" s="1"/>
  <c r="N51" i="1"/>
  <c r="A52" i="16" s="1"/>
  <c r="O51" i="1"/>
  <c r="B52" i="16" s="1"/>
  <c r="N52" i="1"/>
  <c r="A53" i="16" s="1"/>
  <c r="O52" i="1"/>
  <c r="B53" i="16" s="1"/>
  <c r="O66" i="1"/>
  <c r="B67" i="16" s="1"/>
  <c r="N66" i="1"/>
  <c r="A67" i="16" s="1"/>
  <c r="N96" i="1"/>
  <c r="A97" i="16" s="1"/>
  <c r="O96" i="1"/>
  <c r="B97" i="16" s="1"/>
  <c r="O35" i="1"/>
  <c r="B36" i="16" s="1"/>
  <c r="N35" i="1"/>
  <c r="A36" i="16" s="1"/>
  <c r="O92" i="1"/>
  <c r="B93" i="16" s="1"/>
  <c r="N92" i="1"/>
  <c r="A93" i="16" s="1"/>
  <c r="N69" i="1"/>
  <c r="A70" i="16" s="1"/>
  <c r="O69" i="1"/>
  <c r="B70" i="16" s="1"/>
  <c r="O17" i="1"/>
  <c r="B18" i="16" s="1"/>
  <c r="N17" i="1"/>
  <c r="A18" i="16" s="1"/>
  <c r="O61" i="1"/>
  <c r="B62" i="16" s="1"/>
  <c r="N61" i="1"/>
  <c r="A62" i="16" s="1"/>
  <c r="O50" i="1"/>
  <c r="B51" i="16" s="1"/>
  <c r="N50" i="1"/>
  <c r="A51" i="16" s="1"/>
  <c r="N14" i="1"/>
  <c r="A15" i="16" s="1"/>
  <c r="O14" i="1"/>
  <c r="B15" i="16" s="1"/>
  <c r="O85" i="1"/>
  <c r="B86" i="16" s="1"/>
  <c r="N85" i="1"/>
  <c r="A86" i="16" s="1"/>
  <c r="N78" i="1"/>
  <c r="A79" i="16" s="1"/>
  <c r="O78" i="1"/>
  <c r="B79" i="16" s="1"/>
  <c r="N49" i="1"/>
  <c r="A50" i="16" s="1"/>
  <c r="O49" i="1"/>
  <c r="B50" i="16" s="1"/>
  <c r="N71" i="1"/>
  <c r="A72" i="16" s="1"/>
  <c r="O71" i="1"/>
  <c r="B72" i="16" s="1"/>
  <c r="N84" i="1"/>
  <c r="A85" i="16" s="1"/>
  <c r="O84" i="1"/>
  <c r="B85" i="16" s="1"/>
  <c r="O44" i="1"/>
  <c r="B45" i="16" s="1"/>
  <c r="N44" i="1"/>
  <c r="A45" i="16" s="1"/>
  <c r="O24" i="1"/>
  <c r="B25" i="16" s="1"/>
  <c r="N24" i="1"/>
  <c r="A25" i="16" s="1"/>
  <c r="O99" i="1"/>
  <c r="B100" i="16" s="1"/>
  <c r="N99" i="1"/>
  <c r="A100" i="16" s="1"/>
  <c r="N88" i="1"/>
  <c r="A89" i="16" s="1"/>
  <c r="O88" i="1"/>
  <c r="B89" i="16" s="1"/>
  <c r="N57" i="1"/>
  <c r="A58" i="16" s="1"/>
  <c r="O57" i="1"/>
  <c r="B58" i="16" s="1"/>
  <c r="O56" i="1"/>
  <c r="B57" i="16" s="1"/>
  <c r="N56" i="1"/>
  <c r="A57" i="16" s="1"/>
  <c r="N60" i="1"/>
  <c r="A61" i="16" s="1"/>
  <c r="O60" i="1"/>
  <c r="B61" i="16" s="1"/>
  <c r="O9" i="1"/>
  <c r="B10" i="16" s="1"/>
  <c r="N9" i="1"/>
  <c r="A10" i="16" s="1"/>
  <c r="O55" i="1"/>
  <c r="B56" i="16" s="1"/>
  <c r="N55" i="1"/>
  <c r="A56" i="16" s="1"/>
  <c r="N34" i="1"/>
  <c r="A35" i="16" s="1"/>
  <c r="O34" i="1"/>
  <c r="B35" i="16" s="1"/>
  <c r="N2" i="1"/>
  <c r="A3" i="16" s="1"/>
  <c r="O2" i="1"/>
  <c r="B3" i="16" s="1"/>
  <c r="N22" i="1"/>
  <c r="A23" i="16" s="1"/>
  <c r="O22" i="1"/>
  <c r="B23" i="16" s="1"/>
  <c r="N13" i="1"/>
  <c r="A14" i="16" s="1"/>
  <c r="O13" i="1"/>
  <c r="B14" i="16" s="1"/>
  <c r="O48" i="1"/>
  <c r="B49" i="16" s="1"/>
  <c r="N48" i="1"/>
  <c r="A49" i="16" s="1"/>
  <c r="O90" i="1"/>
  <c r="B91" i="16" s="1"/>
  <c r="N90" i="1"/>
  <c r="A91" i="16" s="1"/>
  <c r="N7" i="1"/>
  <c r="A8" i="16" s="1"/>
  <c r="O7" i="1"/>
  <c r="B8" i="16" s="1"/>
  <c r="O86" i="1"/>
  <c r="B87" i="16" s="1"/>
  <c r="N86" i="1"/>
  <c r="A87" i="16" s="1"/>
  <c r="N68" i="1"/>
  <c r="A69" i="16" s="1"/>
  <c r="O68" i="1"/>
  <c r="B69" i="16" s="1"/>
  <c r="N5" i="1"/>
  <c r="A6" i="16" s="1"/>
  <c r="O5" i="1"/>
  <c r="B6" i="16" s="1"/>
  <c r="N64" i="1"/>
  <c r="A65" i="16" s="1"/>
  <c r="O64" i="1"/>
  <c r="B65" i="16" s="1"/>
  <c r="O70" i="1"/>
  <c r="B71" i="16" s="1"/>
  <c r="N70" i="1"/>
  <c r="A71" i="16" s="1"/>
  <c r="O43" i="1"/>
  <c r="B44" i="16" s="1"/>
  <c r="N43" i="1"/>
  <c r="A44" i="16" s="1"/>
  <c r="O40" i="1"/>
  <c r="B41" i="16" s="1"/>
  <c r="N40" i="1"/>
  <c r="A41" i="16" s="1"/>
  <c r="N42" i="1"/>
  <c r="A43" i="16" s="1"/>
  <c r="O42" i="1"/>
  <c r="B43" i="16" s="1"/>
  <c r="N18" i="1"/>
  <c r="A19" i="16" s="1"/>
  <c r="O18" i="1"/>
  <c r="B19" i="16" s="1"/>
  <c r="N25" i="1"/>
  <c r="A26" i="16" s="1"/>
  <c r="O25" i="1"/>
  <c r="B26" i="16" s="1"/>
  <c r="O74" i="1"/>
  <c r="B75" i="16" s="1"/>
  <c r="N74" i="1"/>
  <c r="A75" i="16" s="1"/>
  <c r="O75" i="1"/>
  <c r="B76" i="16" s="1"/>
  <c r="N75" i="1"/>
  <c r="A76" i="16" s="1"/>
  <c r="O65" i="1"/>
  <c r="B66" i="16" s="1"/>
  <c r="N65" i="1"/>
  <c r="A66" i="16" s="1"/>
  <c r="O87" i="1"/>
  <c r="B88" i="16" s="1"/>
  <c r="N87" i="1"/>
  <c r="A88" i="16" s="1"/>
  <c r="D1" i="8"/>
  <c r="D81" i="8"/>
  <c r="G81" i="8" s="1"/>
  <c r="D98" i="8"/>
  <c r="H98" i="8" s="1"/>
  <c r="D102" i="8"/>
  <c r="D91" i="8"/>
  <c r="D85" i="8"/>
  <c r="D95" i="8"/>
  <c r="D97" i="8"/>
  <c r="D94" i="8"/>
  <c r="D96" i="8"/>
  <c r="D93" i="8"/>
  <c r="D92" i="8"/>
  <c r="D89" i="8"/>
  <c r="D88" i="8"/>
  <c r="D101" i="8"/>
  <c r="D83" i="8"/>
  <c r="D82" i="8"/>
  <c r="D100" i="8"/>
  <c r="D87" i="8"/>
  <c r="D84" i="8"/>
  <c r="D86" i="8"/>
  <c r="D99" i="8"/>
  <c r="D90" i="8"/>
  <c r="W10" i="1"/>
  <c r="W22" i="1"/>
  <c r="W34" i="1"/>
  <c r="W46" i="1"/>
  <c r="W2" i="1"/>
  <c r="W14" i="1"/>
  <c r="W26" i="1"/>
  <c r="W38" i="1"/>
  <c r="W50" i="1"/>
  <c r="W5" i="1"/>
  <c r="W17" i="1"/>
  <c r="W29" i="1"/>
  <c r="W41" i="1"/>
  <c r="W6" i="1"/>
  <c r="W30" i="1"/>
  <c r="W19" i="1"/>
  <c r="W9" i="1"/>
  <c r="W45" i="1"/>
  <c r="W11" i="1"/>
  <c r="W23" i="1"/>
  <c r="W35" i="1"/>
  <c r="W47" i="1"/>
  <c r="W12" i="1"/>
  <c r="W24" i="1"/>
  <c r="W36" i="1"/>
  <c r="W48" i="1"/>
  <c r="W13" i="1"/>
  <c r="W25" i="1"/>
  <c r="W37" i="1"/>
  <c r="W49" i="1"/>
  <c r="W3" i="1"/>
  <c r="W15" i="1"/>
  <c r="W27" i="1"/>
  <c r="W39" i="1"/>
  <c r="W1" i="1"/>
  <c r="W4" i="1"/>
  <c r="W16" i="1"/>
  <c r="W28" i="1"/>
  <c r="W40" i="1"/>
  <c r="W18" i="1"/>
  <c r="W42" i="1"/>
  <c r="W7" i="1"/>
  <c r="W31" i="1"/>
  <c r="W43" i="1"/>
  <c r="W21" i="1"/>
  <c r="W33" i="1"/>
  <c r="W8" i="1"/>
  <c r="W20" i="1"/>
  <c r="W32" i="1"/>
  <c r="W44" i="1"/>
  <c r="D6" i="8"/>
  <c r="D16" i="8"/>
  <c r="V1" i="8" l="1"/>
  <c r="U1" i="8"/>
  <c r="D79" i="8"/>
  <c r="H79" i="8" s="1"/>
  <c r="D77" i="8"/>
  <c r="H77" i="8" s="1"/>
  <c r="D80" i="8"/>
  <c r="H80" i="8" s="1"/>
  <c r="D78" i="8"/>
  <c r="H78" i="8" s="1"/>
  <c r="D75" i="8"/>
  <c r="H75" i="8" s="1"/>
  <c r="D76" i="8"/>
  <c r="H76" i="8" s="1"/>
  <c r="D74" i="8"/>
  <c r="G74" i="8" s="1"/>
  <c r="H81" i="8"/>
  <c r="O81" i="8" s="1"/>
  <c r="B82" i="18" s="1"/>
  <c r="G98" i="8"/>
  <c r="G86" i="8"/>
  <c r="H86" i="8"/>
  <c r="G92" i="8"/>
  <c r="H92" i="8"/>
  <c r="G87" i="8"/>
  <c r="H87" i="8"/>
  <c r="H96" i="8"/>
  <c r="G96" i="8"/>
  <c r="G100" i="8"/>
  <c r="H100" i="8"/>
  <c r="G94" i="8"/>
  <c r="H94" i="8"/>
  <c r="H97" i="8"/>
  <c r="G97" i="8"/>
  <c r="G89" i="8"/>
  <c r="H89" i="8"/>
  <c r="G84" i="8"/>
  <c r="H84" i="8"/>
  <c r="H93" i="8"/>
  <c r="G93" i="8"/>
  <c r="H82" i="8"/>
  <c r="G82" i="8"/>
  <c r="G95" i="8"/>
  <c r="H95" i="8"/>
  <c r="G83" i="8"/>
  <c r="H83" i="8"/>
  <c r="G85" i="8"/>
  <c r="H85" i="8"/>
  <c r="H90" i="8"/>
  <c r="G90" i="8"/>
  <c r="G101" i="8"/>
  <c r="H101" i="8"/>
  <c r="G91" i="8"/>
  <c r="H91" i="8"/>
  <c r="G99" i="8"/>
  <c r="H99" i="8"/>
  <c r="H88" i="8"/>
  <c r="G88" i="8"/>
  <c r="D5" i="8"/>
  <c r="D24" i="8"/>
  <c r="D23" i="8"/>
  <c r="D10" i="8"/>
  <c r="D27" i="8"/>
  <c r="D11" i="8"/>
  <c r="D13" i="8"/>
  <c r="D18" i="8"/>
  <c r="D9" i="8"/>
  <c r="D8" i="8"/>
  <c r="D4" i="8"/>
  <c r="D19" i="8"/>
  <c r="D29" i="8"/>
  <c r="D12" i="8"/>
  <c r="D26" i="8"/>
  <c r="D3" i="8"/>
  <c r="D21" i="8"/>
  <c r="D22" i="8"/>
  <c r="D20" i="8"/>
  <c r="D14" i="8"/>
  <c r="D7" i="8"/>
  <c r="D28" i="8"/>
  <c r="D17" i="8"/>
  <c r="D15" i="8"/>
  <c r="D25" i="8"/>
  <c r="D55" i="8" l="1"/>
  <c r="G55" i="8" s="1"/>
  <c r="D41" i="8"/>
  <c r="D70" i="8"/>
  <c r="G70" i="8" s="1"/>
  <c r="D54" i="8"/>
  <c r="G54" i="8" s="1"/>
  <c r="D44" i="8"/>
  <c r="D31" i="8"/>
  <c r="D39" i="8"/>
  <c r="D47" i="8"/>
  <c r="D71" i="8"/>
  <c r="G71" i="8" s="1"/>
  <c r="D52" i="8"/>
  <c r="H52" i="8" s="1"/>
  <c r="D42" i="8"/>
  <c r="D72" i="8"/>
  <c r="H72" i="8" s="1"/>
  <c r="D64" i="8"/>
  <c r="H64" i="8" s="1"/>
  <c r="D32" i="8"/>
  <c r="D43" i="8"/>
  <c r="D51" i="8"/>
  <c r="H51" i="8" s="1"/>
  <c r="D68" i="8"/>
  <c r="G68" i="8" s="1"/>
  <c r="D59" i="8"/>
  <c r="H59" i="8" s="1"/>
  <c r="D46" i="8"/>
  <c r="D36" i="8"/>
  <c r="D69" i="8"/>
  <c r="G69" i="8" s="1"/>
  <c r="D67" i="8"/>
  <c r="H67" i="8" s="1"/>
  <c r="D34" i="8"/>
  <c r="D58" i="8"/>
  <c r="G58" i="8" s="1"/>
  <c r="D66" i="8"/>
  <c r="G66" i="8" s="1"/>
  <c r="D57" i="8"/>
  <c r="G57" i="8" s="1"/>
  <c r="D35" i="8"/>
  <c r="D49" i="8"/>
  <c r="D73" i="8"/>
  <c r="G73" i="8" s="1"/>
  <c r="D63" i="8"/>
  <c r="G63" i="8" s="1"/>
  <c r="D50" i="8"/>
  <c r="D40" i="8"/>
  <c r="D56" i="8"/>
  <c r="H56" i="8" s="1"/>
  <c r="D30" i="8"/>
  <c r="D62" i="8"/>
  <c r="G62" i="8" s="1"/>
  <c r="D45" i="8"/>
  <c r="D53" i="8"/>
  <c r="G53" i="8" s="1"/>
  <c r="D37" i="8"/>
  <c r="D38" i="8"/>
  <c r="D61" i="8"/>
  <c r="G61" i="8" s="1"/>
  <c r="D60" i="8"/>
  <c r="G60" i="8" s="1"/>
  <c r="D48" i="8"/>
  <c r="D33" i="8"/>
  <c r="D65" i="8"/>
  <c r="G65" i="8" s="1"/>
  <c r="G78" i="8"/>
  <c r="O78" i="8" s="1"/>
  <c r="B79" i="18" s="1"/>
  <c r="G79" i="8"/>
  <c r="N79" i="8" s="1"/>
  <c r="A80" i="18" s="1"/>
  <c r="AE6" i="3"/>
  <c r="AE9" i="3"/>
  <c r="AE12" i="3"/>
  <c r="AE38" i="3"/>
  <c r="AE10" i="3"/>
  <c r="AE19" i="3"/>
  <c r="AE13" i="3"/>
  <c r="AE31" i="3"/>
  <c r="AE1" i="3"/>
  <c r="AE43" i="3"/>
  <c r="AE18" i="3"/>
  <c r="AE21" i="3"/>
  <c r="AE24" i="3"/>
  <c r="AE50" i="3"/>
  <c r="AE51" i="3"/>
  <c r="AE16" i="3"/>
  <c r="AE22" i="3"/>
  <c r="AE34" i="3"/>
  <c r="AE46" i="3"/>
  <c r="AE30" i="3"/>
  <c r="AE33" i="3"/>
  <c r="AE36" i="3"/>
  <c r="AE3" i="3"/>
  <c r="AE41" i="3"/>
  <c r="AE42" i="3"/>
  <c r="AE45" i="3"/>
  <c r="AE48" i="3"/>
  <c r="AE15" i="3"/>
  <c r="AE39" i="3"/>
  <c r="AE25" i="3"/>
  <c r="AE40" i="3"/>
  <c r="AE37" i="3"/>
  <c r="AE4" i="3"/>
  <c r="AE7" i="3"/>
  <c r="AE27" i="3"/>
  <c r="AE28" i="3"/>
  <c r="AE26" i="3"/>
  <c r="AE5" i="3"/>
  <c r="AE8" i="3"/>
  <c r="AE11" i="3"/>
  <c r="AE49" i="3"/>
  <c r="AE23" i="3"/>
  <c r="AE29" i="3"/>
  <c r="AE35" i="3"/>
  <c r="AE14" i="3"/>
  <c r="AE47" i="3"/>
  <c r="AE17" i="3"/>
  <c r="AE20" i="3"/>
  <c r="AE2" i="3"/>
  <c r="AE32" i="3"/>
  <c r="AE44" i="3"/>
  <c r="G80" i="8"/>
  <c r="N80" i="8" s="1"/>
  <c r="A81" i="18" s="1"/>
  <c r="G77" i="8"/>
  <c r="O77" i="8" s="1"/>
  <c r="B78" i="18" s="1"/>
  <c r="H74" i="8"/>
  <c r="N74" i="8" s="1"/>
  <c r="A75" i="18" s="1"/>
  <c r="G76" i="8"/>
  <c r="N76" i="8" s="1"/>
  <c r="A77" i="18" s="1"/>
  <c r="G75" i="8"/>
  <c r="N75" i="8" s="1"/>
  <c r="A76" i="18" s="1"/>
  <c r="N91" i="8"/>
  <c r="A92" i="18" s="1"/>
  <c r="O91" i="8"/>
  <c r="B92" i="18" s="1"/>
  <c r="O83" i="8"/>
  <c r="B84" i="18" s="1"/>
  <c r="N83" i="8"/>
  <c r="A84" i="18" s="1"/>
  <c r="O87" i="8"/>
  <c r="B88" i="18" s="1"/>
  <c r="N87" i="8"/>
  <c r="A88" i="18" s="1"/>
  <c r="O88" i="8"/>
  <c r="B89" i="18" s="1"/>
  <c r="N88" i="8"/>
  <c r="A89" i="18" s="1"/>
  <c r="N95" i="8"/>
  <c r="A96" i="18" s="1"/>
  <c r="O95" i="8"/>
  <c r="B96" i="18" s="1"/>
  <c r="O92" i="8"/>
  <c r="B93" i="18" s="1"/>
  <c r="N92" i="8"/>
  <c r="A93" i="18" s="1"/>
  <c r="N82" i="8"/>
  <c r="A83" i="18" s="1"/>
  <c r="O82" i="8"/>
  <c r="B83" i="18" s="1"/>
  <c r="N94" i="8"/>
  <c r="A95" i="18" s="1"/>
  <c r="O94" i="8"/>
  <c r="B95" i="18" s="1"/>
  <c r="N86" i="8"/>
  <c r="A87" i="18" s="1"/>
  <c r="O86" i="8"/>
  <c r="B87" i="18" s="1"/>
  <c r="N85" i="8"/>
  <c r="A86" i="18" s="1"/>
  <c r="O85" i="8"/>
  <c r="B86" i="18" s="1"/>
  <c r="N97" i="8"/>
  <c r="A98" i="18" s="1"/>
  <c r="O97" i="8"/>
  <c r="B98" i="18" s="1"/>
  <c r="O101" i="8"/>
  <c r="B102" i="18" s="1"/>
  <c r="N101" i="8"/>
  <c r="A102" i="18" s="1"/>
  <c r="O90" i="8"/>
  <c r="B91" i="18" s="1"/>
  <c r="N90" i="8"/>
  <c r="A91" i="18" s="1"/>
  <c r="N93" i="8"/>
  <c r="A94" i="18" s="1"/>
  <c r="O93" i="8"/>
  <c r="B94" i="18" s="1"/>
  <c r="N98" i="8"/>
  <c r="A99" i="18" s="1"/>
  <c r="O98" i="8"/>
  <c r="B99" i="18" s="1"/>
  <c r="O89" i="8"/>
  <c r="B90" i="18" s="1"/>
  <c r="N89" i="8"/>
  <c r="A90" i="18" s="1"/>
  <c r="O100" i="8"/>
  <c r="B101" i="18" s="1"/>
  <c r="N100" i="8"/>
  <c r="A101" i="18" s="1"/>
  <c r="O96" i="8"/>
  <c r="B97" i="18" s="1"/>
  <c r="N96" i="8"/>
  <c r="A97" i="18" s="1"/>
  <c r="N99" i="8"/>
  <c r="A100" i="18" s="1"/>
  <c r="O99" i="8"/>
  <c r="B100" i="18" s="1"/>
  <c r="N84" i="8"/>
  <c r="A85" i="18" s="1"/>
  <c r="O84" i="8"/>
  <c r="B85" i="18" s="1"/>
  <c r="N81" i="8"/>
  <c r="A82" i="18" s="1"/>
  <c r="H55" i="8" l="1"/>
  <c r="O55" i="8" s="1"/>
  <c r="B56" i="18" s="1"/>
  <c r="H54" i="8"/>
  <c r="O54" i="8" s="1"/>
  <c r="B55" i="18" s="1"/>
  <c r="H70" i="8"/>
  <c r="O70" i="8" s="1"/>
  <c r="B71" i="18" s="1"/>
  <c r="G59" i="8"/>
  <c r="N59" i="8" s="1"/>
  <c r="A60" i="18" s="1"/>
  <c r="G56" i="8"/>
  <c r="N56" i="8" s="1"/>
  <c r="A57" i="18" s="1"/>
  <c r="G52" i="8"/>
  <c r="O52" i="8" s="1"/>
  <c r="B53" i="18" s="1"/>
  <c r="G67" i="8"/>
  <c r="O67" i="8" s="1"/>
  <c r="B68" i="18" s="1"/>
  <c r="H71" i="8"/>
  <c r="N71" i="8" s="1"/>
  <c r="A72" i="18" s="1"/>
  <c r="H53" i="8"/>
  <c r="O53" i="8" s="1"/>
  <c r="B54" i="18" s="1"/>
  <c r="H66" i="8"/>
  <c r="N66" i="8" s="1"/>
  <c r="A67" i="18" s="1"/>
  <c r="G72" i="8"/>
  <c r="O72" i="8" s="1"/>
  <c r="B73" i="18" s="1"/>
  <c r="H62" i="8"/>
  <c r="N62" i="8" s="1"/>
  <c r="A63" i="18" s="1"/>
  <c r="H58" i="8"/>
  <c r="O58" i="8" s="1"/>
  <c r="B59" i="18" s="1"/>
  <c r="H69" i="8"/>
  <c r="O69" i="8" s="1"/>
  <c r="B70" i="18" s="1"/>
  <c r="H65" i="8"/>
  <c r="N65" i="8" s="1"/>
  <c r="A66" i="18" s="1"/>
  <c r="H60" i="8"/>
  <c r="O60" i="8" s="1"/>
  <c r="B61" i="18" s="1"/>
  <c r="G51" i="8"/>
  <c r="O51" i="8" s="1"/>
  <c r="B52" i="18" s="1"/>
  <c r="H63" i="8"/>
  <c r="N63" i="8" s="1"/>
  <c r="A64" i="18" s="1"/>
  <c r="H68" i="8"/>
  <c r="O68" i="8" s="1"/>
  <c r="B69" i="18" s="1"/>
  <c r="G64" i="8"/>
  <c r="N64" i="8" s="1"/>
  <c r="A65" i="18" s="1"/>
  <c r="H57" i="8"/>
  <c r="N57" i="8" s="1"/>
  <c r="A58" i="18" s="1"/>
  <c r="H73" i="8"/>
  <c r="O73" i="8" s="1"/>
  <c r="B74" i="18" s="1"/>
  <c r="H61" i="8"/>
  <c r="N61" i="8" s="1"/>
  <c r="A62" i="18" s="1"/>
  <c r="N78" i="8"/>
  <c r="A79" i="18" s="1"/>
  <c r="O79" i="8"/>
  <c r="B80" i="18" s="1"/>
  <c r="O80" i="8"/>
  <c r="B81" i="18" s="1"/>
  <c r="N77" i="8"/>
  <c r="A78" i="18" s="1"/>
  <c r="O74" i="8"/>
  <c r="B75" i="18" s="1"/>
  <c r="O75" i="8"/>
  <c r="B76" i="18" s="1"/>
  <c r="O76" i="8"/>
  <c r="B77" i="18" s="1"/>
  <c r="N55" i="8" l="1"/>
  <c r="A56" i="18" s="1"/>
  <c r="N54" i="8"/>
  <c r="A55" i="18" s="1"/>
  <c r="N70" i="8"/>
  <c r="A71" i="18" s="1"/>
  <c r="O56" i="8"/>
  <c r="B57" i="18" s="1"/>
  <c r="N72" i="8"/>
  <c r="A73" i="18" s="1"/>
  <c r="O59" i="8"/>
  <c r="B60" i="18" s="1"/>
  <c r="N58" i="8"/>
  <c r="A59" i="18" s="1"/>
  <c r="O71" i="8"/>
  <c r="B72" i="18" s="1"/>
  <c r="N67" i="8"/>
  <c r="A68" i="18" s="1"/>
  <c r="N52" i="8"/>
  <c r="A53" i="18" s="1"/>
  <c r="O65" i="8"/>
  <c r="B66" i="18" s="1"/>
  <c r="O62" i="8"/>
  <c r="B63" i="18" s="1"/>
  <c r="O63" i="8"/>
  <c r="B64" i="18" s="1"/>
  <c r="O66" i="8"/>
  <c r="B67" i="18" s="1"/>
  <c r="N53" i="8"/>
  <c r="A54" i="18" s="1"/>
  <c r="N69" i="8"/>
  <c r="A70" i="18" s="1"/>
  <c r="N51" i="8"/>
  <c r="A52" i="18" s="1"/>
  <c r="O64" i="8"/>
  <c r="B65" i="18" s="1"/>
  <c r="O57" i="8"/>
  <c r="B58" i="18" s="1"/>
  <c r="N68" i="8"/>
  <c r="A69" i="18" s="1"/>
  <c r="N60" i="8"/>
  <c r="A61" i="18" s="1"/>
  <c r="N73" i="8"/>
  <c r="A74" i="18" s="1"/>
  <c r="O61" i="8"/>
  <c r="B62" i="18" s="1"/>
  <c r="L29" i="8"/>
  <c r="M29" i="8"/>
  <c r="AD29" i="8" s="1"/>
  <c r="M2" i="8"/>
  <c r="AD2" i="8" s="1"/>
  <c r="L2" i="8"/>
  <c r="G35" i="8"/>
  <c r="G16" i="8"/>
  <c r="H2" i="8"/>
  <c r="G48" i="8"/>
  <c r="G9" i="8"/>
  <c r="L38" i="8" l="1"/>
  <c r="M38" i="8"/>
  <c r="AD38" i="8" s="1"/>
  <c r="L18" i="8"/>
  <c r="M18" i="8"/>
  <c r="AD18" i="8" s="1"/>
  <c r="L3" i="8"/>
  <c r="M3" i="8"/>
  <c r="AD3" i="8" s="1"/>
  <c r="M28" i="8"/>
  <c r="AD28" i="8" s="1"/>
  <c r="L28" i="8"/>
  <c r="M43" i="8"/>
  <c r="AD43" i="8" s="1"/>
  <c r="L43" i="8"/>
  <c r="M30" i="8"/>
  <c r="AD30" i="8" s="1"/>
  <c r="L30" i="8"/>
  <c r="L7" i="8"/>
  <c r="M7" i="8"/>
  <c r="AD7" i="8" s="1"/>
  <c r="M50" i="8"/>
  <c r="AD50" i="8" s="1"/>
  <c r="L50" i="8"/>
  <c r="M42" i="8"/>
  <c r="AD42" i="8" s="1"/>
  <c r="L42" i="8"/>
  <c r="L37" i="8"/>
  <c r="M37" i="8"/>
  <c r="AD37" i="8" s="1"/>
  <c r="L21" i="8"/>
  <c r="M21" i="8"/>
  <c r="AD21" i="8" s="1"/>
  <c r="M27" i="8"/>
  <c r="AD27" i="8" s="1"/>
  <c r="L27" i="8"/>
  <c r="L48" i="8"/>
  <c r="M48" i="8"/>
  <c r="AD48" i="8" s="1"/>
  <c r="M11" i="8"/>
  <c r="AD11" i="8" s="1"/>
  <c r="L11" i="8"/>
  <c r="L45" i="8"/>
  <c r="M45" i="8"/>
  <c r="AD45" i="8" s="1"/>
  <c r="M25" i="8"/>
  <c r="AD25" i="8" s="1"/>
  <c r="L25" i="8"/>
  <c r="M23" i="8"/>
  <c r="AD23" i="8" s="1"/>
  <c r="L23" i="8"/>
  <c r="M31" i="8"/>
  <c r="AD31" i="8" s="1"/>
  <c r="L31" i="8"/>
  <c r="L10" i="8"/>
  <c r="M10" i="8"/>
  <c r="AD10" i="8" s="1"/>
  <c r="M8" i="8"/>
  <c r="AD8" i="8" s="1"/>
  <c r="L8" i="8"/>
  <c r="M12" i="8"/>
  <c r="AD12" i="8" s="1"/>
  <c r="L12" i="8"/>
  <c r="M35" i="8"/>
  <c r="AD35" i="8" s="1"/>
  <c r="L35" i="8"/>
  <c r="L24" i="8"/>
  <c r="M24" i="8"/>
  <c r="AD24" i="8" s="1"/>
  <c r="L34" i="8"/>
  <c r="M34" i="8"/>
  <c r="AD34" i="8" s="1"/>
  <c r="M49" i="8"/>
  <c r="AD49" i="8" s="1"/>
  <c r="L49" i="8"/>
  <c r="M47" i="8"/>
  <c r="AD47" i="8" s="1"/>
  <c r="L47" i="8"/>
  <c r="M6" i="8"/>
  <c r="AD6" i="8" s="1"/>
  <c r="L6" i="8"/>
  <c r="L9" i="8"/>
  <c r="M9" i="8"/>
  <c r="AD9" i="8" s="1"/>
  <c r="L40" i="8"/>
  <c r="M40" i="8"/>
  <c r="AD40" i="8" s="1"/>
  <c r="M44" i="8"/>
  <c r="AD44" i="8" s="1"/>
  <c r="L44" i="8"/>
  <c r="L14" i="8"/>
  <c r="M14" i="8"/>
  <c r="AD14" i="8" s="1"/>
  <c r="M36" i="8"/>
  <c r="AD36" i="8" s="1"/>
  <c r="L36" i="8"/>
  <c r="M39" i="8"/>
  <c r="AD39" i="8" s="1"/>
  <c r="L39" i="8"/>
  <c r="L33" i="8"/>
  <c r="M33" i="8"/>
  <c r="AD33" i="8" s="1"/>
  <c r="M19" i="8"/>
  <c r="AD19" i="8" s="1"/>
  <c r="L19" i="8"/>
  <c r="L22" i="8"/>
  <c r="M22" i="8"/>
  <c r="AD22" i="8" s="1"/>
  <c r="L13" i="8"/>
  <c r="M13" i="8"/>
  <c r="AD13" i="8" s="1"/>
  <c r="M32" i="8"/>
  <c r="AD32" i="8" s="1"/>
  <c r="L32" i="8"/>
  <c r="M15" i="8"/>
  <c r="AD15" i="8" s="1"/>
  <c r="L15" i="8"/>
  <c r="M17" i="8"/>
  <c r="AD17" i="8" s="1"/>
  <c r="L17" i="8"/>
  <c r="M4" i="8"/>
  <c r="AD4" i="8" s="1"/>
  <c r="L4" i="8"/>
  <c r="M26" i="8"/>
  <c r="AD26" i="8" s="1"/>
  <c r="L26" i="8"/>
  <c r="M20" i="8"/>
  <c r="AD20" i="8" s="1"/>
  <c r="L20" i="8"/>
  <c r="M41" i="8"/>
  <c r="AD41" i="8" s="1"/>
  <c r="L41" i="8"/>
  <c r="M46" i="8"/>
  <c r="AD46" i="8" s="1"/>
  <c r="L46" i="8"/>
  <c r="L5" i="8"/>
  <c r="M5" i="8"/>
  <c r="AD5" i="8" s="1"/>
  <c r="L16" i="8"/>
  <c r="M16" i="8"/>
  <c r="AD16" i="8" s="1"/>
  <c r="H29" i="8"/>
  <c r="H39" i="8"/>
  <c r="H35" i="8"/>
  <c r="O35" i="8" s="1"/>
  <c r="B36" i="18" s="1"/>
  <c r="H16" i="8"/>
  <c r="O16" i="8" s="1"/>
  <c r="B17" i="18" s="1"/>
  <c r="H37" i="8"/>
  <c r="H18" i="8"/>
  <c r="H47" i="8"/>
  <c r="H8" i="8"/>
  <c r="H24" i="8"/>
  <c r="H25" i="8"/>
  <c r="H15" i="8"/>
  <c r="H31" i="8"/>
  <c r="H41" i="8"/>
  <c r="H34" i="8"/>
  <c r="H17" i="8"/>
  <c r="H49" i="8"/>
  <c r="H44" i="8"/>
  <c r="H40" i="8"/>
  <c r="H11" i="8"/>
  <c r="H4" i="8"/>
  <c r="H21" i="8"/>
  <c r="H3" i="8"/>
  <c r="H28" i="8"/>
  <c r="H12" i="8"/>
  <c r="H26" i="8"/>
  <c r="H32" i="8"/>
  <c r="H48" i="8"/>
  <c r="O48" i="8" s="1"/>
  <c r="B49" i="18" s="1"/>
  <c r="H45" i="8"/>
  <c r="H5" i="8"/>
  <c r="H23" i="8"/>
  <c r="H22" i="8"/>
  <c r="H46" i="8"/>
  <c r="H20" i="8"/>
  <c r="H6" i="8"/>
  <c r="H9" i="8"/>
  <c r="O9" i="8" s="1"/>
  <c r="B10" i="18" s="1"/>
  <c r="H14" i="8"/>
  <c r="H38" i="8"/>
  <c r="H27" i="8"/>
  <c r="H36" i="8"/>
  <c r="H42" i="8"/>
  <c r="H10" i="8"/>
  <c r="H50" i="8"/>
  <c r="H13" i="8"/>
  <c r="H43" i="8"/>
  <c r="H19" i="8"/>
  <c r="H7" i="8"/>
  <c r="H30" i="8"/>
  <c r="H33" i="8"/>
  <c r="G32" i="8"/>
  <c r="G17" i="8"/>
  <c r="G10" i="8"/>
  <c r="G22" i="8"/>
  <c r="G49" i="8"/>
  <c r="G15" i="8"/>
  <c r="G42" i="8"/>
  <c r="G40" i="8"/>
  <c r="G6" i="8"/>
  <c r="G39" i="8"/>
  <c r="G18" i="8"/>
  <c r="G41" i="8"/>
  <c r="G19" i="8"/>
  <c r="G27" i="8"/>
  <c r="G31" i="8"/>
  <c r="G46" i="8"/>
  <c r="G20" i="8"/>
  <c r="G12" i="8"/>
  <c r="G30" i="8"/>
  <c r="G23" i="8"/>
  <c r="G50" i="8"/>
  <c r="G28" i="8"/>
  <c r="G34" i="8"/>
  <c r="G44" i="8"/>
  <c r="G4" i="8"/>
  <c r="G5" i="8"/>
  <c r="G47" i="8"/>
  <c r="G14" i="8"/>
  <c r="G8" i="8"/>
  <c r="G43" i="8"/>
  <c r="G45" i="8"/>
  <c r="G11" i="8"/>
  <c r="G24" i="8"/>
  <c r="G13" i="8"/>
  <c r="G2" i="8"/>
  <c r="G36" i="8"/>
  <c r="G33" i="8"/>
  <c r="G25" i="8"/>
  <c r="G7" i="8"/>
  <c r="G21" i="8"/>
  <c r="G37" i="8"/>
  <c r="G3" i="8"/>
  <c r="G38" i="8"/>
  <c r="G26" i="8"/>
  <c r="G29" i="8"/>
  <c r="O47" i="8" l="1"/>
  <c r="B48" i="18" s="1"/>
  <c r="N47" i="8"/>
  <c r="A48" i="18" s="1"/>
  <c r="O27" i="8"/>
  <c r="B28" i="18" s="1"/>
  <c r="N27" i="8"/>
  <c r="A28" i="18" s="1"/>
  <c r="O19" i="8"/>
  <c r="B20" i="18" s="1"/>
  <c r="N19" i="8"/>
  <c r="A20" i="18" s="1"/>
  <c r="O36" i="8"/>
  <c r="B37" i="18" s="1"/>
  <c r="N36" i="8"/>
  <c r="A37" i="18" s="1"/>
  <c r="O34" i="8"/>
  <c r="B35" i="18" s="1"/>
  <c r="N34" i="8"/>
  <c r="A35" i="18" s="1"/>
  <c r="N28" i="8"/>
  <c r="A29" i="18" s="1"/>
  <c r="O28" i="8"/>
  <c r="B29" i="18" s="1"/>
  <c r="N29" i="8"/>
  <c r="A30" i="18" s="1"/>
  <c r="O29" i="8"/>
  <c r="B30" i="18" s="1"/>
  <c r="O6" i="8"/>
  <c r="B7" i="18" s="1"/>
  <c r="N6" i="8"/>
  <c r="A7" i="18" s="1"/>
  <c r="N26" i="8"/>
  <c r="A27" i="18" s="1"/>
  <c r="O26" i="8"/>
  <c r="B27" i="18" s="1"/>
  <c r="O23" i="8"/>
  <c r="B24" i="18" s="1"/>
  <c r="N23" i="8"/>
  <c r="A24" i="18" s="1"/>
  <c r="O38" i="8"/>
  <c r="B39" i="18" s="1"/>
  <c r="N38" i="8"/>
  <c r="A39" i="18" s="1"/>
  <c r="O42" i="8"/>
  <c r="B43" i="18" s="1"/>
  <c r="N42" i="8"/>
  <c r="A43" i="18" s="1"/>
  <c r="O43" i="8"/>
  <c r="B44" i="18" s="1"/>
  <c r="N43" i="8"/>
  <c r="A44" i="18" s="1"/>
  <c r="O31" i="8"/>
  <c r="B32" i="18" s="1"/>
  <c r="N31" i="8"/>
  <c r="A32" i="18" s="1"/>
  <c r="N5" i="8"/>
  <c r="A6" i="18" s="1"/>
  <c r="O5" i="8"/>
  <c r="B6" i="18" s="1"/>
  <c r="N4" i="8"/>
  <c r="A5" i="18" s="1"/>
  <c r="O4" i="8"/>
  <c r="B5" i="18" s="1"/>
  <c r="N41" i="8"/>
  <c r="A42" i="18" s="1"/>
  <c r="O41" i="8"/>
  <c r="B42" i="18" s="1"/>
  <c r="N2" i="8"/>
  <c r="A3" i="18" s="1"/>
  <c r="O2" i="8"/>
  <c r="B3" i="18" s="1"/>
  <c r="O39" i="8"/>
  <c r="B40" i="18" s="1"/>
  <c r="N39" i="8"/>
  <c r="A40" i="18" s="1"/>
  <c r="N16" i="8"/>
  <c r="A17" i="18" s="1"/>
  <c r="N50" i="8"/>
  <c r="A51" i="18" s="1"/>
  <c r="O50" i="8"/>
  <c r="B51" i="18" s="1"/>
  <c r="O45" i="8"/>
  <c r="B46" i="18" s="1"/>
  <c r="N45" i="8"/>
  <c r="A46" i="18" s="1"/>
  <c r="N9" i="8"/>
  <c r="A10" i="18" s="1"/>
  <c r="O12" i="8"/>
  <c r="B13" i="18" s="1"/>
  <c r="N12" i="8"/>
  <c r="A13" i="18" s="1"/>
  <c r="O37" i="8"/>
  <c r="B38" i="18" s="1"/>
  <c r="N37" i="8"/>
  <c r="A38" i="18" s="1"/>
  <c r="N35" i="8"/>
  <c r="A36" i="18" s="1"/>
  <c r="O7" i="8"/>
  <c r="B8" i="18" s="1"/>
  <c r="N7" i="8"/>
  <c r="A8" i="18" s="1"/>
  <c r="O10" i="8"/>
  <c r="B11" i="18" s="1"/>
  <c r="N10" i="8"/>
  <c r="A11" i="18" s="1"/>
  <c r="N25" i="8"/>
  <c r="A26" i="18" s="1"/>
  <c r="O25" i="8"/>
  <c r="B26" i="18" s="1"/>
  <c r="N17" i="8"/>
  <c r="A18" i="18" s="1"/>
  <c r="O17" i="8"/>
  <c r="B18" i="18" s="1"/>
  <c r="O33" i="8"/>
  <c r="B34" i="18" s="1"/>
  <c r="N33" i="8"/>
  <c r="A34" i="18" s="1"/>
  <c r="O32" i="8"/>
  <c r="B33" i="18" s="1"/>
  <c r="N32" i="8"/>
  <c r="A33" i="18" s="1"/>
  <c r="O44" i="8"/>
  <c r="B45" i="18" s="1"/>
  <c r="N44" i="8"/>
  <c r="A45" i="18" s="1"/>
  <c r="O18" i="8"/>
  <c r="B19" i="18" s="1"/>
  <c r="N18" i="8"/>
  <c r="A19" i="18" s="1"/>
  <c r="O13" i="8"/>
  <c r="B14" i="18" s="1"/>
  <c r="N13" i="8"/>
  <c r="A14" i="18" s="1"/>
  <c r="N24" i="8"/>
  <c r="A25" i="18" s="1"/>
  <c r="O24" i="8"/>
  <c r="B25" i="18" s="1"/>
  <c r="N48" i="8"/>
  <c r="A49" i="18" s="1"/>
  <c r="O11" i="8"/>
  <c r="B12" i="18" s="1"/>
  <c r="N11" i="8"/>
  <c r="A12" i="18" s="1"/>
  <c r="N40" i="8"/>
  <c r="A41" i="18" s="1"/>
  <c r="O40" i="8"/>
  <c r="B41" i="18" s="1"/>
  <c r="O30" i="8"/>
  <c r="B31" i="18" s="1"/>
  <c r="N30" i="8"/>
  <c r="A31" i="18" s="1"/>
  <c r="O3" i="8"/>
  <c r="B4" i="18" s="1"/>
  <c r="N3" i="8"/>
  <c r="A4" i="18" s="1"/>
  <c r="O15" i="8"/>
  <c r="B16" i="18" s="1"/>
  <c r="N15" i="8"/>
  <c r="A16" i="18" s="1"/>
  <c r="O8" i="8"/>
  <c r="B9" i="18" s="1"/>
  <c r="N8" i="8"/>
  <c r="A9" i="18" s="1"/>
  <c r="O20" i="8"/>
  <c r="B21" i="18" s="1"/>
  <c r="N20" i="8"/>
  <c r="A21" i="18" s="1"/>
  <c r="N49" i="8"/>
  <c r="A50" i="18" s="1"/>
  <c r="O49" i="8"/>
  <c r="B50" i="18" s="1"/>
  <c r="O21" i="8"/>
  <c r="B22" i="18" s="1"/>
  <c r="N21" i="8"/>
  <c r="A22" i="18" s="1"/>
  <c r="O14" i="8"/>
  <c r="B15" i="18" s="1"/>
  <c r="N14" i="8"/>
  <c r="A15" i="18" s="1"/>
  <c r="O46" i="8"/>
  <c r="B47" i="18" s="1"/>
  <c r="N46" i="8"/>
  <c r="A47" i="18" s="1"/>
  <c r="O22" i="8"/>
  <c r="B23" i="18" s="1"/>
  <c r="N22" i="8"/>
  <c r="A23" i="18" s="1"/>
  <c r="AH22" i="8"/>
  <c r="AH38" i="8"/>
  <c r="AH4" i="8"/>
  <c r="AH31" i="8"/>
  <c r="AH2" i="8"/>
  <c r="AH35" i="8"/>
  <c r="AH42" i="8"/>
  <c r="AH47" i="8"/>
  <c r="AH14" i="8"/>
  <c r="AH34" i="8"/>
  <c r="AH12" i="8"/>
  <c r="AH40" i="8"/>
  <c r="AH43" i="8"/>
  <c r="AH37" i="8"/>
  <c r="AH49" i="8"/>
  <c r="AH19" i="8"/>
  <c r="AH46" i="8"/>
  <c r="AH24" i="8"/>
  <c r="AH5" i="8"/>
  <c r="AH8" i="8"/>
  <c r="AH28" i="8"/>
  <c r="AH6" i="8"/>
  <c r="AH11" i="8"/>
  <c r="AH18" i="8"/>
  <c r="AH23" i="8"/>
  <c r="AH30" i="8"/>
  <c r="AH44" i="8"/>
  <c r="AH3" i="8"/>
  <c r="AH9" i="8"/>
  <c r="AH50" i="8"/>
  <c r="AH36" i="8"/>
  <c r="AH17" i="8"/>
  <c r="AH20" i="8"/>
  <c r="AH16" i="8"/>
  <c r="AH10" i="8"/>
  <c r="AH21" i="8"/>
  <c r="AH15" i="8"/>
  <c r="AH48" i="8"/>
  <c r="AH29" i="8"/>
  <c r="AH32" i="8"/>
  <c r="AH33" i="8"/>
  <c r="AH39" i="8"/>
  <c r="AH26" i="8"/>
  <c r="AH41" i="8"/>
  <c r="AH45" i="8"/>
  <c r="AH1" i="8"/>
  <c r="AH13" i="8"/>
  <c r="AH27" i="8"/>
  <c r="AH25" i="8"/>
  <c r="AH7" i="8"/>
  <c r="A12" i="3" a="1"/>
  <c r="A12" i="3" s="1"/>
  <c r="G28" i="3" s="1"/>
  <c r="I4" i="4"/>
  <c r="I6" i="4"/>
  <c r="L6" i="4" s="1"/>
  <c r="L4" i="4"/>
  <c r="A1" i="17"/>
  <c r="A6" i="3" l="1"/>
  <c r="H38" i="3"/>
  <c r="I38" i="3" s="1"/>
  <c r="G33" i="3"/>
  <c r="H75" i="3"/>
  <c r="I75" i="3" s="1"/>
  <c r="H67" i="3"/>
  <c r="I67" i="3" s="1"/>
  <c r="G34" i="3"/>
  <c r="H76" i="3"/>
  <c r="I76" i="3" s="1"/>
  <c r="G87" i="3"/>
  <c r="H41" i="3"/>
  <c r="I41" i="3" s="1"/>
  <c r="H6" i="3"/>
  <c r="I6" i="3" s="1"/>
  <c r="H7" i="3"/>
  <c r="I7" i="3" s="1"/>
  <c r="G40" i="3"/>
  <c r="G75" i="3"/>
  <c r="H48" i="3"/>
  <c r="I48" i="3" s="1"/>
  <c r="G62" i="3"/>
  <c r="H66" i="3"/>
  <c r="I66" i="3" s="1"/>
  <c r="H49" i="3"/>
  <c r="I49" i="3" s="1"/>
  <c r="G98" i="3"/>
  <c r="H90" i="3"/>
  <c r="I90" i="3" s="1"/>
  <c r="H73" i="3"/>
  <c r="I73" i="3" s="1"/>
  <c r="G8" i="3"/>
  <c r="H50" i="3"/>
  <c r="I50" i="3" s="1"/>
  <c r="G45" i="3"/>
  <c r="H87" i="3"/>
  <c r="I87" i="3" s="1"/>
  <c r="G15" i="3"/>
  <c r="G46" i="3"/>
  <c r="H88" i="3"/>
  <c r="I88" i="3" s="1"/>
  <c r="G11" i="3"/>
  <c r="H53" i="3"/>
  <c r="I53" i="3" s="1"/>
  <c r="H18" i="3"/>
  <c r="I18" i="3" s="1"/>
  <c r="H31" i="3"/>
  <c r="I31" i="3" s="1"/>
  <c r="G52" i="3"/>
  <c r="H94" i="3"/>
  <c r="I94" i="3" s="1"/>
  <c r="G29" i="3"/>
  <c r="H71" i="3"/>
  <c r="I71" i="3" s="1"/>
  <c r="G78" i="3"/>
  <c r="G6" i="3"/>
  <c r="G1" i="3"/>
  <c r="H74" i="3"/>
  <c r="I74" i="3" s="1"/>
  <c r="G3" i="3"/>
  <c r="H21" i="3"/>
  <c r="I21" i="3" s="1"/>
  <c r="H77" i="3"/>
  <c r="I77" i="3" s="1"/>
  <c r="H42" i="3"/>
  <c r="I42" i="3" s="1"/>
  <c r="H79" i="3"/>
  <c r="I79" i="3" s="1"/>
  <c r="G76" i="3"/>
  <c r="G53" i="3"/>
  <c r="H24" i="3"/>
  <c r="I24" i="3" s="1"/>
  <c r="G44" i="3"/>
  <c r="H91" i="3"/>
  <c r="I91" i="3" s="1"/>
  <c r="G81" i="3"/>
  <c r="G12" i="3"/>
  <c r="H9" i="3"/>
  <c r="I9" i="3" s="1"/>
  <c r="G42" i="3"/>
  <c r="G93" i="3"/>
  <c r="G24" i="3"/>
  <c r="G77" i="3"/>
  <c r="G68" i="3"/>
  <c r="H78" i="3"/>
  <c r="I78" i="3" s="1"/>
  <c r="G2" i="3"/>
  <c r="G83" i="3"/>
  <c r="G20" i="3"/>
  <c r="H62" i="3"/>
  <c r="I62" i="3" s="1"/>
  <c r="G85" i="3"/>
  <c r="G57" i="3"/>
  <c r="H99" i="3"/>
  <c r="I99" i="3" s="1"/>
  <c r="G63" i="3"/>
  <c r="G58" i="3"/>
  <c r="H100" i="3"/>
  <c r="I100" i="3" s="1"/>
  <c r="G23" i="3"/>
  <c r="H65" i="3"/>
  <c r="I65" i="3" s="1"/>
  <c r="H92" i="3"/>
  <c r="I92" i="3" s="1"/>
  <c r="H30" i="3"/>
  <c r="I30" i="3" s="1"/>
  <c r="H55" i="3"/>
  <c r="I55" i="3" s="1"/>
  <c r="G64" i="3"/>
  <c r="G41" i="3"/>
  <c r="H83" i="3"/>
  <c r="I83" i="3" s="1"/>
  <c r="G102" i="3"/>
  <c r="G18" i="3"/>
  <c r="H13" i="3"/>
  <c r="I13" i="3" s="1"/>
  <c r="G32" i="3"/>
  <c r="H43" i="3"/>
  <c r="I43" i="3" s="1"/>
  <c r="G69" i="3"/>
  <c r="G70" i="3"/>
  <c r="G35" i="3"/>
  <c r="H69" i="3"/>
  <c r="I69" i="3" s="1"/>
  <c r="G27" i="3"/>
  <c r="H95" i="3"/>
  <c r="I95" i="3" s="1"/>
  <c r="G30" i="3"/>
  <c r="H25" i="3"/>
  <c r="I25" i="3" s="1"/>
  <c r="H86" i="3"/>
  <c r="I86" i="3" s="1"/>
  <c r="G39" i="3"/>
  <c r="H89" i="3"/>
  <c r="I89" i="3" s="1"/>
  <c r="H54" i="3"/>
  <c r="I54" i="3" s="1"/>
  <c r="G65" i="3"/>
  <c r="H37" i="3"/>
  <c r="I37" i="3" s="1"/>
  <c r="G99" i="3"/>
  <c r="H101" i="3"/>
  <c r="I101" i="3" s="1"/>
  <c r="G36" i="3"/>
  <c r="G89" i="3"/>
  <c r="H15" i="3"/>
  <c r="I15" i="3" s="1"/>
  <c r="G37" i="3"/>
  <c r="G92" i="3"/>
  <c r="G38" i="3"/>
  <c r="H27" i="3"/>
  <c r="I27" i="3" s="1"/>
  <c r="H44" i="3"/>
  <c r="I44" i="3" s="1"/>
  <c r="H28" i="3"/>
  <c r="I28" i="3" s="1"/>
  <c r="G95" i="3"/>
  <c r="G60" i="3"/>
  <c r="H102" i="3"/>
  <c r="I102" i="3" s="1"/>
  <c r="G49" i="3"/>
  <c r="G50" i="3"/>
  <c r="H34" i="3"/>
  <c r="I34" i="3" s="1"/>
  <c r="H11" i="3"/>
  <c r="I11" i="3" s="1"/>
  <c r="H12" i="3"/>
  <c r="I12" i="3" s="1"/>
  <c r="G43" i="3"/>
  <c r="H85" i="3"/>
  <c r="I85" i="3" s="1"/>
  <c r="G67" i="3"/>
  <c r="H59" i="3"/>
  <c r="I59" i="3" s="1"/>
  <c r="G82" i="3"/>
  <c r="H98" i="3"/>
  <c r="I98" i="3" s="1"/>
  <c r="G13" i="3"/>
  <c r="H4" i="3"/>
  <c r="I4" i="3" s="1"/>
  <c r="G25" i="3"/>
  <c r="H96" i="3"/>
  <c r="I96" i="3" s="1"/>
  <c r="G80" i="3"/>
  <c r="G48" i="3"/>
  <c r="G101" i="3"/>
  <c r="H2" i="3"/>
  <c r="I2" i="3" s="1"/>
  <c r="G74" i="3"/>
  <c r="H39" i="3"/>
  <c r="I39" i="3" s="1"/>
  <c r="H68" i="3"/>
  <c r="I68" i="3" s="1"/>
  <c r="H40" i="3"/>
  <c r="I40" i="3" s="1"/>
  <c r="H5" i="3"/>
  <c r="I5" i="3" s="1"/>
  <c r="G72" i="3"/>
  <c r="G61" i="3"/>
  <c r="G86" i="3"/>
  <c r="G4" i="3"/>
  <c r="H46" i="3"/>
  <c r="I46" i="3" s="1"/>
  <c r="H23" i="3"/>
  <c r="I23" i="3" s="1"/>
  <c r="H36" i="3"/>
  <c r="I36" i="3" s="1"/>
  <c r="G55" i="3"/>
  <c r="H97" i="3"/>
  <c r="I97" i="3" s="1"/>
  <c r="G91" i="3"/>
  <c r="H57" i="3"/>
  <c r="I57" i="3" s="1"/>
  <c r="H1" i="3"/>
  <c r="I1" i="3" s="1"/>
  <c r="G59" i="3"/>
  <c r="G100" i="3"/>
  <c r="G54" i="3"/>
  <c r="H10" i="3"/>
  <c r="I10" i="3" s="1"/>
  <c r="G19" i="3"/>
  <c r="H81" i="3"/>
  <c r="I81" i="3" s="1"/>
  <c r="H22" i="3"/>
  <c r="I22" i="3" s="1"/>
  <c r="G31" i="3"/>
  <c r="H14" i="3"/>
  <c r="I14" i="3" s="1"/>
  <c r="H20" i="3"/>
  <c r="I20" i="3" s="1"/>
  <c r="G9" i="3"/>
  <c r="H51" i="3"/>
  <c r="I51" i="3" s="1"/>
  <c r="G10" i="3"/>
  <c r="H52" i="3"/>
  <c r="I52" i="3" s="1"/>
  <c r="H17" i="3"/>
  <c r="I17" i="3" s="1"/>
  <c r="G84" i="3"/>
  <c r="G73" i="3"/>
  <c r="H32" i="3"/>
  <c r="I32" i="3" s="1"/>
  <c r="G16" i="3"/>
  <c r="H58" i="3"/>
  <c r="I58" i="3" s="1"/>
  <c r="H35" i="3"/>
  <c r="I35" i="3" s="1"/>
  <c r="H60" i="3"/>
  <c r="I60" i="3" s="1"/>
  <c r="G17" i="3"/>
  <c r="G47" i="3"/>
  <c r="G88" i="3"/>
  <c r="G51" i="3"/>
  <c r="G94" i="3"/>
  <c r="H72" i="3"/>
  <c r="I72" i="3" s="1"/>
  <c r="H33" i="3"/>
  <c r="I33" i="3" s="1"/>
  <c r="H93" i="3"/>
  <c r="I93" i="3" s="1"/>
  <c r="G66" i="3"/>
  <c r="H8" i="3"/>
  <c r="I8" i="3" s="1"/>
  <c r="G90" i="3"/>
  <c r="H26" i="3"/>
  <c r="I26" i="3" s="1"/>
  <c r="H56" i="3"/>
  <c r="I56" i="3" s="1"/>
  <c r="G21" i="3"/>
  <c r="H63" i="3"/>
  <c r="I63" i="3" s="1"/>
  <c r="H19" i="3"/>
  <c r="I19" i="3" s="1"/>
  <c r="G22" i="3"/>
  <c r="H64" i="3"/>
  <c r="I64" i="3" s="1"/>
  <c r="H29" i="3"/>
  <c r="I29" i="3" s="1"/>
  <c r="G96" i="3"/>
  <c r="G97" i="3"/>
  <c r="H80" i="3"/>
  <c r="I80" i="3" s="1"/>
  <c r="H70" i="3"/>
  <c r="I70" i="3" s="1"/>
  <c r="G5" i="3"/>
  <c r="H47" i="3"/>
  <c r="I47" i="3" s="1"/>
  <c r="H84" i="3"/>
  <c r="I84" i="3" s="1"/>
  <c r="G79" i="3"/>
  <c r="H82" i="3"/>
  <c r="I82" i="3" s="1"/>
  <c r="G26" i="3"/>
  <c r="G56" i="3"/>
  <c r="H45" i="3"/>
  <c r="I45" i="3" s="1"/>
  <c r="G7" i="3"/>
  <c r="H3" i="3"/>
  <c r="I3" i="3" s="1"/>
  <c r="G71" i="3"/>
  <c r="H61" i="3"/>
  <c r="I61" i="3" s="1"/>
  <c r="H16" i="3"/>
  <c r="I16" i="3" s="1"/>
  <c r="G14" i="3"/>
  <c r="D83" i="3"/>
  <c r="D77" i="3"/>
  <c r="D29" i="3"/>
  <c r="E70" i="3"/>
  <c r="F70" i="3" s="1"/>
  <c r="D75" i="3"/>
  <c r="E91" i="3"/>
  <c r="F91" i="3" s="1"/>
  <c r="E30" i="3"/>
  <c r="F30" i="3" s="1"/>
  <c r="E28" i="3"/>
  <c r="F28" i="3" s="1"/>
  <c r="D65" i="3"/>
  <c r="E16" i="3"/>
  <c r="F16" i="3" s="1"/>
  <c r="D67" i="3"/>
  <c r="E80" i="3"/>
  <c r="F80" i="3" s="1"/>
  <c r="D72" i="3"/>
  <c r="J72" i="3" s="1"/>
  <c r="E96" i="3"/>
  <c r="F96" i="3" s="1"/>
  <c r="E54" i="3"/>
  <c r="F54" i="3" s="1"/>
  <c r="D16" i="3"/>
  <c r="E41" i="3"/>
  <c r="F41" i="3" s="1"/>
  <c r="D42" i="3"/>
  <c r="E42" i="3"/>
  <c r="F42" i="3" s="1"/>
  <c r="E40" i="3"/>
  <c r="F40" i="3" s="1"/>
  <c r="E97" i="3"/>
  <c r="F97" i="3" s="1"/>
  <c r="D53" i="3"/>
  <c r="J53" i="3" s="1"/>
  <c r="D2" i="3"/>
  <c r="J2" i="3" s="1"/>
  <c r="D27" i="3"/>
  <c r="D52" i="3"/>
  <c r="E27" i="3"/>
  <c r="F27" i="3" s="1"/>
  <c r="E48" i="3"/>
  <c r="F48" i="3" s="1"/>
  <c r="D74" i="3"/>
  <c r="E45" i="3"/>
  <c r="F45" i="3" s="1"/>
  <c r="D59" i="3"/>
  <c r="J59" i="3" s="1"/>
  <c r="D35" i="3"/>
  <c r="E77" i="3"/>
  <c r="F77" i="3" s="1"/>
  <c r="D12" i="3"/>
  <c r="D39" i="3"/>
  <c r="E50" i="3"/>
  <c r="F50" i="3" s="1"/>
  <c r="D23" i="3"/>
  <c r="D81" i="3"/>
  <c r="J81" i="3" s="1"/>
  <c r="D47" i="3"/>
  <c r="D62" i="3"/>
  <c r="J62" i="3" s="1"/>
  <c r="D18" i="3"/>
  <c r="E37" i="3"/>
  <c r="F37" i="3" s="1"/>
  <c r="D64" i="3"/>
  <c r="J64" i="3" s="1"/>
  <c r="E36" i="3"/>
  <c r="F36" i="3" s="1"/>
  <c r="D25" i="3"/>
  <c r="E15" i="3"/>
  <c r="F15" i="3" s="1"/>
  <c r="D60" i="3"/>
  <c r="E81" i="3"/>
  <c r="F81" i="3" s="1"/>
  <c r="E76" i="3"/>
  <c r="F76" i="3" s="1"/>
  <c r="D101" i="3"/>
  <c r="D84" i="3"/>
  <c r="D43" i="3"/>
  <c r="E12" i="3"/>
  <c r="F12" i="3" s="1"/>
  <c r="D24" i="3"/>
  <c r="D66" i="3"/>
  <c r="E89" i="3"/>
  <c r="F89" i="3" s="1"/>
  <c r="E86" i="3"/>
  <c r="F86" i="3" s="1"/>
  <c r="E64" i="3"/>
  <c r="F64" i="3" s="1"/>
  <c r="E69" i="3"/>
  <c r="F69" i="3" s="1"/>
  <c r="E53" i="3"/>
  <c r="F53" i="3" s="1"/>
  <c r="E74" i="3"/>
  <c r="F74" i="3" s="1"/>
  <c r="E61" i="3"/>
  <c r="F61" i="3" s="1"/>
  <c r="E85" i="3"/>
  <c r="F85" i="3" s="1"/>
  <c r="E51" i="3"/>
  <c r="F51" i="3" s="1"/>
  <c r="E99" i="3"/>
  <c r="F99" i="3" s="1"/>
  <c r="D33" i="3"/>
  <c r="E73" i="3"/>
  <c r="F73" i="3" s="1"/>
  <c r="E25" i="3"/>
  <c r="F25" i="3" s="1"/>
  <c r="E72" i="3"/>
  <c r="F72" i="3" s="1"/>
  <c r="D9" i="3"/>
  <c r="E67" i="3"/>
  <c r="F67" i="3" s="1"/>
  <c r="E32" i="3"/>
  <c r="F32" i="3" s="1"/>
  <c r="D71" i="3"/>
  <c r="D79" i="3"/>
  <c r="D17" i="3"/>
  <c r="E52" i="3"/>
  <c r="F52" i="3" s="1"/>
  <c r="K52" i="3" s="1"/>
  <c r="AB1" i="3" s="1"/>
  <c r="D63" i="3"/>
  <c r="D31" i="3"/>
  <c r="E75" i="3"/>
  <c r="F75" i="3" s="1"/>
  <c r="E5" i="3"/>
  <c r="F5" i="3" s="1"/>
  <c r="D73" i="3"/>
  <c r="D61" i="3"/>
  <c r="D89" i="3"/>
  <c r="J89" i="3" s="1"/>
  <c r="E47" i="3"/>
  <c r="F47" i="3" s="1"/>
  <c r="D1" i="3"/>
  <c r="E19" i="3"/>
  <c r="F19" i="3" s="1"/>
  <c r="E31" i="3"/>
  <c r="F31" i="3" s="1"/>
  <c r="D70" i="3"/>
  <c r="D82" i="3"/>
  <c r="D98" i="3"/>
  <c r="E20" i="3"/>
  <c r="F20" i="3" s="1"/>
  <c r="E11" i="3"/>
  <c r="F11" i="3" s="1"/>
  <c r="E3" i="3"/>
  <c r="F3" i="3" s="1"/>
  <c r="E43" i="3"/>
  <c r="F43" i="3" s="1"/>
  <c r="E83" i="3"/>
  <c r="F83" i="3" s="1"/>
  <c r="D30" i="3"/>
  <c r="J30" i="3" s="1"/>
  <c r="D58" i="3"/>
  <c r="E88" i="3"/>
  <c r="F88" i="3" s="1"/>
  <c r="D100" i="3"/>
  <c r="D95" i="3"/>
  <c r="E8" i="3"/>
  <c r="F8" i="3" s="1"/>
  <c r="E9" i="3"/>
  <c r="F9" i="3" s="1"/>
  <c r="D51" i="3"/>
  <c r="D96" i="3"/>
  <c r="D22" i="3"/>
  <c r="D91" i="3"/>
  <c r="E92" i="3"/>
  <c r="F92" i="3" s="1"/>
  <c r="D78" i="3"/>
  <c r="E34" i="3"/>
  <c r="F34" i="3" s="1"/>
  <c r="E55" i="3"/>
  <c r="F55" i="3" s="1"/>
  <c r="E79" i="3"/>
  <c r="F79" i="3" s="1"/>
  <c r="D8" i="3"/>
  <c r="D88" i="3"/>
  <c r="D10" i="3"/>
  <c r="E46" i="3"/>
  <c r="F46" i="3" s="1"/>
  <c r="K46" i="3" s="1"/>
  <c r="L46" i="3" s="1"/>
  <c r="K92" i="3" l="1"/>
  <c r="L92" i="3" s="1"/>
  <c r="K89" i="3"/>
  <c r="L89" i="3" s="1"/>
  <c r="J78" i="3"/>
  <c r="K97" i="3"/>
  <c r="L97" i="3" s="1"/>
  <c r="J65" i="3"/>
  <c r="K99" i="3"/>
  <c r="L99" i="3" s="1"/>
  <c r="J100" i="3"/>
  <c r="J98" i="3"/>
  <c r="K3" i="3"/>
  <c r="L3" i="3" s="1"/>
  <c r="K5" i="3"/>
  <c r="L5" i="3" s="1"/>
  <c r="K91" i="3"/>
  <c r="L91" i="3" s="1"/>
  <c r="K48" i="3"/>
  <c r="L48" i="3" s="1"/>
  <c r="J88" i="3"/>
  <c r="J22" i="3"/>
  <c r="T22" i="3" s="1"/>
  <c r="Y22" i="3" s="1"/>
  <c r="K83" i="3"/>
  <c r="J61" i="3"/>
  <c r="K64" i="3"/>
  <c r="L64" i="3" s="1"/>
  <c r="J12" i="3"/>
  <c r="S12" i="3" s="1"/>
  <c r="J25" i="3"/>
  <c r="S25" i="3" s="1"/>
  <c r="J96" i="3"/>
  <c r="K11" i="3"/>
  <c r="L11" i="3" s="1"/>
  <c r="K25" i="3"/>
  <c r="L25" i="3" s="1"/>
  <c r="K42" i="3"/>
  <c r="L42" i="3" s="1"/>
  <c r="K53" i="3"/>
  <c r="L53" i="3" s="1"/>
  <c r="K67" i="3"/>
  <c r="L67" i="3" s="1"/>
  <c r="J51" i="3"/>
  <c r="T51" i="3" s="1"/>
  <c r="Y51" i="3" s="1"/>
  <c r="K75" i="3"/>
  <c r="L75" i="3" s="1"/>
  <c r="J42" i="3"/>
  <c r="T42" i="3" s="1"/>
  <c r="Y42" i="3" s="1"/>
  <c r="J10" i="3"/>
  <c r="S10" i="3" s="1"/>
  <c r="K9" i="3"/>
  <c r="L9" i="3" s="1"/>
  <c r="J33" i="3"/>
  <c r="S33" i="3" s="1"/>
  <c r="K88" i="3"/>
  <c r="L88" i="3" s="1"/>
  <c r="K19" i="3"/>
  <c r="L19" i="3" s="1"/>
  <c r="J79" i="3"/>
  <c r="J1" i="3"/>
  <c r="T1" i="3" s="1"/>
  <c r="Y1" i="3" s="1"/>
  <c r="K74" i="3"/>
  <c r="L74" i="3" s="1"/>
  <c r="J27" i="3"/>
  <c r="S27" i="3" s="1"/>
  <c r="J73" i="3"/>
  <c r="K72" i="3"/>
  <c r="L72" i="3" s="1"/>
  <c r="K86" i="3"/>
  <c r="L86" i="3" s="1"/>
  <c r="K77" i="3"/>
  <c r="L77" i="3" s="1"/>
  <c r="K34" i="3"/>
  <c r="L34" i="3" s="1"/>
  <c r="K50" i="3"/>
  <c r="L50" i="3" s="1"/>
  <c r="K28" i="3"/>
  <c r="L28" i="3" s="1"/>
  <c r="J29" i="3"/>
  <c r="T29" i="3" s="1"/>
  <c r="Y29" i="3" s="1"/>
  <c r="J91" i="3"/>
  <c r="K40" i="3"/>
  <c r="L40" i="3" s="1"/>
  <c r="K30" i="3"/>
  <c r="L30" i="3" s="1"/>
  <c r="K37" i="3"/>
  <c r="L37" i="3" s="1"/>
  <c r="J82" i="3"/>
  <c r="K70" i="3"/>
  <c r="L70" i="3" s="1"/>
  <c r="K20" i="3"/>
  <c r="L20" i="3" s="1"/>
  <c r="J95" i="3"/>
  <c r="J70" i="3"/>
  <c r="J35" i="3"/>
  <c r="S35" i="3" s="1"/>
  <c r="J58" i="3"/>
  <c r="J71" i="3"/>
  <c r="K76" i="3"/>
  <c r="L76" i="3" s="1"/>
  <c r="K47" i="3"/>
  <c r="L47" i="3" s="1"/>
  <c r="K32" i="3"/>
  <c r="L32" i="3" s="1"/>
  <c r="K81" i="3"/>
  <c r="L81" i="3" s="1"/>
  <c r="J67" i="3"/>
  <c r="K69" i="3"/>
  <c r="L69" i="3" s="1"/>
  <c r="J60" i="3"/>
  <c r="J39" i="3"/>
  <c r="T39" i="3" s="1"/>
  <c r="Y39" i="3" s="1"/>
  <c r="K16" i="3"/>
  <c r="L16" i="3" s="1"/>
  <c r="K36" i="3"/>
  <c r="L36" i="3" s="1"/>
  <c r="J23" i="3"/>
  <c r="T23" i="3" s="1"/>
  <c r="Y23" i="3" s="1"/>
  <c r="K80" i="3"/>
  <c r="L80" i="3" s="1"/>
  <c r="K43" i="3"/>
  <c r="L43" i="3" s="1"/>
  <c r="J9" i="3"/>
  <c r="T9" i="3" s="1"/>
  <c r="Y9" i="3" s="1"/>
  <c r="K15" i="3"/>
  <c r="L15" i="3" s="1"/>
  <c r="K73" i="3"/>
  <c r="L73" i="3" s="1"/>
  <c r="J31" i="3"/>
  <c r="T31" i="3" s="1"/>
  <c r="Y31" i="3" s="1"/>
  <c r="K45" i="3"/>
  <c r="L45" i="3" s="1"/>
  <c r="K8" i="3"/>
  <c r="L8" i="3" s="1"/>
  <c r="J63" i="3"/>
  <c r="K12" i="3"/>
  <c r="L12" i="3" s="1"/>
  <c r="J18" i="3"/>
  <c r="T18" i="3" s="1"/>
  <c r="Y18" i="3" s="1"/>
  <c r="J74" i="3"/>
  <c r="J16" i="3"/>
  <c r="T16" i="3" s="1"/>
  <c r="Y16" i="3" s="1"/>
  <c r="J24" i="3"/>
  <c r="S24" i="3" s="1"/>
  <c r="J75" i="3"/>
  <c r="J66" i="3"/>
  <c r="K41" i="3"/>
  <c r="L41" i="3" s="1"/>
  <c r="J8" i="3"/>
  <c r="T8" i="3" s="1"/>
  <c r="Y8" i="3" s="1"/>
  <c r="J43" i="3"/>
  <c r="K79" i="3"/>
  <c r="L79" i="3" s="1"/>
  <c r="K85" i="3"/>
  <c r="L85" i="3" s="1"/>
  <c r="J47" i="3"/>
  <c r="T47" i="3" s="1"/>
  <c r="Y47" i="3" s="1"/>
  <c r="K27" i="3"/>
  <c r="L27" i="3" s="1"/>
  <c r="K96" i="3"/>
  <c r="L96" i="3" s="1"/>
  <c r="J77" i="3"/>
  <c r="K51" i="3"/>
  <c r="L51" i="3" s="1"/>
  <c r="K54" i="3"/>
  <c r="L54" i="3" s="1"/>
  <c r="K31" i="3"/>
  <c r="L31" i="3" s="1"/>
  <c r="J17" i="3"/>
  <c r="J84" i="3"/>
  <c r="K55" i="3"/>
  <c r="L55" i="3" s="1"/>
  <c r="K61" i="3"/>
  <c r="L61" i="3" s="1"/>
  <c r="J101" i="3"/>
  <c r="J52" i="3"/>
  <c r="M52" i="3" s="1"/>
  <c r="J83" i="3"/>
  <c r="D56" i="3"/>
  <c r="J56" i="3" s="1"/>
  <c r="D40" i="3"/>
  <c r="J40" i="3" s="1"/>
  <c r="S40" i="3" s="1"/>
  <c r="E18" i="3"/>
  <c r="F18" i="3" s="1"/>
  <c r="K18" i="3" s="1"/>
  <c r="L18" i="3" s="1"/>
  <c r="D36" i="3"/>
  <c r="J36" i="3" s="1"/>
  <c r="T36" i="3" s="1"/>
  <c r="Y36" i="3" s="1"/>
  <c r="E82" i="3"/>
  <c r="F82" i="3" s="1"/>
  <c r="K82" i="3" s="1"/>
  <c r="L82" i="3" s="1"/>
  <c r="D68" i="3"/>
  <c r="J68" i="3" s="1"/>
  <c r="E22" i="3"/>
  <c r="F22" i="3" s="1"/>
  <c r="K22" i="3" s="1"/>
  <c r="L22" i="3" s="1"/>
  <c r="E63" i="3"/>
  <c r="F63" i="3" s="1"/>
  <c r="K63" i="3" s="1"/>
  <c r="L63" i="3" s="1"/>
  <c r="E78" i="3"/>
  <c r="F78" i="3" s="1"/>
  <c r="K78" i="3" s="1"/>
  <c r="L78" i="3" s="1"/>
  <c r="E101" i="3"/>
  <c r="F101" i="3" s="1"/>
  <c r="K101" i="3" s="1"/>
  <c r="L101" i="3" s="1"/>
  <c r="D102" i="3"/>
  <c r="J102" i="3" s="1"/>
  <c r="D94" i="3"/>
  <c r="J94" i="3" s="1"/>
  <c r="D37" i="3"/>
  <c r="J37" i="3" s="1"/>
  <c r="S37" i="3" s="1"/>
  <c r="E66" i="3"/>
  <c r="F66" i="3" s="1"/>
  <c r="K66" i="3" s="1"/>
  <c r="L66" i="3" s="1"/>
  <c r="D48" i="3"/>
  <c r="J48" i="3" s="1"/>
  <c r="D49" i="3"/>
  <c r="J49" i="3" s="1"/>
  <c r="S49" i="3" s="1"/>
  <c r="E24" i="3"/>
  <c r="F24" i="3" s="1"/>
  <c r="K24" i="3" s="1"/>
  <c r="L24" i="3" s="1"/>
  <c r="D93" i="3"/>
  <c r="J93" i="3" s="1"/>
  <c r="D34" i="3"/>
  <c r="J34" i="3" s="1"/>
  <c r="S34" i="3" s="1"/>
  <c r="E6" i="3"/>
  <c r="F6" i="3" s="1"/>
  <c r="K6" i="3" s="1"/>
  <c r="L6" i="3" s="1"/>
  <c r="D80" i="3"/>
  <c r="J80" i="3" s="1"/>
  <c r="D15" i="3"/>
  <c r="J15" i="3" s="1"/>
  <c r="T15" i="3" s="1"/>
  <c r="Y15" i="3" s="1"/>
  <c r="E4" i="3"/>
  <c r="F4" i="3" s="1"/>
  <c r="K4" i="3" s="1"/>
  <c r="L4" i="3" s="1"/>
  <c r="D28" i="3"/>
  <c r="J28" i="3" s="1"/>
  <c r="S28" i="3" s="1"/>
  <c r="E1" i="3"/>
  <c r="F1" i="3" s="1"/>
  <c r="K1" i="3" s="1"/>
  <c r="D76" i="3"/>
  <c r="J76" i="3" s="1"/>
  <c r="E17" i="3"/>
  <c r="F17" i="3" s="1"/>
  <c r="K17" i="3" s="1"/>
  <c r="L17" i="3" s="1"/>
  <c r="D86" i="3"/>
  <c r="J86" i="3" s="1"/>
  <c r="D41" i="3"/>
  <c r="J41" i="3" s="1"/>
  <c r="E13" i="3"/>
  <c r="F13" i="3" s="1"/>
  <c r="K13" i="3" s="1"/>
  <c r="L13" i="3" s="1"/>
  <c r="E102" i="3"/>
  <c r="F102" i="3" s="1"/>
  <c r="K102" i="3" s="1"/>
  <c r="E56" i="3"/>
  <c r="F56" i="3" s="1"/>
  <c r="K56" i="3" s="1"/>
  <c r="L56" i="3" s="1"/>
  <c r="D21" i="3"/>
  <c r="J21" i="3" s="1"/>
  <c r="T21" i="3" s="1"/>
  <c r="Y21" i="3" s="1"/>
  <c r="E84" i="3"/>
  <c r="F84" i="3" s="1"/>
  <c r="K84" i="3" s="1"/>
  <c r="L84" i="3" s="1"/>
  <c r="E29" i="3"/>
  <c r="F29" i="3" s="1"/>
  <c r="K29" i="3" s="1"/>
  <c r="L29" i="3" s="1"/>
  <c r="E14" i="3"/>
  <c r="F14" i="3" s="1"/>
  <c r="K14" i="3" s="1"/>
  <c r="L14" i="3" s="1"/>
  <c r="D99" i="3"/>
  <c r="J99" i="3" s="1"/>
  <c r="E58" i="3"/>
  <c r="F58" i="3" s="1"/>
  <c r="K58" i="3" s="1"/>
  <c r="L58" i="3" s="1"/>
  <c r="E44" i="3"/>
  <c r="F44" i="3" s="1"/>
  <c r="K44" i="3" s="1"/>
  <c r="L44" i="3" s="1"/>
  <c r="E35" i="3"/>
  <c r="F35" i="3" s="1"/>
  <c r="K35" i="3" s="1"/>
  <c r="L35" i="3" s="1"/>
  <c r="D5" i="3"/>
  <c r="J5" i="3" s="1"/>
  <c r="M5" i="3" s="1"/>
  <c r="D45" i="3"/>
  <c r="J45" i="3" s="1"/>
  <c r="S45" i="3" s="1"/>
  <c r="E21" i="3"/>
  <c r="F21" i="3" s="1"/>
  <c r="K21" i="3" s="1"/>
  <c r="L21" i="3" s="1"/>
  <c r="E39" i="3"/>
  <c r="F39" i="3" s="1"/>
  <c r="K39" i="3" s="1"/>
  <c r="L39" i="3" s="1"/>
  <c r="D6" i="3"/>
  <c r="J6" i="3" s="1"/>
  <c r="T6" i="3" s="1"/>
  <c r="Y6" i="3" s="1"/>
  <c r="E95" i="3"/>
  <c r="F95" i="3" s="1"/>
  <c r="K95" i="3" s="1"/>
  <c r="L95" i="3" s="1"/>
  <c r="D50" i="3"/>
  <c r="J50" i="3" s="1"/>
  <c r="T50" i="3" s="1"/>
  <c r="Y50" i="3" s="1"/>
  <c r="D4" i="3"/>
  <c r="J4" i="3" s="1"/>
  <c r="T4" i="3" s="1"/>
  <c r="Y4" i="3" s="1"/>
  <c r="E38" i="3"/>
  <c r="F38" i="3" s="1"/>
  <c r="K38" i="3" s="1"/>
  <c r="L38" i="3" s="1"/>
  <c r="E33" i="3"/>
  <c r="F33" i="3" s="1"/>
  <c r="K33" i="3" s="1"/>
  <c r="L33" i="3" s="1"/>
  <c r="D97" i="3"/>
  <c r="J97" i="3" s="1"/>
  <c r="M97" i="3" s="1"/>
  <c r="V97" i="3" s="1"/>
  <c r="B98" i="17" s="1"/>
  <c r="D85" i="3"/>
  <c r="J85" i="3" s="1"/>
  <c r="E87" i="3"/>
  <c r="F87" i="3" s="1"/>
  <c r="K87" i="3" s="1"/>
  <c r="L87" i="3" s="1"/>
  <c r="E7" i="3"/>
  <c r="F7" i="3" s="1"/>
  <c r="K7" i="3" s="1"/>
  <c r="L7" i="3" s="1"/>
  <c r="D54" i="3"/>
  <c r="J54" i="3" s="1"/>
  <c r="E65" i="3"/>
  <c r="F65" i="3" s="1"/>
  <c r="K65" i="3" s="1"/>
  <c r="L65" i="3" s="1"/>
  <c r="E93" i="3"/>
  <c r="F93" i="3" s="1"/>
  <c r="K93" i="3" s="1"/>
  <c r="L93" i="3" s="1"/>
  <c r="E60" i="3"/>
  <c r="F60" i="3" s="1"/>
  <c r="K60" i="3" s="1"/>
  <c r="L60" i="3" s="1"/>
  <c r="E23" i="3"/>
  <c r="F23" i="3" s="1"/>
  <c r="K23" i="3" s="1"/>
  <c r="L23" i="3" s="1"/>
  <c r="D92" i="3"/>
  <c r="J92" i="3" s="1"/>
  <c r="M92" i="3" s="1"/>
  <c r="E62" i="3"/>
  <c r="F62" i="3" s="1"/>
  <c r="K62" i="3" s="1"/>
  <c r="L62" i="3" s="1"/>
  <c r="D46" i="3"/>
  <c r="J46" i="3" s="1"/>
  <c r="M46" i="3" s="1"/>
  <c r="V46" i="3" s="1"/>
  <c r="B47" i="17" s="1"/>
  <c r="D57" i="3"/>
  <c r="J57" i="3" s="1"/>
  <c r="E68" i="3"/>
  <c r="F68" i="3" s="1"/>
  <c r="K68" i="3" s="1"/>
  <c r="L68" i="3" s="1"/>
  <c r="D90" i="3"/>
  <c r="J90" i="3" s="1"/>
  <c r="E26" i="3"/>
  <c r="F26" i="3" s="1"/>
  <c r="K26" i="3" s="1"/>
  <c r="L26" i="3" s="1"/>
  <c r="D55" i="3"/>
  <c r="J55" i="3" s="1"/>
  <c r="D32" i="3"/>
  <c r="J32" i="3" s="1"/>
  <c r="T32" i="3" s="1"/>
  <c r="Y32" i="3" s="1"/>
  <c r="D3" i="3"/>
  <c r="J3" i="3" s="1"/>
  <c r="S3" i="3" s="1"/>
  <c r="E90" i="3"/>
  <c r="F90" i="3" s="1"/>
  <c r="K90" i="3" s="1"/>
  <c r="L90" i="3" s="1"/>
  <c r="E10" i="3"/>
  <c r="F10" i="3" s="1"/>
  <c r="K10" i="3" s="1"/>
  <c r="L10" i="3" s="1"/>
  <c r="D20" i="3"/>
  <c r="J20" i="3" s="1"/>
  <c r="S20" i="3" s="1"/>
  <c r="D11" i="3"/>
  <c r="J11" i="3" s="1"/>
  <c r="S11" i="3" s="1"/>
  <c r="E98" i="3"/>
  <c r="F98" i="3" s="1"/>
  <c r="K98" i="3" s="1"/>
  <c r="L98" i="3" s="1"/>
  <c r="E59" i="3"/>
  <c r="F59" i="3" s="1"/>
  <c r="K59" i="3" s="1"/>
  <c r="L59" i="3" s="1"/>
  <c r="D44" i="3"/>
  <c r="J44" i="3" s="1"/>
  <c r="T44" i="3" s="1"/>
  <c r="Y44" i="3" s="1"/>
  <c r="D38" i="3"/>
  <c r="J38" i="3" s="1"/>
  <c r="T38" i="3" s="1"/>
  <c r="Y38" i="3" s="1"/>
  <c r="E100" i="3"/>
  <c r="F100" i="3" s="1"/>
  <c r="K100" i="3" s="1"/>
  <c r="L100" i="3" s="1"/>
  <c r="E2" i="3"/>
  <c r="F2" i="3" s="1"/>
  <c r="K2" i="3" s="1"/>
  <c r="L2" i="3" s="1"/>
  <c r="E49" i="3"/>
  <c r="F49" i="3" s="1"/>
  <c r="K49" i="3" s="1"/>
  <c r="L49" i="3" s="1"/>
  <c r="L52" i="3"/>
  <c r="D13" i="3"/>
  <c r="J13" i="3" s="1"/>
  <c r="S13" i="3" s="1"/>
  <c r="D7" i="3"/>
  <c r="J7" i="3" s="1"/>
  <c r="S7" i="3" s="1"/>
  <c r="E94" i="3"/>
  <c r="F94" i="3" s="1"/>
  <c r="K94" i="3" s="1"/>
  <c r="L94" i="3" s="1"/>
  <c r="E57" i="3"/>
  <c r="F57" i="3" s="1"/>
  <c r="K57" i="3" s="1"/>
  <c r="L57" i="3" s="1"/>
  <c r="E71" i="3"/>
  <c r="F71" i="3" s="1"/>
  <c r="K71" i="3" s="1"/>
  <c r="L71" i="3" s="1"/>
  <c r="D87" i="3"/>
  <c r="J87" i="3" s="1"/>
  <c r="D14" i="3"/>
  <c r="J14" i="3" s="1"/>
  <c r="T14" i="3" s="1"/>
  <c r="Y14" i="3" s="1"/>
  <c r="D19" i="3"/>
  <c r="J19" i="3" s="1"/>
  <c r="D26" i="3"/>
  <c r="J26" i="3" s="1"/>
  <c r="T26" i="3" s="1"/>
  <c r="Y26" i="3" s="1"/>
  <c r="D69" i="3"/>
  <c r="J69" i="3" s="1"/>
  <c r="L83" i="3"/>
  <c r="M89" i="3"/>
  <c r="V89" i="3" s="1"/>
  <c r="B90" i="17" s="1"/>
  <c r="AD46" i="3"/>
  <c r="AD25" i="3"/>
  <c r="AD40" i="3"/>
  <c r="AD50" i="3"/>
  <c r="AD42" i="3"/>
  <c r="AD1" i="3"/>
  <c r="AD6" i="3"/>
  <c r="AD9" i="3"/>
  <c r="AD24" i="3"/>
  <c r="AD23" i="3"/>
  <c r="AD48" i="3"/>
  <c r="AD29" i="3"/>
  <c r="AD19" i="3"/>
  <c r="AD15" i="3"/>
  <c r="AD31" i="3"/>
  <c r="AD51" i="3"/>
  <c r="AD35" i="3"/>
  <c r="AD16" i="3"/>
  <c r="AD39" i="3"/>
  <c r="AD32" i="3"/>
  <c r="AD5" i="3"/>
  <c r="AD22" i="3"/>
  <c r="AD26" i="3"/>
  <c r="AD36" i="3"/>
  <c r="AD27" i="3"/>
  <c r="AD47" i="3"/>
  <c r="AD11" i="3"/>
  <c r="AD12" i="3"/>
  <c r="AD28" i="3"/>
  <c r="AD21" i="3"/>
  <c r="AD38" i="3"/>
  <c r="AD3" i="3"/>
  <c r="AD30" i="3"/>
  <c r="AD49" i="3"/>
  <c r="AD18" i="3"/>
  <c r="AD33" i="3"/>
  <c r="AD34" i="3"/>
  <c r="AD43" i="3"/>
  <c r="AD10" i="3"/>
  <c r="AD8" i="3"/>
  <c r="AD45" i="3"/>
  <c r="AD7" i="3"/>
  <c r="AD44" i="3"/>
  <c r="AD17" i="3"/>
  <c r="AD13" i="3"/>
  <c r="AD37" i="3"/>
  <c r="AD20" i="3"/>
  <c r="AD2" i="3"/>
  <c r="AD41" i="3"/>
  <c r="AD14" i="3"/>
  <c r="AD4" i="3"/>
  <c r="S30" i="3"/>
  <c r="T30" i="3"/>
  <c r="Y30" i="3" s="1"/>
  <c r="T2" i="3"/>
  <c r="Y2" i="3" s="1"/>
  <c r="S2" i="3"/>
  <c r="U92" i="3" l="1"/>
  <c r="A93" i="17" s="1"/>
  <c r="M99" i="3"/>
  <c r="U5" i="3"/>
  <c r="A6" i="17" s="1"/>
  <c r="M91" i="3"/>
  <c r="U91" i="3" s="1"/>
  <c r="A92" i="17" s="1"/>
  <c r="M75" i="3"/>
  <c r="V75" i="3" s="1"/>
  <c r="B76" i="17" s="1"/>
  <c r="M72" i="3"/>
  <c r="V72" i="3" s="1"/>
  <c r="B73" i="17" s="1"/>
  <c r="M48" i="3"/>
  <c r="U48" i="3" s="1"/>
  <c r="A49" i="17" s="1"/>
  <c r="M83" i="3"/>
  <c r="U83" i="3" s="1"/>
  <c r="A84" i="17" s="1"/>
  <c r="S51" i="3"/>
  <c r="S8" i="3"/>
  <c r="S31" i="3"/>
  <c r="M86" i="3"/>
  <c r="U86" i="3" s="1"/>
  <c r="A87" i="17" s="1"/>
  <c r="S42" i="3"/>
  <c r="S22" i="3"/>
  <c r="M77" i="3"/>
  <c r="U77" i="3" s="1"/>
  <c r="A78" i="17" s="1"/>
  <c r="M70" i="3"/>
  <c r="U70" i="3" s="1"/>
  <c r="A71" i="17" s="1"/>
  <c r="T33" i="3"/>
  <c r="Y33" i="3" s="1"/>
  <c r="M42" i="3"/>
  <c r="U42" i="3" s="1"/>
  <c r="A43" i="17" s="1"/>
  <c r="M69" i="3"/>
  <c r="V69" i="3" s="1"/>
  <c r="B70" i="17" s="1"/>
  <c r="M76" i="3"/>
  <c r="V76" i="3" s="1"/>
  <c r="B77" i="17" s="1"/>
  <c r="M25" i="3"/>
  <c r="V25" i="3" s="1"/>
  <c r="B26" i="17" s="1"/>
  <c r="M64" i="3"/>
  <c r="V64" i="3" s="1"/>
  <c r="B65" i="17" s="1"/>
  <c r="T12" i="3"/>
  <c r="Y12" i="3" s="1"/>
  <c r="T25" i="3"/>
  <c r="Y25" i="3" s="1"/>
  <c r="M55" i="3"/>
  <c r="V55" i="3" s="1"/>
  <c r="B56" i="17" s="1"/>
  <c r="T10" i="3"/>
  <c r="Y10" i="3" s="1"/>
  <c r="S23" i="3"/>
  <c r="M88" i="3"/>
  <c r="V88" i="3" s="1"/>
  <c r="B89" i="17" s="1"/>
  <c r="T37" i="3"/>
  <c r="Y37" i="3" s="1"/>
  <c r="S9" i="3"/>
  <c r="M53" i="3"/>
  <c r="U53" i="3" s="1"/>
  <c r="A54" i="17" s="1"/>
  <c r="M9" i="3"/>
  <c r="U9" i="3" s="1"/>
  <c r="A10" i="17" s="1"/>
  <c r="S48" i="3"/>
  <c r="M51" i="3"/>
  <c r="V51" i="3" s="1"/>
  <c r="B52" i="17" s="1"/>
  <c r="T35" i="3"/>
  <c r="Y35" i="3" s="1"/>
  <c r="S16" i="3"/>
  <c r="M30" i="3"/>
  <c r="V30" i="3" s="1"/>
  <c r="B31" i="17" s="1"/>
  <c r="M74" i="3"/>
  <c r="U74" i="3" s="1"/>
  <c r="A75" i="17" s="1"/>
  <c r="T24" i="3"/>
  <c r="Y24" i="3" s="1"/>
  <c r="T40" i="3"/>
  <c r="Y40" i="3" s="1"/>
  <c r="T27" i="3"/>
  <c r="Y27" i="3" s="1"/>
  <c r="S36" i="3"/>
  <c r="S1" i="3"/>
  <c r="M67" i="3"/>
  <c r="U67" i="3" s="1"/>
  <c r="A68" i="17" s="1"/>
  <c r="S29" i="3"/>
  <c r="M62" i="3"/>
  <c r="V62" i="3" s="1"/>
  <c r="B63" i="17" s="1"/>
  <c r="M43" i="3"/>
  <c r="U43" i="3" s="1"/>
  <c r="A44" i="17" s="1"/>
  <c r="M54" i="3"/>
  <c r="V54" i="3" s="1"/>
  <c r="B55" i="17" s="1"/>
  <c r="M31" i="3"/>
  <c r="V31" i="3" s="1"/>
  <c r="B32" i="17" s="1"/>
  <c r="M40" i="3"/>
  <c r="V40" i="3" s="1"/>
  <c r="B41" i="17" s="1"/>
  <c r="M58" i="3"/>
  <c r="V58" i="3" s="1"/>
  <c r="B59" i="17" s="1"/>
  <c r="M81" i="3"/>
  <c r="U81" i="3" s="1"/>
  <c r="A82" i="17" s="1"/>
  <c r="M12" i="3"/>
  <c r="U12" i="3" s="1"/>
  <c r="A13" i="17" s="1"/>
  <c r="M80" i="3"/>
  <c r="V80" i="3" s="1"/>
  <c r="B81" i="17" s="1"/>
  <c r="S47" i="3"/>
  <c r="M96" i="3"/>
  <c r="V96" i="3" s="1"/>
  <c r="B97" i="17" s="1"/>
  <c r="S18" i="3"/>
  <c r="M47" i="3"/>
  <c r="V47" i="3" s="1"/>
  <c r="B48" i="17" s="1"/>
  <c r="M8" i="3"/>
  <c r="V8" i="3" s="1"/>
  <c r="B9" i="17" s="1"/>
  <c r="M37" i="3"/>
  <c r="V37" i="3" s="1"/>
  <c r="B38" i="17" s="1"/>
  <c r="M36" i="3"/>
  <c r="V36" i="3" s="1"/>
  <c r="B37" i="17" s="1"/>
  <c r="M98" i="3"/>
  <c r="V98" i="3" s="1"/>
  <c r="B99" i="17" s="1"/>
  <c r="M17" i="3"/>
  <c r="V17" i="3" s="1"/>
  <c r="B18" i="17" s="1"/>
  <c r="M27" i="3"/>
  <c r="U27" i="3" s="1"/>
  <c r="A28" i="17" s="1"/>
  <c r="M61" i="3"/>
  <c r="V61" i="3" s="1"/>
  <c r="B62" i="17" s="1"/>
  <c r="M20" i="3"/>
  <c r="U20" i="3" s="1"/>
  <c r="A21" i="17" s="1"/>
  <c r="M85" i="3"/>
  <c r="V85" i="3" s="1"/>
  <c r="B86" i="17" s="1"/>
  <c r="S4" i="3"/>
  <c r="M79" i="3"/>
  <c r="U79" i="3" s="1"/>
  <c r="A80" i="17" s="1"/>
  <c r="T43" i="3"/>
  <c r="Y43" i="3" s="1"/>
  <c r="M33" i="3"/>
  <c r="V33" i="3" s="1"/>
  <c r="B34" i="17" s="1"/>
  <c r="S17" i="3"/>
  <c r="T17" i="3"/>
  <c r="Y17" i="3" s="1"/>
  <c r="M35" i="3"/>
  <c r="U35" i="3" s="1"/>
  <c r="A36" i="17" s="1"/>
  <c r="M73" i="3"/>
  <c r="U73" i="3" s="1"/>
  <c r="A74" i="17" s="1"/>
  <c r="S39" i="3"/>
  <c r="M57" i="3"/>
  <c r="V57" i="3" s="1"/>
  <c r="B58" i="17" s="1"/>
  <c r="M16" i="3"/>
  <c r="U16" i="3" s="1"/>
  <c r="A17" i="17" s="1"/>
  <c r="S43" i="3"/>
  <c r="M71" i="3"/>
  <c r="U71" i="3" s="1"/>
  <c r="A72" i="17" s="1"/>
  <c r="M11" i="3"/>
  <c r="V11" i="3" s="1"/>
  <c r="B12" i="17" s="1"/>
  <c r="T49" i="3"/>
  <c r="Y49" i="3" s="1"/>
  <c r="T48" i="3"/>
  <c r="Y48" i="3" s="1"/>
  <c r="M94" i="3"/>
  <c r="U94" i="3" s="1"/>
  <c r="A95" i="17" s="1"/>
  <c r="M63" i="3"/>
  <c r="V63" i="3" s="1"/>
  <c r="B64" i="17" s="1"/>
  <c r="U97" i="3"/>
  <c r="A98" i="17" s="1"/>
  <c r="S50" i="3"/>
  <c r="M26" i="3"/>
  <c r="V26" i="3" s="1"/>
  <c r="B27" i="17" s="1"/>
  <c r="S15" i="3"/>
  <c r="M10" i="3"/>
  <c r="U10" i="3" s="1"/>
  <c r="A11" i="17" s="1"/>
  <c r="M15" i="3"/>
  <c r="V15" i="3" s="1"/>
  <c r="B16" i="17" s="1"/>
  <c r="T34" i="3"/>
  <c r="Y34" i="3" s="1"/>
  <c r="M100" i="3"/>
  <c r="V100" i="3" s="1"/>
  <c r="B101" i="17" s="1"/>
  <c r="T28" i="3"/>
  <c r="Y28" i="3" s="1"/>
  <c r="T7" i="3"/>
  <c r="Y7" i="3" s="1"/>
  <c r="M50" i="3"/>
  <c r="U50" i="3" s="1"/>
  <c r="A51" i="17" s="1"/>
  <c r="M29" i="3"/>
  <c r="V29" i="3" s="1"/>
  <c r="B30" i="17" s="1"/>
  <c r="M23" i="3"/>
  <c r="V23" i="3" s="1"/>
  <c r="B24" i="17" s="1"/>
  <c r="M87" i="3"/>
  <c r="V87" i="3" s="1"/>
  <c r="B88" i="17" s="1"/>
  <c r="M59" i="3"/>
  <c r="V59" i="3" s="1"/>
  <c r="B60" i="17" s="1"/>
  <c r="S26" i="3"/>
  <c r="M84" i="3"/>
  <c r="U84" i="3" s="1"/>
  <c r="A85" i="17" s="1"/>
  <c r="M95" i="3"/>
  <c r="U95" i="3" s="1"/>
  <c r="A96" i="17" s="1"/>
  <c r="M45" i="3"/>
  <c r="U45" i="3" s="1"/>
  <c r="A46" i="17" s="1"/>
  <c r="M14" i="3"/>
  <c r="U14" i="3" s="1"/>
  <c r="A15" i="17" s="1"/>
  <c r="M93" i="3"/>
  <c r="V93" i="3" s="1"/>
  <c r="B94" i="17" s="1"/>
  <c r="M56" i="3"/>
  <c r="V56" i="3" s="1"/>
  <c r="B57" i="17" s="1"/>
  <c r="M39" i="3"/>
  <c r="V39" i="3" s="1"/>
  <c r="B40" i="17" s="1"/>
  <c r="M24" i="3"/>
  <c r="U24" i="3" s="1"/>
  <c r="A25" i="17" s="1"/>
  <c r="T20" i="3"/>
  <c r="Y20" i="3" s="1"/>
  <c r="S44" i="3"/>
  <c r="M32" i="3"/>
  <c r="U32" i="3" s="1"/>
  <c r="A33" i="17" s="1"/>
  <c r="M60" i="3"/>
  <c r="U60" i="3" s="1"/>
  <c r="A61" i="17" s="1"/>
  <c r="M90" i="3"/>
  <c r="V90" i="3" s="1"/>
  <c r="B91" i="17" s="1"/>
  <c r="M66" i="3"/>
  <c r="U66" i="3" s="1"/>
  <c r="A67" i="17" s="1"/>
  <c r="M38" i="3"/>
  <c r="U38" i="3" s="1"/>
  <c r="A39" i="17" s="1"/>
  <c r="M28" i="3"/>
  <c r="U28" i="3" s="1"/>
  <c r="A29" i="17" s="1"/>
  <c r="M13" i="3"/>
  <c r="U13" i="3" s="1"/>
  <c r="A14" i="17" s="1"/>
  <c r="M49" i="3"/>
  <c r="U49" i="3" s="1"/>
  <c r="A50" i="17" s="1"/>
  <c r="T13" i="3"/>
  <c r="Y13" i="3" s="1"/>
  <c r="V99" i="3"/>
  <c r="B100" i="17" s="1"/>
  <c r="U99" i="3"/>
  <c r="A100" i="17" s="1"/>
  <c r="T5" i="3"/>
  <c r="Y5" i="3" s="1"/>
  <c r="S21" i="3"/>
  <c r="M44" i="3"/>
  <c r="V44" i="3" s="1"/>
  <c r="B45" i="17" s="1"/>
  <c r="S5" i="3"/>
  <c r="M21" i="3"/>
  <c r="U52" i="3"/>
  <c r="A53" i="17" s="1"/>
  <c r="M68" i="3"/>
  <c r="U68" i="3" s="1"/>
  <c r="A69" i="17" s="1"/>
  <c r="M34" i="3"/>
  <c r="V34" i="3" s="1"/>
  <c r="B35" i="17" s="1"/>
  <c r="M3" i="3"/>
  <c r="V3" i="3" s="1"/>
  <c r="B4" i="17" s="1"/>
  <c r="S14" i="3"/>
  <c r="T46" i="3"/>
  <c r="Y46" i="3" s="1"/>
  <c r="S46" i="3"/>
  <c r="M6" i="3"/>
  <c r="V6" i="3" s="1"/>
  <c r="B7" i="17" s="1"/>
  <c r="S38" i="3"/>
  <c r="S41" i="3"/>
  <c r="T41" i="3"/>
  <c r="Y41" i="3" s="1"/>
  <c r="M41" i="3"/>
  <c r="U41" i="3" s="1"/>
  <c r="A42" i="17" s="1"/>
  <c r="M101" i="3"/>
  <c r="M78" i="3"/>
  <c r="S19" i="3"/>
  <c r="T19" i="3"/>
  <c r="Y19" i="3" s="1"/>
  <c r="S6" i="3"/>
  <c r="M65" i="3"/>
  <c r="V65" i="3" s="1"/>
  <c r="B66" i="17" s="1"/>
  <c r="T45" i="3"/>
  <c r="Y45" i="3" s="1"/>
  <c r="M4" i="3"/>
  <c r="V4" i="3" s="1"/>
  <c r="B5" i="17" s="1"/>
  <c r="M2" i="3"/>
  <c r="V2" i="3" s="1"/>
  <c r="B3" i="17" s="1"/>
  <c r="M7" i="3"/>
  <c r="U7" i="3" s="1"/>
  <c r="A8" i="17" s="1"/>
  <c r="M22" i="3"/>
  <c r="U22" i="3" s="1"/>
  <c r="A23" i="17" s="1"/>
  <c r="M19" i="3"/>
  <c r="V19" i="3" s="1"/>
  <c r="B20" i="17" s="1"/>
  <c r="S32" i="3"/>
  <c r="M82" i="3"/>
  <c r="M18" i="3"/>
  <c r="T11" i="3"/>
  <c r="Y11" i="3" s="1"/>
  <c r="T3" i="3"/>
  <c r="Y3" i="3" s="1"/>
  <c r="V52" i="3"/>
  <c r="B53" i="17" s="1"/>
  <c r="U89" i="3"/>
  <c r="A90" i="17" s="1"/>
  <c r="V92" i="3"/>
  <c r="B93" i="17" s="1"/>
  <c r="U46" i="3"/>
  <c r="A47" i="17" s="1"/>
  <c r="V5" i="3"/>
  <c r="B6" i="17" s="1"/>
  <c r="U75" i="3" l="1"/>
  <c r="A76" i="17" s="1"/>
  <c r="V91" i="3"/>
  <c r="B92" i="17" s="1"/>
  <c r="U72" i="3"/>
  <c r="A73" i="17" s="1"/>
  <c r="V83" i="3"/>
  <c r="B84" i="17" s="1"/>
  <c r="V48" i="3"/>
  <c r="B49" i="17" s="1"/>
  <c r="U69" i="3"/>
  <c r="A70" i="17" s="1"/>
  <c r="V86" i="3"/>
  <c r="B87" i="17" s="1"/>
  <c r="U88" i="3"/>
  <c r="A89" i="17" s="1"/>
  <c r="V70" i="3"/>
  <c r="B71" i="17" s="1"/>
  <c r="V77" i="3"/>
  <c r="B78" i="17" s="1"/>
  <c r="U76" i="3"/>
  <c r="A77" i="17" s="1"/>
  <c r="V42" i="3"/>
  <c r="B43" i="17" s="1"/>
  <c r="U64" i="3"/>
  <c r="A65" i="17" s="1"/>
  <c r="U55" i="3"/>
  <c r="A56" i="17" s="1"/>
  <c r="U25" i="3"/>
  <c r="A26" i="17" s="1"/>
  <c r="V53" i="3"/>
  <c r="B54" i="17" s="1"/>
  <c r="U17" i="3"/>
  <c r="A18" i="17" s="1"/>
  <c r="V74" i="3"/>
  <c r="B75" i="17" s="1"/>
  <c r="U31" i="3"/>
  <c r="A32" i="17" s="1"/>
  <c r="V9" i="3"/>
  <c r="B10" i="17" s="1"/>
  <c r="V67" i="3"/>
  <c r="B68" i="17" s="1"/>
  <c r="U51" i="3"/>
  <c r="A52" i="17" s="1"/>
  <c r="V81" i="3"/>
  <c r="B82" i="17" s="1"/>
  <c r="U98" i="3"/>
  <c r="A99" i="17" s="1"/>
  <c r="U30" i="3"/>
  <c r="A31" i="17" s="1"/>
  <c r="U54" i="3"/>
  <c r="A55" i="17" s="1"/>
  <c r="U58" i="3"/>
  <c r="A59" i="17" s="1"/>
  <c r="U62" i="3"/>
  <c r="A63" i="17" s="1"/>
  <c r="U40" i="3"/>
  <c r="A41" i="17" s="1"/>
  <c r="U100" i="3"/>
  <c r="A101" i="17" s="1"/>
  <c r="V43" i="3"/>
  <c r="B44" i="17" s="1"/>
  <c r="U57" i="3"/>
  <c r="A58" i="17" s="1"/>
  <c r="V12" i="3"/>
  <c r="B13" i="17" s="1"/>
  <c r="V41" i="3"/>
  <c r="B42" i="17" s="1"/>
  <c r="U80" i="3"/>
  <c r="A81" i="17" s="1"/>
  <c r="U8" i="3"/>
  <c r="A9" i="17" s="1"/>
  <c r="U47" i="3"/>
  <c r="A48" i="17" s="1"/>
  <c r="U36" i="3"/>
  <c r="A37" i="17" s="1"/>
  <c r="V16" i="3"/>
  <c r="B17" i="17" s="1"/>
  <c r="V20" i="3"/>
  <c r="B21" i="17" s="1"/>
  <c r="V79" i="3"/>
  <c r="B80" i="17" s="1"/>
  <c r="V71" i="3"/>
  <c r="B72" i="17" s="1"/>
  <c r="U85" i="3"/>
  <c r="A86" i="17" s="1"/>
  <c r="U37" i="3"/>
  <c r="A38" i="17" s="1"/>
  <c r="U11" i="3"/>
  <c r="A12" i="17" s="1"/>
  <c r="U61" i="3"/>
  <c r="A62" i="17" s="1"/>
  <c r="U96" i="3"/>
  <c r="A97" i="17" s="1"/>
  <c r="V27" i="3"/>
  <c r="B28" i="17" s="1"/>
  <c r="U33" i="3"/>
  <c r="A34" i="17" s="1"/>
  <c r="V73" i="3"/>
  <c r="B74" i="17" s="1"/>
  <c r="V35" i="3"/>
  <c r="B36" i="17" s="1"/>
  <c r="U63" i="3"/>
  <c r="A64" i="17" s="1"/>
  <c r="U23" i="3"/>
  <c r="A24" i="17" s="1"/>
  <c r="V94" i="3"/>
  <c r="B95" i="17" s="1"/>
  <c r="U34" i="3"/>
  <c r="A35" i="17" s="1"/>
  <c r="V13" i="3"/>
  <c r="B14" i="17" s="1"/>
  <c r="V49" i="3"/>
  <c r="B50" i="17" s="1"/>
  <c r="U26" i="3"/>
  <c r="A27" i="17" s="1"/>
  <c r="V24" i="3"/>
  <c r="B25" i="17" s="1"/>
  <c r="U15" i="3"/>
  <c r="A16" i="17" s="1"/>
  <c r="U59" i="3"/>
  <c r="A60" i="17" s="1"/>
  <c r="U6" i="3"/>
  <c r="A7" i="17" s="1"/>
  <c r="V60" i="3"/>
  <c r="B61" i="17" s="1"/>
  <c r="U3" i="3"/>
  <c r="A4" i="17" s="1"/>
  <c r="V10" i="3"/>
  <c r="B11" i="17" s="1"/>
  <c r="V50" i="3"/>
  <c r="B51" i="17" s="1"/>
  <c r="V84" i="3"/>
  <c r="B85" i="17" s="1"/>
  <c r="U87" i="3"/>
  <c r="A88" i="17" s="1"/>
  <c r="V66" i="3"/>
  <c r="B67" i="17" s="1"/>
  <c r="V14" i="3"/>
  <c r="B15" i="17" s="1"/>
  <c r="U2" i="3"/>
  <c r="A3" i="17" s="1"/>
  <c r="U29" i="3"/>
  <c r="A30" i="17" s="1"/>
  <c r="U93" i="3"/>
  <c r="A94" i="17" s="1"/>
  <c r="U56" i="3"/>
  <c r="A57" i="17" s="1"/>
  <c r="V45" i="3"/>
  <c r="B46" i="17" s="1"/>
  <c r="V95" i="3"/>
  <c r="B96" i="17" s="1"/>
  <c r="V28" i="3"/>
  <c r="B29" i="17" s="1"/>
  <c r="V22" i="3"/>
  <c r="B23" i="17" s="1"/>
  <c r="U65" i="3"/>
  <c r="A66" i="17" s="1"/>
  <c r="U39" i="3"/>
  <c r="A40" i="17" s="1"/>
  <c r="V68" i="3"/>
  <c r="B69" i="17" s="1"/>
  <c r="V38" i="3"/>
  <c r="B39" i="17" s="1"/>
  <c r="V32" i="3"/>
  <c r="B33" i="17" s="1"/>
  <c r="U90" i="3"/>
  <c r="A91" i="17" s="1"/>
  <c r="U78" i="3"/>
  <c r="A79" i="17" s="1"/>
  <c r="V78" i="3"/>
  <c r="B79" i="17" s="1"/>
  <c r="U19" i="3"/>
  <c r="A20" i="17" s="1"/>
  <c r="U44" i="3"/>
  <c r="A45" i="17" s="1"/>
  <c r="U82" i="3"/>
  <c r="A83" i="17" s="1"/>
  <c r="V82" i="3"/>
  <c r="B83" i="17" s="1"/>
  <c r="U21" i="3"/>
  <c r="A22" i="17" s="1"/>
  <c r="V21" i="3"/>
  <c r="B22" i="17" s="1"/>
  <c r="U101" i="3"/>
  <c r="A102" i="17" s="1"/>
  <c r="V101" i="3"/>
  <c r="B102" i="17" s="1"/>
  <c r="V7" i="3"/>
  <c r="B8" i="17" s="1"/>
  <c r="V18" i="3"/>
  <c r="B19" i="17" s="1"/>
  <c r="U18" i="3"/>
  <c r="A19" i="17" s="1"/>
  <c r="U4" i="3"/>
  <c r="A5" i="1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Trung Nghĩa Trần</author>
  </authors>
  <commentList>
    <comment ref="A1" authorId="0" shapeId="0" xr:uid="{9211DB02-4936-4A7F-8C88-DF948C579197}">
      <text>
        <r>
          <rPr>
            <b/>
            <sz val="9"/>
            <color indexed="81"/>
            <rFont val="Tahoma"/>
            <family val="2"/>
          </rPr>
          <t>1th digit input</t>
        </r>
      </text>
    </comment>
    <comment ref="B1" authorId="0" shapeId="0" xr:uid="{FDA27E9D-3ECD-48F5-8CF5-A76455865978}">
      <text>
        <r>
          <rPr>
            <b/>
            <sz val="20"/>
            <color indexed="81"/>
            <rFont val="Tahoma"/>
            <family val="2"/>
          </rPr>
          <t>X</t>
        </r>
      </text>
    </comment>
    <comment ref="C1" authorId="0" shapeId="0" xr:uid="{68371776-0792-4225-8254-2E50D362577E}">
      <text>
        <r>
          <rPr>
            <b/>
            <sz val="20"/>
            <color indexed="81"/>
            <rFont val="Tahoma"/>
            <family val="2"/>
          </rPr>
          <t>Y_c</t>
        </r>
      </text>
    </comment>
    <comment ref="D1" authorId="0" shapeId="0" xr:uid="{3EF33C2A-996E-4265-9179-26C3263B2EF5}">
      <text>
        <r>
          <rPr>
            <b/>
            <sz val="20"/>
            <color indexed="81"/>
            <rFont val="Tahoma"/>
            <family val="2"/>
          </rPr>
          <t xml:space="preserve">Y_t
</t>
        </r>
      </text>
    </comment>
    <comment ref="E1" authorId="0" shapeId="0" xr:uid="{F98BFD06-8410-45FE-B44F-48DAFCE6BD43}">
      <text>
        <r>
          <rPr>
            <b/>
            <sz val="20"/>
            <color indexed="81"/>
            <rFont val="Tahoma"/>
            <family val="2"/>
          </rPr>
          <t>dY_c/dX</t>
        </r>
      </text>
    </comment>
    <comment ref="F1" authorId="0" shapeId="0" xr:uid="{485D8E1F-A2A2-47B9-9D76-BFD396232B4B}">
      <text>
        <r>
          <rPr>
            <b/>
            <sz val="20"/>
            <color indexed="81"/>
            <rFont val="Tahoma"/>
            <family val="2"/>
          </rPr>
          <t>Theta</t>
        </r>
      </text>
    </comment>
    <comment ref="G1" authorId="0" shapeId="0" xr:uid="{22AEE3C4-F4B3-41C5-87D0-C8A2BE975E7C}">
      <text>
        <r>
          <rPr>
            <b/>
            <sz val="20"/>
            <color indexed="81"/>
            <rFont val="Tahoma"/>
            <family val="2"/>
          </rPr>
          <t>X_u</t>
        </r>
      </text>
    </comment>
    <comment ref="H1" authorId="0" shapeId="0" xr:uid="{387372D3-6032-4223-AB63-902662E4D4B8}">
      <text>
        <r>
          <rPr>
            <b/>
            <sz val="20"/>
            <color indexed="81"/>
            <rFont val="Tahoma"/>
            <family val="2"/>
          </rPr>
          <t>Y_u</t>
        </r>
      </text>
    </comment>
    <comment ref="J1" authorId="0" shapeId="0" xr:uid="{C9878AD8-E90B-410F-9628-CB57A491622C}">
      <text>
        <r>
          <rPr>
            <b/>
            <sz val="12"/>
            <color indexed="81"/>
            <rFont val="Tahoma"/>
            <family val="2"/>
          </rPr>
          <t>X chord</t>
        </r>
      </text>
    </comment>
    <comment ref="K1" authorId="0" shapeId="0" xr:uid="{155C8723-9E0C-4B87-A47E-ABAAC4901793}">
      <text>
        <r>
          <rPr>
            <b/>
            <sz val="12"/>
            <color indexed="81"/>
            <rFont val="Tahoma"/>
            <family val="2"/>
          </rPr>
          <t>Y chord</t>
        </r>
      </text>
    </comment>
    <comment ref="L1" authorId="0" shapeId="0" xr:uid="{26FCEBD3-6092-4ACC-8EA3-CF229BE5FAD0}">
      <text>
        <r>
          <rPr>
            <b/>
            <sz val="12"/>
            <color indexed="81"/>
            <rFont val="Tahoma"/>
            <family val="2"/>
          </rPr>
          <t>X mean line</t>
        </r>
      </text>
    </comment>
    <comment ref="M1" authorId="0" shapeId="0" xr:uid="{2B91C844-7D56-4810-B827-ECB628F34DDC}">
      <text>
        <r>
          <rPr>
            <b/>
            <sz val="12"/>
            <color indexed="81"/>
            <rFont val="Tahoma"/>
            <family val="2"/>
          </rPr>
          <t>Y mean line</t>
        </r>
      </text>
    </comment>
    <comment ref="N1" authorId="0" shapeId="0" xr:uid="{A02453F0-AB8D-4193-AFEC-FBCCB2EC67D8}">
      <text>
        <r>
          <rPr>
            <b/>
            <sz val="12"/>
            <color indexed="81"/>
            <rFont val="Tahoma"/>
            <family val="2"/>
          </rPr>
          <t>X profile</t>
        </r>
      </text>
    </comment>
    <comment ref="O1" authorId="0" shapeId="0" xr:uid="{9D07896D-AF4C-430A-8202-F342A6E2D4E2}">
      <text>
        <r>
          <rPr>
            <b/>
            <sz val="12"/>
            <color indexed="81"/>
            <rFont val="Tahoma"/>
            <family val="2"/>
          </rPr>
          <t>Y profile</t>
        </r>
      </text>
    </comment>
    <comment ref="Q1" authorId="0" shapeId="0" xr:uid="{4955EE3B-8247-4222-AF38-55E779C453D0}">
      <text>
        <r>
          <rPr>
            <b/>
            <sz val="12"/>
            <color indexed="81"/>
            <rFont val="Tahoma"/>
            <family val="2"/>
          </rPr>
          <t>chord line show</t>
        </r>
      </text>
    </comment>
    <comment ref="R1" authorId="0" shapeId="0" xr:uid="{26FC50F1-75B2-4630-BE36-DCBE4EA35FD1}">
      <text>
        <r>
          <rPr>
            <b/>
            <sz val="12"/>
            <color indexed="81"/>
            <rFont val="Tahoma"/>
            <family val="2"/>
          </rPr>
          <t>mean line show</t>
        </r>
      </text>
    </comment>
    <comment ref="U1" authorId="0" shapeId="0" xr:uid="{65B1B843-B861-4980-9F14-9EBA66FC0BEF}">
      <text>
        <r>
          <rPr>
            <b/>
            <sz val="9"/>
            <color indexed="81"/>
            <rFont val="Tahoma"/>
            <family val="2"/>
          </rPr>
          <t>alpha(dy/dx_x=0)</t>
        </r>
      </text>
    </comment>
    <comment ref="V1" authorId="0" shapeId="0" xr:uid="{4E7A0CC5-CF29-4736-B910-4003A5A101BA}">
      <text>
        <r>
          <rPr>
            <b/>
            <sz val="9"/>
            <color indexed="81"/>
            <rFont val="Tahoma"/>
            <family val="2"/>
          </rPr>
          <t>phi</t>
        </r>
      </text>
    </comment>
    <comment ref="W1" authorId="0" shapeId="0" xr:uid="{088AD251-4D6A-46F9-A4AF-EC0E6B2DBD56}">
      <text>
        <r>
          <rPr>
            <b/>
            <sz val="9"/>
            <color indexed="81"/>
            <rFont val="Tahoma"/>
            <family val="2"/>
          </rPr>
          <t>x(phi)</t>
        </r>
      </text>
    </comment>
    <comment ref="X1" authorId="0" shapeId="0" xr:uid="{EA84D843-AABE-4ECE-9CDE-EC077F5990E3}">
      <text>
        <r>
          <rPr>
            <b/>
            <sz val="9"/>
            <color indexed="81"/>
            <rFont val="Tahoma"/>
            <family val="2"/>
          </rPr>
          <t>y(phi)</t>
        </r>
      </text>
    </comment>
    <comment ref="A2" authorId="0" shapeId="0" xr:uid="{EDC3D972-0F8F-4DC3-86CF-A22A80EAA985}">
      <text>
        <r>
          <rPr>
            <b/>
            <sz val="9"/>
            <color indexed="81"/>
            <rFont val="Tahoma"/>
            <family val="2"/>
          </rPr>
          <t>2nd digit input</t>
        </r>
      </text>
    </comment>
    <comment ref="U2" authorId="0" shapeId="0" xr:uid="{841767E7-6DC6-4556-A695-56CC6A8802EA}">
      <text>
        <r>
          <rPr>
            <b/>
            <sz val="9"/>
            <color indexed="81"/>
            <rFont val="Tahoma"/>
            <family val="2"/>
          </rPr>
          <t>leading-edge radius</t>
        </r>
      </text>
    </comment>
    <comment ref="A3" authorId="0" shapeId="0" xr:uid="{9BC42D27-CB6C-4885-BA8E-74EC0F0E3417}">
      <text>
        <r>
          <rPr>
            <b/>
            <sz val="9"/>
            <color indexed="81"/>
            <rFont val="Tahoma"/>
            <family val="2"/>
          </rPr>
          <t>third digit</t>
        </r>
      </text>
    </comment>
    <comment ref="A5" authorId="0" shapeId="0" xr:uid="{8F3CC042-299F-4A34-A394-45DD1D4D0B2E}">
      <text>
        <r>
          <rPr>
            <b/>
            <sz val="16"/>
            <color indexed="81"/>
            <rFont val="Tahoma"/>
            <family val="2"/>
          </rPr>
          <t>M</t>
        </r>
      </text>
    </comment>
    <comment ref="A6" authorId="0" shapeId="0" xr:uid="{69EBE16B-419F-429B-B3C8-0EA38C616B6B}">
      <text>
        <r>
          <rPr>
            <b/>
            <sz val="20"/>
            <color indexed="81"/>
            <rFont val="Tahoma"/>
            <family val="2"/>
          </rPr>
          <t>P</t>
        </r>
      </text>
    </comment>
    <comment ref="A7" authorId="0" shapeId="0" xr:uid="{EEAFD636-6595-49AA-AB98-53F5A931D188}">
      <text>
        <r>
          <rPr>
            <b/>
            <sz val="20"/>
            <color indexed="81"/>
            <rFont val="Tahoma"/>
            <family val="2"/>
          </rPr>
          <t>T</t>
        </r>
      </text>
    </comment>
    <comment ref="A9" authorId="0" shapeId="0" xr:uid="{00EE631E-F677-4A61-8D7B-2414EA793895}">
      <text>
        <r>
          <rPr>
            <b/>
            <sz val="12"/>
            <color indexed="81"/>
            <rFont val="Tahoma"/>
            <family val="2"/>
          </rPr>
          <t>Angle of Attack</t>
        </r>
      </text>
    </comment>
    <comment ref="A10" authorId="0" shapeId="0" xr:uid="{05311954-5999-4B36-972A-F7630A6ADE9F}">
      <text>
        <r>
          <rPr>
            <b/>
            <sz val="12"/>
            <color indexed="81"/>
            <rFont val="Tahoma"/>
            <family val="2"/>
          </rPr>
          <t>Chord length</t>
        </r>
      </text>
    </comment>
    <comment ref="B52" authorId="0" shapeId="0" xr:uid="{6C8AD0BC-4843-4203-B47A-F064650E9418}">
      <text>
        <r>
          <rPr>
            <b/>
            <sz val="20"/>
            <color indexed="81"/>
            <rFont val="Tahoma"/>
            <family val="2"/>
          </rPr>
          <t>X</t>
        </r>
      </text>
    </comment>
    <comment ref="C52" authorId="0" shapeId="0" xr:uid="{FB928320-A60A-4585-A827-6F76C1111D3A}">
      <text>
        <r>
          <rPr>
            <b/>
            <sz val="20"/>
            <color indexed="81"/>
            <rFont val="Tahoma"/>
            <family val="2"/>
          </rPr>
          <t>Y_c</t>
        </r>
      </text>
    </comment>
    <comment ref="D52" authorId="0" shapeId="0" xr:uid="{13F93BA8-B5AE-47F9-913C-EEDC0004DB13}">
      <text>
        <r>
          <rPr>
            <b/>
            <sz val="20"/>
            <color indexed="81"/>
            <rFont val="Tahoma"/>
            <family val="2"/>
          </rPr>
          <t xml:space="preserve">Y_t
</t>
        </r>
      </text>
    </comment>
    <comment ref="E52" authorId="0" shapeId="0" xr:uid="{7E686F6C-F793-4215-B5BE-8EF7BE414E4C}">
      <text>
        <r>
          <rPr>
            <b/>
            <sz val="20"/>
            <color indexed="81"/>
            <rFont val="Tahoma"/>
            <family val="2"/>
          </rPr>
          <t>dY_c/dX</t>
        </r>
      </text>
    </comment>
    <comment ref="F52" authorId="0" shapeId="0" xr:uid="{B1BE8DC4-4CF9-48AF-B870-AF18B1F9F020}">
      <text>
        <r>
          <rPr>
            <b/>
            <sz val="20"/>
            <color indexed="81"/>
            <rFont val="Tahoma"/>
            <family val="2"/>
          </rPr>
          <t>Theta</t>
        </r>
      </text>
    </comment>
    <comment ref="G52" authorId="0" shapeId="0" xr:uid="{86A2F7F0-3F4A-4461-86BD-5E3050022D63}">
      <text>
        <r>
          <rPr>
            <b/>
            <sz val="20"/>
            <color indexed="81"/>
            <rFont val="Tahoma"/>
            <family val="2"/>
          </rPr>
          <t xml:space="preserve">X_l
</t>
        </r>
      </text>
    </comment>
    <comment ref="H52" authorId="0" shapeId="0" xr:uid="{99F49AC0-8CC2-4330-9A07-FE63C908FDCF}">
      <text>
        <r>
          <rPr>
            <b/>
            <sz val="20"/>
            <color indexed="81"/>
            <rFont val="Tahoma"/>
            <family val="2"/>
          </rPr>
          <t xml:space="preserve">Y_l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Trung Nghĩa Trần</author>
  </authors>
  <commentList>
    <comment ref="A1" authorId="0" shapeId="0" xr:uid="{61F30568-3BA0-42FE-8A93-46E0A7C3AF78}">
      <text>
        <r>
          <rPr>
            <b/>
            <sz val="12"/>
            <color indexed="81"/>
            <rFont val="Tahoma"/>
            <family val="2"/>
          </rPr>
          <t>first digit</t>
        </r>
      </text>
    </comment>
    <comment ref="B1" authorId="0" shapeId="0" xr:uid="{72086D21-8779-41F8-9E7C-240E86A00F7A}">
      <text>
        <r>
          <rPr>
            <b/>
            <sz val="20"/>
            <color indexed="81"/>
            <rFont val="Tahoma"/>
            <family val="2"/>
          </rPr>
          <t>X</t>
        </r>
      </text>
    </comment>
    <comment ref="C1" authorId="0" shapeId="0" xr:uid="{45F73612-0EAC-4B51-B8A1-C82BFAA43501}">
      <text>
        <r>
          <rPr>
            <b/>
            <sz val="16"/>
            <color indexed="81"/>
            <rFont val="Tahoma"/>
            <family val="2"/>
          </rPr>
          <t>Y_t</t>
        </r>
      </text>
    </comment>
    <comment ref="D1" authorId="0" shapeId="0" xr:uid="{38181358-D959-437E-BDAE-3ADBE073C476}">
      <text>
        <r>
          <rPr>
            <b/>
            <sz val="16"/>
            <color indexed="81"/>
            <rFont val="Tahoma"/>
            <family val="2"/>
          </rPr>
          <t xml:space="preserve">Y_c(S)
</t>
        </r>
      </text>
    </comment>
    <comment ref="E1" authorId="0" shapeId="0" xr:uid="{084E1077-2FA3-486B-9687-52362F98403B}">
      <text>
        <r>
          <rPr>
            <b/>
            <sz val="16"/>
            <color indexed="81"/>
            <rFont val="Tahoma"/>
            <family val="2"/>
          </rPr>
          <t>dY_c/dX(S)</t>
        </r>
      </text>
    </comment>
    <comment ref="F1" authorId="0" shapeId="0" xr:uid="{279C3133-B396-41FE-B992-896BFDECC499}">
      <text>
        <r>
          <rPr>
            <b/>
            <sz val="16"/>
            <color indexed="81"/>
            <rFont val="Tahoma"/>
            <family val="2"/>
          </rPr>
          <t>Theta(S)</t>
        </r>
      </text>
    </comment>
    <comment ref="G1" authorId="0" shapeId="0" xr:uid="{9D07D8BD-4A47-41DC-AE02-E6D3507F7058}">
      <text>
        <r>
          <rPr>
            <b/>
            <sz val="16"/>
            <color indexed="81"/>
            <rFont val="Tahoma"/>
            <family val="2"/>
          </rPr>
          <t>Y_c(R)</t>
        </r>
      </text>
    </comment>
    <comment ref="H1" authorId="0" shapeId="0" xr:uid="{94BDB986-A337-4DCD-BBFA-2B16D4861278}">
      <text>
        <r>
          <rPr>
            <b/>
            <sz val="16"/>
            <color indexed="81"/>
            <rFont val="Tahoma"/>
            <family val="2"/>
          </rPr>
          <t>dY_c/dX(R)</t>
        </r>
      </text>
    </comment>
    <comment ref="I1" authorId="0" shapeId="0" xr:uid="{2EEEFC4F-747F-41CD-B491-43F780EAACA0}">
      <text>
        <r>
          <rPr>
            <b/>
            <sz val="16"/>
            <color indexed="81"/>
            <rFont val="Tahoma"/>
            <family val="2"/>
          </rPr>
          <t>Theta(R)</t>
        </r>
      </text>
    </comment>
    <comment ref="J1" authorId="0" shapeId="0" xr:uid="{1F539D51-05ED-48EC-9791-EE5DDE0D375B}">
      <text>
        <r>
          <rPr>
            <b/>
            <sz val="16"/>
            <color indexed="81"/>
            <rFont val="Tahoma"/>
            <family val="2"/>
          </rPr>
          <t>Y_c</t>
        </r>
      </text>
    </comment>
    <comment ref="K1" authorId="0" shapeId="0" xr:uid="{E94E8626-C167-400C-BA23-2045826A3067}">
      <text>
        <r>
          <rPr>
            <b/>
            <sz val="16"/>
            <color indexed="81"/>
            <rFont val="Tahoma"/>
            <family val="2"/>
          </rPr>
          <t>Theta</t>
        </r>
      </text>
    </comment>
    <comment ref="L1" authorId="0" shapeId="0" xr:uid="{4832F7BD-872C-490B-A60B-CDD913DD909B}">
      <text>
        <r>
          <rPr>
            <b/>
            <sz val="16"/>
            <color indexed="81"/>
            <rFont val="Tahoma"/>
            <family val="2"/>
          </rPr>
          <t>X_u</t>
        </r>
      </text>
    </comment>
    <comment ref="M1" authorId="0" shapeId="0" xr:uid="{9FCA5D0F-B763-4123-B052-2075A7557248}">
      <text>
        <r>
          <rPr>
            <b/>
            <sz val="16"/>
            <color indexed="81"/>
            <rFont val="Tahoma"/>
            <family val="2"/>
          </rPr>
          <t>Y_u</t>
        </r>
      </text>
    </comment>
    <comment ref="O1" authorId="0" shapeId="0" xr:uid="{21777091-37F9-4926-97AE-83103A0B9DED}">
      <text>
        <r>
          <rPr>
            <b/>
            <sz val="12"/>
            <color indexed="81"/>
            <rFont val="Tahoma"/>
            <family val="2"/>
          </rPr>
          <t>equation_ solve r</t>
        </r>
      </text>
    </comment>
    <comment ref="Q1" authorId="0" shapeId="0" xr:uid="{CB45B535-BCF3-46FC-B7D4-9A5471D66267}">
      <text>
        <r>
          <rPr>
            <b/>
            <sz val="12"/>
            <color indexed="81"/>
            <rFont val="Tahoma"/>
            <family val="2"/>
          </rPr>
          <t>X chord</t>
        </r>
      </text>
    </comment>
    <comment ref="R1" authorId="0" shapeId="0" xr:uid="{73061110-2130-46C5-ACCF-0436E3E77399}">
      <text>
        <r>
          <rPr>
            <b/>
            <sz val="12"/>
            <color indexed="81"/>
            <rFont val="Tahoma"/>
            <family val="2"/>
          </rPr>
          <t>Y chord</t>
        </r>
      </text>
    </comment>
    <comment ref="S1" authorId="0" shapeId="0" xr:uid="{3168F53C-FBA2-4A90-86D0-73C9843884B9}">
      <text>
        <r>
          <rPr>
            <b/>
            <sz val="12"/>
            <color indexed="81"/>
            <rFont val="Tahoma"/>
            <family val="2"/>
          </rPr>
          <t>X mean line</t>
        </r>
      </text>
    </comment>
    <comment ref="T1" authorId="0" shapeId="0" xr:uid="{218C2699-67EB-419C-928A-B702339046F5}">
      <text>
        <r>
          <rPr>
            <b/>
            <sz val="12"/>
            <color indexed="81"/>
            <rFont val="Tahoma"/>
            <family val="2"/>
          </rPr>
          <t>Y mean line</t>
        </r>
      </text>
    </comment>
    <comment ref="U1" authorId="0" shapeId="0" xr:uid="{391B85C6-F597-4D6D-A6F6-A982F16C0AAB}">
      <text>
        <r>
          <rPr>
            <b/>
            <sz val="12"/>
            <color indexed="81"/>
            <rFont val="Tahoma"/>
            <family val="2"/>
          </rPr>
          <t>X profile</t>
        </r>
      </text>
    </comment>
    <comment ref="V1" authorId="0" shapeId="0" xr:uid="{235E352C-7C5F-4089-9160-85CACBA33C88}">
      <text>
        <r>
          <rPr>
            <b/>
            <sz val="12"/>
            <color indexed="81"/>
            <rFont val="Tahoma"/>
            <family val="2"/>
          </rPr>
          <t>Y profile</t>
        </r>
      </text>
    </comment>
    <comment ref="X1" authorId="0" shapeId="0" xr:uid="{85D9C584-E756-440B-9AD6-28B54C261ABD}">
      <text>
        <r>
          <rPr>
            <b/>
            <sz val="9"/>
            <color indexed="81"/>
            <rFont val="Tahoma"/>
            <family val="2"/>
          </rPr>
          <t>Trung Nghĩa Trần: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1" authorId="0" shapeId="0" xr:uid="{098607A7-1987-4324-914A-3DFE8CD0ECC2}">
      <text>
        <r>
          <rPr>
            <b/>
            <sz val="9"/>
            <color indexed="81"/>
            <rFont val="Tahoma"/>
            <family val="2"/>
          </rPr>
          <t>mean line</t>
        </r>
      </text>
    </comment>
    <comment ref="AB1" authorId="0" shapeId="0" xr:uid="{2662BDCF-D34B-41B2-AFBB-2D8B2C1BF0A7}">
      <text>
        <r>
          <rPr>
            <b/>
            <sz val="9"/>
            <color indexed="81"/>
            <rFont val="Tahoma"/>
            <family val="2"/>
          </rPr>
          <t>alpha</t>
        </r>
      </text>
    </comment>
    <comment ref="AC1" authorId="0" shapeId="0" xr:uid="{ED4E40AC-3F92-46BE-BF1D-8FA12073CD27}">
      <text>
        <r>
          <rPr>
            <b/>
            <sz val="9"/>
            <color indexed="81"/>
            <rFont val="Tahoma"/>
            <family val="2"/>
          </rPr>
          <t>phi</t>
        </r>
      </text>
    </comment>
    <comment ref="AD1" authorId="0" shapeId="0" xr:uid="{0DFA3D73-BC89-45B6-9B16-CC9EA932CE20}">
      <text>
        <r>
          <rPr>
            <b/>
            <sz val="9"/>
            <color indexed="81"/>
            <rFont val="Tahoma"/>
            <family val="2"/>
          </rPr>
          <t>x(phi)</t>
        </r>
      </text>
    </comment>
    <comment ref="AE1" authorId="0" shapeId="0" xr:uid="{416A5D61-513A-4645-A52D-B2A3B1120C14}">
      <text>
        <r>
          <rPr>
            <b/>
            <sz val="9"/>
            <color indexed="81"/>
            <rFont val="Tahoma"/>
            <family val="2"/>
          </rPr>
          <t>y(phi)</t>
        </r>
      </text>
    </comment>
    <comment ref="A2" authorId="0" shapeId="0" xr:uid="{C63E395B-15E9-4A6E-B10D-F3DD83304DFD}">
      <text>
        <r>
          <rPr>
            <b/>
            <sz val="12"/>
            <color indexed="81"/>
            <rFont val="Tahoma"/>
            <family val="2"/>
          </rPr>
          <t>second digit</t>
        </r>
      </text>
    </comment>
    <comment ref="AB2" authorId="0" shapeId="0" xr:uid="{BCBB9B55-9B0C-4128-8DD5-8718A9620BE6}">
      <text>
        <r>
          <rPr>
            <b/>
            <sz val="9"/>
            <color indexed="81"/>
            <rFont val="Tahoma"/>
            <family val="2"/>
          </rPr>
          <t>leading-edge radius</t>
        </r>
      </text>
    </comment>
    <comment ref="A3" authorId="0" shapeId="0" xr:uid="{0B5C180D-2392-4E15-AECD-34F6DD74EF6D}">
      <text>
        <r>
          <rPr>
            <b/>
            <sz val="12"/>
            <color indexed="81"/>
            <rFont val="Tahoma"/>
            <family val="2"/>
          </rPr>
          <t>3,4th digit</t>
        </r>
      </text>
    </comment>
    <comment ref="A5" authorId="0" shapeId="0" xr:uid="{3912F05C-A2AA-4ADD-8DF7-7FAD00151F4B}">
      <text>
        <r>
          <rPr>
            <b/>
            <sz val="12"/>
            <color indexed="81"/>
            <rFont val="Tahoma"/>
            <family val="2"/>
          </rPr>
          <t>position of max camber</t>
        </r>
      </text>
    </comment>
    <comment ref="A6" authorId="0" shapeId="0" xr:uid="{556CE1BE-2001-4971-AC6A-FA615903A6DF}">
      <text>
        <r>
          <rPr>
            <b/>
            <sz val="12"/>
            <color indexed="81"/>
            <rFont val="Tahoma"/>
            <family val="2"/>
          </rPr>
          <t>maximum camber</t>
        </r>
      </text>
    </comment>
    <comment ref="A7" authorId="0" shapeId="0" xr:uid="{DBD009CC-9C59-4397-AC60-499319B03CA4}">
      <text>
        <r>
          <rPr>
            <b/>
            <sz val="12"/>
            <color indexed="81"/>
            <rFont val="Tahoma"/>
            <family val="2"/>
          </rPr>
          <t>max thickness</t>
        </r>
      </text>
    </comment>
    <comment ref="A9" authorId="0" shapeId="0" xr:uid="{841925D6-DA0F-4B48-BC25-E0690E5CD5A6}">
      <text>
        <r>
          <rPr>
            <b/>
            <sz val="14"/>
            <color indexed="81"/>
            <rFont val="Tahoma"/>
            <family val="2"/>
          </rPr>
          <t>m(S)</t>
        </r>
      </text>
    </comment>
    <comment ref="A10" authorId="0" shapeId="0" xr:uid="{541C410F-7713-4A73-B32F-64F514932CAD}">
      <text>
        <r>
          <rPr>
            <b/>
            <sz val="14"/>
            <color indexed="81"/>
            <rFont val="Tahoma"/>
            <family val="2"/>
          </rPr>
          <t>k1(S)</t>
        </r>
      </text>
    </comment>
    <comment ref="A12" authorId="0" shapeId="0" xr:uid="{16FD7ED6-FB6C-45A1-9906-78B964B51B7F}">
      <text>
        <r>
          <rPr>
            <b/>
            <sz val="14"/>
            <color indexed="81"/>
            <rFont val="Tahoma"/>
            <family val="2"/>
          </rPr>
          <t>m(R)</t>
        </r>
      </text>
    </comment>
    <comment ref="A13" authorId="0" shapeId="0" xr:uid="{5CA504D5-78A8-4DF7-A3C3-CD2F7F1E3BC9}">
      <text>
        <r>
          <rPr>
            <b/>
            <sz val="14"/>
            <color indexed="81"/>
            <rFont val="Tahoma"/>
            <family val="2"/>
          </rPr>
          <t>k1(R)</t>
        </r>
      </text>
    </comment>
    <comment ref="A14" authorId="0" shapeId="0" xr:uid="{6F68FB04-553A-418A-9B76-F26B997F1930}">
      <text>
        <r>
          <rPr>
            <b/>
            <sz val="14"/>
            <color indexed="81"/>
            <rFont val="Tahoma"/>
            <family val="2"/>
          </rPr>
          <t>k2/k1</t>
        </r>
      </text>
    </comment>
    <comment ref="A15" authorId="0" shapeId="0" xr:uid="{200FE43D-97DA-4FA1-B7A0-79F0036A61BD}">
      <text>
        <r>
          <rPr>
            <b/>
            <sz val="12"/>
            <color indexed="81"/>
            <rFont val="Tahoma"/>
            <family val="2"/>
          </rPr>
          <t>design lift coefficient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17" authorId="0" shapeId="0" xr:uid="{DD7AD5BE-452C-4A4D-991F-5B40540CC024}">
      <text>
        <r>
          <rPr>
            <b/>
            <sz val="12"/>
            <color indexed="81"/>
            <rFont val="Tahoma"/>
            <family val="2"/>
          </rPr>
          <t>Angle of Attack</t>
        </r>
      </text>
    </comment>
    <comment ref="A18" authorId="0" shapeId="0" xr:uid="{FFBC9C22-146C-4A1F-8E48-A13BA42CCE98}">
      <text>
        <r>
          <rPr>
            <b/>
            <sz val="12"/>
            <color indexed="81"/>
            <rFont val="Tahoma"/>
            <family val="2"/>
          </rPr>
          <t>Chord length</t>
        </r>
      </text>
    </comment>
    <comment ref="B52" authorId="0" shapeId="0" xr:uid="{DF431D97-AA9D-4DF0-BC85-572F4BF3F7A1}">
      <text>
        <r>
          <rPr>
            <b/>
            <sz val="9"/>
            <color indexed="81"/>
            <rFont val="Tahoma"/>
            <family val="2"/>
          </rPr>
          <t>x</t>
        </r>
      </text>
    </comment>
    <comment ref="C52" authorId="0" shapeId="0" xr:uid="{32D65B94-CCCA-4ABD-8E63-0997DB622E8C}">
      <text>
        <r>
          <rPr>
            <b/>
            <sz val="9"/>
            <color indexed="81"/>
            <rFont val="Tahoma"/>
            <family val="2"/>
          </rPr>
          <t>Y_t</t>
        </r>
      </text>
    </comment>
    <comment ref="D52" authorId="0" shapeId="0" xr:uid="{30167711-C1E9-4E20-AECB-CD4F0EC2CDE0}">
      <text>
        <r>
          <rPr>
            <b/>
            <sz val="9"/>
            <color indexed="81"/>
            <rFont val="Tahoma"/>
            <family val="2"/>
          </rPr>
          <t xml:space="preserve">Y_c(S)
</t>
        </r>
      </text>
    </comment>
    <comment ref="E52" authorId="0" shapeId="0" xr:uid="{9324EA43-75CA-466D-85C3-55A8A905F396}">
      <text>
        <r>
          <rPr>
            <b/>
            <sz val="9"/>
            <color indexed="81"/>
            <rFont val="Tahoma"/>
            <family val="2"/>
          </rPr>
          <t>dY_c/dX(S)</t>
        </r>
      </text>
    </comment>
    <comment ref="F52" authorId="0" shapeId="0" xr:uid="{D7B584FE-DCEF-4B4C-8B4E-344365AF87F9}">
      <text>
        <r>
          <rPr>
            <b/>
            <sz val="9"/>
            <color indexed="81"/>
            <rFont val="Tahoma"/>
            <family val="2"/>
          </rPr>
          <t>Theta(S)</t>
        </r>
      </text>
    </comment>
    <comment ref="G52" authorId="0" shapeId="0" xr:uid="{F1E06330-2155-4904-910B-8C595DE24D24}">
      <text>
        <r>
          <rPr>
            <b/>
            <sz val="9"/>
            <color indexed="81"/>
            <rFont val="Tahoma"/>
            <family val="2"/>
          </rPr>
          <t>Y_c(R)</t>
        </r>
      </text>
    </comment>
    <comment ref="H52" authorId="0" shapeId="0" xr:uid="{DD883971-635D-4698-B895-A81278FF9A82}">
      <text>
        <r>
          <rPr>
            <b/>
            <sz val="9"/>
            <color indexed="81"/>
            <rFont val="Tahoma"/>
            <family val="2"/>
          </rPr>
          <t>dY_c/dX(R)</t>
        </r>
      </text>
    </comment>
    <comment ref="I52" authorId="0" shapeId="0" xr:uid="{0575442C-F83B-472F-8E32-7F6F0CB849E8}">
      <text>
        <r>
          <rPr>
            <b/>
            <sz val="9"/>
            <color indexed="81"/>
            <rFont val="Tahoma"/>
            <family val="2"/>
          </rPr>
          <t>Theta(R)</t>
        </r>
      </text>
    </comment>
    <comment ref="J52" authorId="0" shapeId="0" xr:uid="{FA2ECC3D-4D34-42C9-B564-47DD2F96DB80}">
      <text>
        <r>
          <rPr>
            <b/>
            <sz val="9"/>
            <color indexed="81"/>
            <rFont val="Tahoma"/>
            <family val="2"/>
          </rPr>
          <t>Y_c</t>
        </r>
      </text>
    </comment>
    <comment ref="K52" authorId="0" shapeId="0" xr:uid="{90F82136-6903-46C9-8020-33CCFB795D80}">
      <text>
        <r>
          <rPr>
            <b/>
            <sz val="9"/>
            <color indexed="81"/>
            <rFont val="Tahoma"/>
            <family val="2"/>
          </rPr>
          <t>Theta</t>
        </r>
      </text>
    </comment>
    <comment ref="L52" authorId="0" shapeId="0" xr:uid="{14D1E5D2-FD0F-44E4-9D30-A368FA2BCDD8}">
      <text>
        <r>
          <rPr>
            <b/>
            <sz val="9"/>
            <color indexed="81"/>
            <rFont val="Tahoma"/>
            <family val="2"/>
          </rPr>
          <t>X_l</t>
        </r>
      </text>
    </comment>
    <comment ref="M52" authorId="0" shapeId="0" xr:uid="{C2E164EF-4D2F-4E4E-8672-0454D88BA1DD}">
      <text>
        <r>
          <rPr>
            <b/>
            <sz val="9"/>
            <color indexed="81"/>
            <rFont val="Tahoma"/>
            <family val="2"/>
          </rPr>
          <t>Y_l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Trung Nghĩa Trần</author>
  </authors>
  <commentList>
    <comment ref="A1" authorId="0" shapeId="0" xr:uid="{37167825-AEA7-4BEE-ABBF-EFA213C83CE6}">
      <text>
        <r>
          <rPr>
            <b/>
            <sz val="12"/>
            <color indexed="81"/>
            <rFont val="Tahoma"/>
            <family val="2"/>
          </rPr>
          <t>first digit</t>
        </r>
      </text>
    </comment>
    <comment ref="B1" authorId="0" shapeId="0" xr:uid="{17ED6F80-3A90-4F59-AA24-5FE1B49B9A76}">
      <text>
        <r>
          <rPr>
            <b/>
            <sz val="20"/>
            <color indexed="81"/>
            <rFont val="Tahoma"/>
            <family val="2"/>
          </rPr>
          <t>X</t>
        </r>
      </text>
    </comment>
    <comment ref="C1" authorId="0" shapeId="0" xr:uid="{7191031E-6438-48ED-BE7B-BF645892DAE5}">
      <text>
        <r>
          <rPr>
            <b/>
            <sz val="20"/>
            <color indexed="81"/>
            <rFont val="Tahoma"/>
            <family val="2"/>
          </rPr>
          <t>Y_c</t>
        </r>
      </text>
    </comment>
    <comment ref="D1" authorId="0" shapeId="0" xr:uid="{893248CD-1C4F-46DB-9FEC-866AB930A0EB}">
      <text>
        <r>
          <rPr>
            <b/>
            <sz val="9"/>
            <color indexed="81"/>
            <rFont val="Tahoma"/>
            <family val="2"/>
          </rPr>
          <t>yt+</t>
        </r>
      </text>
    </comment>
    <comment ref="E1" authorId="0" shapeId="0" xr:uid="{4F60964D-767C-468A-AC1A-2366343CAB9E}">
      <text>
        <r>
          <rPr>
            <b/>
            <sz val="20"/>
            <color indexed="81"/>
            <rFont val="Tahoma"/>
            <family val="2"/>
          </rPr>
          <t>dY_c/dX</t>
        </r>
      </text>
    </comment>
    <comment ref="F1" authorId="0" shapeId="0" xr:uid="{E40C79FC-F84E-4389-9EAC-B8D33FD6EEC9}">
      <text>
        <r>
          <rPr>
            <b/>
            <sz val="20"/>
            <color indexed="81"/>
            <rFont val="Tahoma"/>
            <family val="2"/>
          </rPr>
          <t>Theta</t>
        </r>
      </text>
    </comment>
    <comment ref="G1" authorId="0" shapeId="0" xr:uid="{21CAFB6A-EBDF-4E2F-B0C7-A3CAE69C892C}">
      <text>
        <r>
          <rPr>
            <b/>
            <sz val="20"/>
            <color indexed="81"/>
            <rFont val="Tahoma"/>
            <family val="2"/>
          </rPr>
          <t>X_u</t>
        </r>
      </text>
    </comment>
    <comment ref="H1" authorId="0" shapeId="0" xr:uid="{ABD61405-74F1-4286-8AC4-D66ABDC46498}">
      <text>
        <r>
          <rPr>
            <b/>
            <sz val="20"/>
            <color indexed="81"/>
            <rFont val="Tahoma"/>
            <family val="2"/>
          </rPr>
          <t>Y_u</t>
        </r>
      </text>
    </comment>
    <comment ref="J1" authorId="0" shapeId="0" xr:uid="{BFBC752E-AE56-4407-BA0D-5DD768C3BE82}">
      <text>
        <r>
          <rPr>
            <b/>
            <sz val="12"/>
            <color indexed="81"/>
            <rFont val="Tahoma"/>
            <family val="2"/>
          </rPr>
          <t>X chord</t>
        </r>
      </text>
    </comment>
    <comment ref="K1" authorId="0" shapeId="0" xr:uid="{C3B8913B-5C2D-4690-883B-CC954D725E27}">
      <text>
        <r>
          <rPr>
            <b/>
            <sz val="12"/>
            <color indexed="81"/>
            <rFont val="Tahoma"/>
            <family val="2"/>
          </rPr>
          <t xml:space="preserve">Y chord
</t>
        </r>
      </text>
    </comment>
    <comment ref="L1" authorId="0" shapeId="0" xr:uid="{EB13E875-E87B-49CF-8C9F-7F4A269788D5}">
      <text>
        <r>
          <rPr>
            <b/>
            <sz val="12"/>
            <color indexed="81"/>
            <rFont val="Tahoma"/>
            <family val="2"/>
          </rPr>
          <t>X camber</t>
        </r>
      </text>
    </comment>
    <comment ref="M1" authorId="0" shapeId="0" xr:uid="{9B5F5355-56C8-41D6-8E27-965C949FF814}">
      <text>
        <r>
          <rPr>
            <b/>
            <sz val="12"/>
            <color indexed="81"/>
            <rFont val="Tahoma"/>
            <family val="2"/>
          </rPr>
          <t>Y camber</t>
        </r>
      </text>
    </comment>
    <comment ref="N1" authorId="0" shapeId="0" xr:uid="{FCF21DF0-DB80-4D97-A3E7-80598972D34B}">
      <text>
        <r>
          <rPr>
            <b/>
            <sz val="12"/>
            <color indexed="81"/>
            <rFont val="Tahoma"/>
            <family val="2"/>
          </rPr>
          <t xml:space="preserve">X profile
</t>
        </r>
      </text>
    </comment>
    <comment ref="O1" authorId="0" shapeId="0" xr:uid="{B4FFE098-91E2-4F40-9F3C-6CAE8B8275C3}">
      <text>
        <r>
          <rPr>
            <b/>
            <sz val="12"/>
            <color indexed="81"/>
            <rFont val="Tahoma"/>
            <family val="2"/>
          </rPr>
          <t>Y profile</t>
        </r>
      </text>
    </comment>
    <comment ref="Q1" authorId="0" shapeId="0" xr:uid="{494E9738-1E19-47C5-AB93-BCC1C0452000}">
      <text>
        <r>
          <rPr>
            <b/>
            <sz val="9"/>
            <color indexed="81"/>
            <rFont val="Tahoma"/>
            <family val="2"/>
          </rPr>
          <t>I (radius index)</t>
        </r>
      </text>
    </comment>
    <comment ref="R1" authorId="0" shapeId="0" xr:uid="{E4F6096E-1833-4861-90F5-4E124E41E808}">
      <text>
        <r>
          <rPr>
            <b/>
            <sz val="9"/>
            <color indexed="81"/>
            <rFont val="Tahoma"/>
            <family val="2"/>
          </rPr>
          <t xml:space="preserve">m thickness
</t>
        </r>
      </text>
    </comment>
    <comment ref="S1" authorId="0" shapeId="0" xr:uid="{3841D743-030D-4E92-A111-74FB0B9BD9D0}">
      <text>
        <r>
          <rPr>
            <b/>
            <sz val="9"/>
            <color indexed="81"/>
            <rFont val="Tahoma"/>
            <family val="2"/>
          </rPr>
          <t>a0</t>
        </r>
      </text>
    </comment>
    <comment ref="T1" authorId="0" shapeId="0" xr:uid="{02FC17C9-F76A-4D71-9B45-75462567841F}">
      <text>
        <r>
          <rPr>
            <b/>
            <sz val="9"/>
            <color indexed="81"/>
            <rFont val="Tahoma"/>
            <family val="2"/>
          </rPr>
          <t>a1</t>
        </r>
      </text>
    </comment>
    <comment ref="U1" authorId="0" shapeId="0" xr:uid="{0CB6189E-DC73-49E3-A7CF-1BEA987E0B54}">
      <text>
        <r>
          <rPr>
            <b/>
            <sz val="9"/>
            <color indexed="81"/>
            <rFont val="Tahoma"/>
            <family val="2"/>
          </rPr>
          <t>a2</t>
        </r>
      </text>
    </comment>
    <comment ref="V1" authorId="0" shapeId="0" xr:uid="{518952AF-CDFC-4659-A247-E2EC087BEB13}">
      <text>
        <r>
          <rPr>
            <b/>
            <sz val="9"/>
            <color indexed="81"/>
            <rFont val="Tahoma"/>
            <family val="2"/>
          </rPr>
          <t>a3</t>
        </r>
      </text>
    </comment>
    <comment ref="W1" authorId="0" shapeId="0" xr:uid="{89F2022C-E581-4200-8D4E-DC1199BF216E}">
      <text>
        <r>
          <rPr>
            <b/>
            <sz val="9"/>
            <color indexed="81"/>
            <rFont val="Tahoma"/>
            <family val="2"/>
          </rPr>
          <t>d0</t>
        </r>
      </text>
    </comment>
    <comment ref="X1" authorId="0" shapeId="0" xr:uid="{94EA5812-2496-42CE-BA2C-C67B40B16880}">
      <text>
        <r>
          <rPr>
            <b/>
            <sz val="9"/>
            <color indexed="81"/>
            <rFont val="Tahoma"/>
            <family val="2"/>
          </rPr>
          <t>d1</t>
        </r>
      </text>
    </comment>
    <comment ref="Y1" authorId="0" shapeId="0" xr:uid="{CA080217-198F-4E7D-B042-2B5418FB366A}">
      <text>
        <r>
          <rPr>
            <b/>
            <sz val="9"/>
            <color indexed="81"/>
            <rFont val="Tahoma"/>
            <family val="2"/>
          </rPr>
          <t>d2</t>
        </r>
      </text>
    </comment>
    <comment ref="Z1" authorId="0" shapeId="0" xr:uid="{F5DE4203-935E-4931-AC8F-7C18FCA7818C}">
      <text>
        <r>
          <rPr>
            <b/>
            <sz val="9"/>
            <color indexed="81"/>
            <rFont val="Tahoma"/>
            <family val="2"/>
          </rPr>
          <t>d3</t>
        </r>
      </text>
    </comment>
    <comment ref="AA1" authorId="0" shapeId="0" xr:uid="{A6D2C4B9-2515-4336-B695-19EDC3DDFCAA}">
      <text>
        <r>
          <rPr>
            <b/>
            <sz val="9"/>
            <color indexed="81"/>
            <rFont val="Tahoma"/>
            <family val="2"/>
          </rPr>
          <t>R</t>
        </r>
      </text>
    </comment>
    <comment ref="AC1" authorId="0" shapeId="0" xr:uid="{706DC0C9-E700-433E-BE25-FEB9D52923A6}">
      <text>
        <r>
          <rPr>
            <b/>
            <sz val="12"/>
            <color indexed="81"/>
            <rFont val="Tahoma"/>
            <family val="2"/>
          </rPr>
          <t>chord line show</t>
        </r>
      </text>
    </comment>
    <comment ref="AD1" authorId="0" shapeId="0" xr:uid="{23E3EC2E-2116-4431-B291-8D5B3D5CE686}">
      <text>
        <r>
          <rPr>
            <b/>
            <sz val="12"/>
            <color indexed="81"/>
            <rFont val="Tahoma"/>
            <family val="2"/>
          </rPr>
          <t>mean line show</t>
        </r>
      </text>
    </comment>
    <comment ref="AF1" authorId="0" shapeId="0" xr:uid="{09478302-9785-439F-B52D-D83F9CA43808}">
      <text>
        <r>
          <rPr>
            <b/>
            <sz val="9"/>
            <color indexed="81"/>
            <rFont val="Tahoma"/>
            <family val="2"/>
          </rPr>
          <t>alpha</t>
        </r>
      </text>
    </comment>
    <comment ref="AG1" authorId="0" shapeId="0" xr:uid="{5D0A05B4-9D99-4859-B6D3-DD873548E90F}">
      <text>
        <r>
          <rPr>
            <b/>
            <sz val="9"/>
            <color indexed="81"/>
            <rFont val="Tahoma"/>
            <family val="2"/>
          </rPr>
          <t>phi</t>
        </r>
      </text>
    </comment>
    <comment ref="AH1" authorId="0" shapeId="0" xr:uid="{9AAB6E9D-7F66-4E9F-A8CF-FF45417EAA79}">
      <text>
        <r>
          <rPr>
            <b/>
            <sz val="9"/>
            <color indexed="81"/>
            <rFont val="Tahoma"/>
            <family val="2"/>
          </rPr>
          <t>x(phi)</t>
        </r>
      </text>
    </comment>
    <comment ref="AI1" authorId="0" shapeId="0" xr:uid="{175A5266-89F2-4ACD-87AE-A5134D06B567}">
      <text>
        <r>
          <rPr>
            <b/>
            <sz val="9"/>
            <color indexed="81"/>
            <rFont val="Tahoma"/>
            <family val="2"/>
          </rPr>
          <t>y(phi)</t>
        </r>
      </text>
    </comment>
    <comment ref="A2" authorId="0" shapeId="0" xr:uid="{5996256F-DE01-49F2-8D37-6885E8DF2936}">
      <text>
        <r>
          <rPr>
            <b/>
            <sz val="12"/>
            <color indexed="81"/>
            <rFont val="Tahoma"/>
            <family val="2"/>
          </rPr>
          <t>second digit</t>
        </r>
      </text>
    </comment>
    <comment ref="R2" authorId="0" shapeId="0" xr:uid="{533EC4E5-E94D-40BA-A397-2C373D7DB7C4}">
      <text>
        <r>
          <rPr>
            <b/>
            <sz val="9"/>
            <color indexed="81"/>
            <rFont val="Tahoma"/>
            <family val="2"/>
          </rPr>
          <t>thickness position</t>
        </r>
      </text>
    </comment>
    <comment ref="AF2" authorId="0" shapeId="0" xr:uid="{B81A615C-63C7-4A70-B5AE-5D11F0E5AB43}">
      <text>
        <r>
          <rPr>
            <b/>
            <sz val="9"/>
            <color indexed="81"/>
            <rFont val="Tahoma"/>
            <family val="2"/>
          </rPr>
          <t>leading-edge radius</t>
        </r>
      </text>
    </comment>
    <comment ref="A3" authorId="0" shapeId="0" xr:uid="{B0CB5D9A-5636-4D7A-AB68-4CC9B00CC47D}">
      <text>
        <r>
          <rPr>
            <b/>
            <sz val="12"/>
            <color indexed="81"/>
            <rFont val="Tahoma"/>
            <family val="2"/>
          </rPr>
          <t>3,4th digit</t>
        </r>
      </text>
    </comment>
    <comment ref="A5" authorId="0" shapeId="0" xr:uid="{C106524A-B8CC-481B-951A-D057309F860A}">
      <text>
        <r>
          <rPr>
            <b/>
            <sz val="12"/>
            <color indexed="81"/>
            <rFont val="Tahoma"/>
            <family val="2"/>
          </rPr>
          <t>max camber</t>
        </r>
      </text>
    </comment>
    <comment ref="A6" authorId="0" shapeId="0" xr:uid="{6D7857D2-1BB0-4CE8-9DF2-DA5C510F1460}">
      <text>
        <r>
          <rPr>
            <b/>
            <sz val="12"/>
            <color indexed="81"/>
            <rFont val="Tahoma"/>
            <family val="2"/>
          </rPr>
          <t>position max thickness</t>
        </r>
      </text>
    </comment>
    <comment ref="A7" authorId="0" shapeId="0" xr:uid="{9411A109-98C3-4055-9A82-90A63B7FEC8E}">
      <text>
        <r>
          <rPr>
            <b/>
            <sz val="12"/>
            <color indexed="81"/>
            <rFont val="Tahoma"/>
            <family val="2"/>
          </rPr>
          <t>max thickness</t>
        </r>
      </text>
    </comment>
    <comment ref="A9" authorId="0" shapeId="0" xr:uid="{C57D34E6-1881-437C-A560-C4DB975B63E8}">
      <text>
        <r>
          <rPr>
            <b/>
            <sz val="12"/>
            <color indexed="81"/>
            <rFont val="Tahoma"/>
            <family val="2"/>
          </rPr>
          <t>Angle of Attack</t>
        </r>
      </text>
    </comment>
    <comment ref="A10" authorId="0" shapeId="0" xr:uid="{6EDA8B1F-6921-4CED-B2E9-74ADD7484429}">
      <text>
        <r>
          <rPr>
            <b/>
            <sz val="12"/>
            <color indexed="81"/>
            <rFont val="Tahoma"/>
            <family val="2"/>
          </rPr>
          <t>Chord length</t>
        </r>
      </text>
    </comment>
    <comment ref="B52" authorId="0" shapeId="0" xr:uid="{FA61C800-40BD-4088-93A9-0B5460AEE7F5}">
      <text>
        <r>
          <rPr>
            <b/>
            <sz val="20"/>
            <color indexed="81"/>
            <rFont val="Tahoma"/>
            <family val="2"/>
          </rPr>
          <t>X</t>
        </r>
      </text>
    </comment>
    <comment ref="C52" authorId="0" shapeId="0" xr:uid="{D7A7D757-94D7-41CB-826B-668BCC4F75CD}">
      <text>
        <r>
          <rPr>
            <b/>
            <sz val="20"/>
            <color indexed="81"/>
            <rFont val="Tahoma"/>
            <family val="2"/>
          </rPr>
          <t>Y_c</t>
        </r>
      </text>
    </comment>
    <comment ref="D52" authorId="0" shapeId="0" xr:uid="{C0479264-3410-41E2-B2D3-5D959065EF92}">
      <text>
        <r>
          <rPr>
            <b/>
            <sz val="9"/>
            <color indexed="81"/>
            <rFont val="Tahoma"/>
            <family val="2"/>
          </rPr>
          <t>yt+</t>
        </r>
      </text>
    </comment>
    <comment ref="E52" authorId="0" shapeId="0" xr:uid="{7B55C64F-7D21-4392-B8A7-064BE33ECAD3}">
      <text>
        <r>
          <rPr>
            <b/>
            <sz val="20"/>
            <color indexed="81"/>
            <rFont val="Tahoma"/>
            <family val="2"/>
          </rPr>
          <t>dY_c/dX</t>
        </r>
      </text>
    </comment>
    <comment ref="F52" authorId="0" shapeId="0" xr:uid="{6C07BBB9-B9F9-49B9-BB22-C69DF11FEE0C}">
      <text>
        <r>
          <rPr>
            <b/>
            <sz val="20"/>
            <color indexed="81"/>
            <rFont val="Tahoma"/>
            <family val="2"/>
          </rPr>
          <t>Theta</t>
        </r>
      </text>
    </comment>
    <comment ref="G52" authorId="0" shapeId="0" xr:uid="{C6A54467-88A8-4146-983A-F8028B1E6D63}">
      <text>
        <r>
          <rPr>
            <b/>
            <sz val="20"/>
            <color indexed="81"/>
            <rFont val="Tahoma"/>
            <family val="2"/>
          </rPr>
          <t xml:space="preserve">X_l
</t>
        </r>
      </text>
    </comment>
    <comment ref="H52" authorId="0" shapeId="0" xr:uid="{84D4B71F-AB7B-4DD5-B3B9-74DC7A838F67}">
      <text>
        <r>
          <rPr>
            <b/>
            <sz val="20"/>
            <color indexed="81"/>
            <rFont val="Tahoma"/>
            <family val="2"/>
          </rPr>
          <t xml:space="preserve">Y_l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Trung Nghĩa Trần</author>
  </authors>
  <commentList>
    <comment ref="A1" authorId="0" shapeId="0" xr:uid="{4929C8A1-4715-427A-941E-57EBBAC95E10}">
      <text>
        <r>
          <rPr>
            <b/>
            <sz val="9"/>
            <color indexed="81"/>
            <rFont val="Tahoma"/>
            <family val="2"/>
          </rPr>
          <t>first digit</t>
        </r>
      </text>
    </comment>
    <comment ref="B1" authorId="0" shapeId="0" xr:uid="{18713641-51B4-4FB3-98C8-AE5DB1A18C49}">
      <text>
        <r>
          <rPr>
            <b/>
            <sz val="9"/>
            <color indexed="81"/>
            <rFont val="Tahoma"/>
            <family val="2"/>
          </rPr>
          <t>x</t>
        </r>
      </text>
    </comment>
    <comment ref="C1" authorId="0" shapeId="0" xr:uid="{98635191-4B0A-435C-B815-E6F638109440}">
      <text>
        <r>
          <rPr>
            <b/>
            <sz val="9"/>
            <color indexed="81"/>
            <rFont val="Tahoma"/>
            <family val="2"/>
          </rPr>
          <t>Y_t</t>
        </r>
      </text>
    </comment>
    <comment ref="D1" authorId="0" shapeId="0" xr:uid="{B510CAEF-D0DC-46B1-827A-512E2DEB8EE7}">
      <text>
        <r>
          <rPr>
            <b/>
            <sz val="9"/>
            <color indexed="81"/>
            <rFont val="Tahoma"/>
            <family val="2"/>
          </rPr>
          <t xml:space="preserve">Y_c(S)
</t>
        </r>
      </text>
    </comment>
    <comment ref="E1" authorId="0" shapeId="0" xr:uid="{C5354AA1-22B5-48BC-A377-DBE9498F5AB3}">
      <text>
        <r>
          <rPr>
            <b/>
            <sz val="9"/>
            <color indexed="81"/>
            <rFont val="Tahoma"/>
            <family val="2"/>
          </rPr>
          <t>dY_c/dX(S)</t>
        </r>
      </text>
    </comment>
    <comment ref="F1" authorId="0" shapeId="0" xr:uid="{1556D6F1-457A-48AF-911D-73BB6029987B}">
      <text>
        <r>
          <rPr>
            <b/>
            <sz val="9"/>
            <color indexed="81"/>
            <rFont val="Tahoma"/>
            <family val="2"/>
          </rPr>
          <t>Theta(S)</t>
        </r>
      </text>
    </comment>
    <comment ref="G1" authorId="0" shapeId="0" xr:uid="{A2A32CE7-C3EE-4471-837D-C308BE05216A}">
      <text>
        <r>
          <rPr>
            <b/>
            <sz val="9"/>
            <color indexed="81"/>
            <rFont val="Tahoma"/>
            <family val="2"/>
          </rPr>
          <t>X_u</t>
        </r>
      </text>
    </comment>
    <comment ref="H1" authorId="0" shapeId="0" xr:uid="{DE52AB4A-CC3C-4812-BBC3-4166F5ED1F6F}">
      <text>
        <r>
          <rPr>
            <b/>
            <sz val="9"/>
            <color indexed="81"/>
            <rFont val="Tahoma"/>
            <family val="2"/>
          </rPr>
          <t>Y_u</t>
        </r>
      </text>
    </comment>
    <comment ref="J1" authorId="0" shapeId="0" xr:uid="{C1C9185F-E8AB-4E65-95C3-8E53444146BA}">
      <text>
        <r>
          <rPr>
            <b/>
            <sz val="9"/>
            <color indexed="81"/>
            <rFont val="Tahoma"/>
            <family val="2"/>
          </rPr>
          <t>equation_ solve r</t>
        </r>
      </text>
    </comment>
    <comment ref="L1" authorId="0" shapeId="0" xr:uid="{358E6A5A-54D1-4328-B45B-2DEA2854F674}">
      <text>
        <r>
          <rPr>
            <b/>
            <sz val="12"/>
            <color indexed="81"/>
            <rFont val="Tahoma"/>
            <family val="2"/>
          </rPr>
          <t>X chord</t>
        </r>
      </text>
    </comment>
    <comment ref="M1" authorId="0" shapeId="0" xr:uid="{37701750-580A-4DAA-9912-D6B9AFFDC42B}">
      <text>
        <r>
          <rPr>
            <b/>
            <sz val="12"/>
            <color indexed="81"/>
            <rFont val="Tahoma"/>
            <family val="2"/>
          </rPr>
          <t xml:space="preserve">Y chord
</t>
        </r>
      </text>
    </comment>
    <comment ref="N1" authorId="0" shapeId="0" xr:uid="{AD6D8553-93C7-4419-AB18-3CF53703CD78}">
      <text>
        <r>
          <rPr>
            <b/>
            <sz val="12"/>
            <color indexed="81"/>
            <rFont val="Tahoma"/>
            <family val="2"/>
          </rPr>
          <t>X camber</t>
        </r>
      </text>
    </comment>
    <comment ref="O1" authorId="0" shapeId="0" xr:uid="{9CB6DC11-386F-4FD4-8E19-B9D1F2BDFC38}">
      <text>
        <r>
          <rPr>
            <b/>
            <sz val="12"/>
            <color indexed="81"/>
            <rFont val="Tahoma"/>
            <family val="2"/>
          </rPr>
          <t>Y camber</t>
        </r>
      </text>
    </comment>
    <comment ref="P1" authorId="0" shapeId="0" xr:uid="{8FF8E3B9-56E2-4B6E-A0CC-F871FB23B863}">
      <text>
        <r>
          <rPr>
            <b/>
            <sz val="12"/>
            <color indexed="81"/>
            <rFont val="Tahoma"/>
            <family val="2"/>
          </rPr>
          <t xml:space="preserve">X profile
</t>
        </r>
      </text>
    </comment>
    <comment ref="Q1" authorId="0" shapeId="0" xr:uid="{B10964D6-CDDC-4EE0-BE0A-0EA7261094D9}">
      <text>
        <r>
          <rPr>
            <b/>
            <sz val="12"/>
            <color indexed="81"/>
            <rFont val="Tahoma"/>
            <family val="2"/>
          </rPr>
          <t>Y profile</t>
        </r>
      </text>
    </comment>
    <comment ref="S1" authorId="0" shapeId="0" xr:uid="{90BA1478-0D69-45A1-AF2E-5E1AC867AAA5}">
      <text>
        <r>
          <rPr>
            <b/>
            <sz val="9"/>
            <color indexed="81"/>
            <rFont val="Tahoma"/>
            <family val="2"/>
          </rPr>
          <t>I (radius index)</t>
        </r>
      </text>
    </comment>
    <comment ref="T1" authorId="0" shapeId="0" xr:uid="{B9897B7D-782A-427F-B656-A2630ED9B73D}">
      <text>
        <r>
          <rPr>
            <b/>
            <sz val="9"/>
            <color indexed="81"/>
            <rFont val="Tahoma"/>
            <family val="2"/>
          </rPr>
          <t xml:space="preserve">m thickness
</t>
        </r>
      </text>
    </comment>
    <comment ref="U1" authorId="0" shapeId="0" xr:uid="{10EB7B7B-C70D-42DB-9AFB-F673A362D8A3}">
      <text>
        <r>
          <rPr>
            <b/>
            <sz val="9"/>
            <color indexed="81"/>
            <rFont val="Tahoma"/>
            <family val="2"/>
          </rPr>
          <t>a0</t>
        </r>
      </text>
    </comment>
    <comment ref="V1" authorId="0" shapeId="0" xr:uid="{FA35ADA5-9E7A-4123-9414-CFF5C09D7302}">
      <text>
        <r>
          <rPr>
            <b/>
            <sz val="9"/>
            <color indexed="81"/>
            <rFont val="Tahoma"/>
            <family val="2"/>
          </rPr>
          <t>a1</t>
        </r>
      </text>
    </comment>
    <comment ref="W1" authorId="0" shapeId="0" xr:uid="{FB8F32ED-9CCD-4D4C-B1A5-EEC5FFAA7002}">
      <text>
        <r>
          <rPr>
            <b/>
            <sz val="9"/>
            <color indexed="81"/>
            <rFont val="Tahoma"/>
            <family val="2"/>
          </rPr>
          <t>a2</t>
        </r>
      </text>
    </comment>
    <comment ref="X1" authorId="0" shapeId="0" xr:uid="{E499BC81-8FD0-43E5-BF0F-D4EC25D26026}">
      <text>
        <r>
          <rPr>
            <b/>
            <sz val="9"/>
            <color indexed="81"/>
            <rFont val="Tahoma"/>
            <family val="2"/>
          </rPr>
          <t>a3</t>
        </r>
      </text>
    </comment>
    <comment ref="Y1" authorId="0" shapeId="0" xr:uid="{E4F81C0A-CC96-4083-AE06-C8A7B0124D52}">
      <text>
        <r>
          <rPr>
            <b/>
            <sz val="9"/>
            <color indexed="81"/>
            <rFont val="Tahoma"/>
            <family val="2"/>
          </rPr>
          <t>d0</t>
        </r>
      </text>
    </comment>
    <comment ref="Z1" authorId="0" shapeId="0" xr:uid="{368BF6D4-5F83-484A-869D-062366DEEFA6}">
      <text>
        <r>
          <rPr>
            <b/>
            <sz val="9"/>
            <color indexed="81"/>
            <rFont val="Tahoma"/>
            <family val="2"/>
          </rPr>
          <t>d1</t>
        </r>
      </text>
    </comment>
    <comment ref="AA1" authorId="0" shapeId="0" xr:uid="{945D53CF-ADFD-4DAC-AF56-8D947B795687}">
      <text>
        <r>
          <rPr>
            <b/>
            <sz val="9"/>
            <color indexed="81"/>
            <rFont val="Tahoma"/>
            <family val="2"/>
          </rPr>
          <t>d2</t>
        </r>
      </text>
    </comment>
    <comment ref="AB1" authorId="0" shapeId="0" xr:uid="{56F0565B-CE06-4A7A-9251-FA53B1395A6C}">
      <text>
        <r>
          <rPr>
            <b/>
            <sz val="9"/>
            <color indexed="81"/>
            <rFont val="Tahoma"/>
            <family val="2"/>
          </rPr>
          <t>d3</t>
        </r>
      </text>
    </comment>
    <comment ref="AC1" authorId="0" shapeId="0" xr:uid="{EAE64AF7-A6A7-4E01-AA53-CE04D6693E37}">
      <text>
        <r>
          <rPr>
            <b/>
            <sz val="9"/>
            <color indexed="81"/>
            <rFont val="Tahoma"/>
            <family val="2"/>
          </rPr>
          <t>R</t>
        </r>
      </text>
    </comment>
    <comment ref="AF1" authorId="0" shapeId="0" xr:uid="{C2A0A17C-24C7-45D8-BEE7-C7D42E53FE5A}">
      <text>
        <r>
          <rPr>
            <b/>
            <sz val="9"/>
            <color indexed="81"/>
            <rFont val="Tahoma"/>
            <family val="2"/>
          </rPr>
          <t>mean line</t>
        </r>
      </text>
    </comment>
    <comment ref="AH1" authorId="0" shapeId="0" xr:uid="{F3597255-321F-4C1B-ADE5-20CE24F45558}">
      <text>
        <r>
          <rPr>
            <b/>
            <sz val="9"/>
            <color indexed="81"/>
            <rFont val="Tahoma"/>
            <family val="2"/>
          </rPr>
          <t>alpha</t>
        </r>
      </text>
    </comment>
    <comment ref="AI1" authorId="0" shapeId="0" xr:uid="{B1AF8056-F0BE-4468-9CEF-1309DF52EE3B}">
      <text>
        <r>
          <rPr>
            <b/>
            <sz val="9"/>
            <color indexed="81"/>
            <rFont val="Tahoma"/>
            <family val="2"/>
          </rPr>
          <t>phi</t>
        </r>
      </text>
    </comment>
    <comment ref="AJ1" authorId="0" shapeId="0" xr:uid="{C9E4B17C-C925-4475-ADDF-8E9DCFD03C3D}">
      <text>
        <r>
          <rPr>
            <b/>
            <sz val="9"/>
            <color indexed="81"/>
            <rFont val="Tahoma"/>
            <family val="2"/>
          </rPr>
          <t>x(phi)</t>
        </r>
      </text>
    </comment>
    <comment ref="AK1" authorId="0" shapeId="0" xr:uid="{38C33D21-E4F8-44D7-A3A6-9752F2534827}">
      <text>
        <r>
          <rPr>
            <b/>
            <sz val="9"/>
            <color indexed="81"/>
            <rFont val="Tahoma"/>
            <family val="2"/>
          </rPr>
          <t>y(phi)</t>
        </r>
      </text>
    </comment>
    <comment ref="A2" authorId="0" shapeId="0" xr:uid="{4356082D-A80F-46E5-B37D-99861AC042B3}">
      <text>
        <r>
          <rPr>
            <b/>
            <sz val="9"/>
            <color indexed="81"/>
            <rFont val="Tahoma"/>
            <family val="2"/>
          </rPr>
          <t>second digit</t>
        </r>
      </text>
    </comment>
    <comment ref="T2" authorId="0" shapeId="0" xr:uid="{44529826-34F8-4B5A-ABAB-D74DD0A95518}">
      <text>
        <r>
          <rPr>
            <b/>
            <sz val="9"/>
            <color indexed="81"/>
            <rFont val="Tahoma"/>
            <family val="2"/>
          </rPr>
          <t>thickness position</t>
        </r>
      </text>
    </comment>
    <comment ref="AH2" authorId="0" shapeId="0" xr:uid="{28E1CA5A-0739-491A-BAD7-2C8E0E4CCDA9}">
      <text>
        <r>
          <rPr>
            <b/>
            <sz val="9"/>
            <color indexed="81"/>
            <rFont val="Tahoma"/>
            <family val="2"/>
          </rPr>
          <t xml:space="preserve">leading-edge radius
</t>
        </r>
      </text>
    </comment>
    <comment ref="A3" authorId="0" shapeId="0" xr:uid="{04103202-0B3A-453F-B163-B6AF1F4C3360}">
      <text>
        <r>
          <rPr>
            <b/>
            <sz val="9"/>
            <color indexed="81"/>
            <rFont val="Tahoma"/>
            <family val="2"/>
          </rPr>
          <t>4,5th digit</t>
        </r>
      </text>
    </comment>
    <comment ref="A5" authorId="0" shapeId="0" xr:uid="{F8398890-5877-4172-B60D-88A5C93418E3}">
      <text>
        <r>
          <rPr>
            <b/>
            <sz val="9"/>
            <color indexed="81"/>
            <rFont val="Tahoma"/>
            <family val="2"/>
          </rPr>
          <t>p</t>
        </r>
      </text>
    </comment>
    <comment ref="A6" authorId="0" shapeId="0" xr:uid="{903C426F-EF75-48D9-AB3B-0878E43A45F2}">
      <text>
        <r>
          <rPr>
            <b/>
            <sz val="9"/>
            <color indexed="81"/>
            <rFont val="Tahoma"/>
            <family val="2"/>
          </rPr>
          <t>maximum camber</t>
        </r>
      </text>
    </comment>
    <comment ref="A7" authorId="0" shapeId="0" xr:uid="{9F281B97-8CF3-4B77-8AF6-107CCC71A112}">
      <text>
        <r>
          <rPr>
            <b/>
            <sz val="9"/>
            <color indexed="81"/>
            <rFont val="Tahoma"/>
            <family val="2"/>
          </rPr>
          <t>max thickness</t>
        </r>
      </text>
    </comment>
    <comment ref="A8" authorId="0" shapeId="0" xr:uid="{B2E0CFCB-FC0B-4FCA-ACC7-CB695FFE4B95}">
      <text>
        <r>
          <rPr>
            <b/>
            <sz val="9"/>
            <color indexed="81"/>
            <rFont val="Tahoma"/>
            <family val="2"/>
          </rPr>
          <t>lift coefficient</t>
        </r>
      </text>
    </comment>
    <comment ref="A10" authorId="0" shapeId="0" xr:uid="{A30A7662-982A-4077-9216-867A01D3566F}">
      <text>
        <r>
          <rPr>
            <b/>
            <sz val="9"/>
            <color indexed="81"/>
            <rFont val="Tahoma"/>
            <family val="2"/>
          </rPr>
          <t>m(S)</t>
        </r>
      </text>
    </comment>
    <comment ref="A11" authorId="0" shapeId="0" xr:uid="{253F6B3F-6F0E-4008-B47E-E58FDFCC26B4}">
      <text>
        <r>
          <rPr>
            <b/>
            <sz val="9"/>
            <color indexed="81"/>
            <rFont val="Tahoma"/>
            <family val="2"/>
          </rPr>
          <t>N</t>
        </r>
      </text>
    </comment>
    <comment ref="A12" authorId="0" shapeId="0" xr:uid="{2AA2EDB0-258C-411E-83E3-D5182E3429E9}">
      <text>
        <r>
          <rPr>
            <b/>
            <sz val="9"/>
            <color indexed="81"/>
            <rFont val="Tahoma"/>
            <family val="2"/>
          </rPr>
          <t>k1(S)</t>
        </r>
      </text>
    </comment>
    <comment ref="A14" authorId="0" shapeId="0" xr:uid="{EBD46BE3-289C-4235-8C37-374199A79709}">
      <text>
        <r>
          <rPr>
            <b/>
            <sz val="12"/>
            <color indexed="81"/>
            <rFont val="Tahoma"/>
            <family val="2"/>
          </rPr>
          <t>Angle of Attack</t>
        </r>
      </text>
    </comment>
    <comment ref="A15" authorId="0" shapeId="0" xr:uid="{45F8C6A8-4005-4780-ACD4-ADEA91BDBFD6}">
      <text>
        <r>
          <rPr>
            <b/>
            <sz val="12"/>
            <color indexed="81"/>
            <rFont val="Tahoma"/>
            <family val="2"/>
          </rPr>
          <t>Chord length</t>
        </r>
      </text>
    </comment>
    <comment ref="B52" authorId="0" shapeId="0" xr:uid="{5EE74AC6-91AD-4C57-BE49-142E999BFFF5}">
      <text>
        <r>
          <rPr>
            <b/>
            <sz val="9"/>
            <color indexed="81"/>
            <rFont val="Tahoma"/>
            <family val="2"/>
          </rPr>
          <t>x</t>
        </r>
      </text>
    </comment>
    <comment ref="C52" authorId="0" shapeId="0" xr:uid="{94B584A4-7B1F-4C73-815C-48EC8D4DF4BE}">
      <text>
        <r>
          <rPr>
            <b/>
            <sz val="9"/>
            <color indexed="81"/>
            <rFont val="Tahoma"/>
            <family val="2"/>
          </rPr>
          <t>Y_t</t>
        </r>
      </text>
    </comment>
    <comment ref="D52" authorId="0" shapeId="0" xr:uid="{59B9A46F-DA17-46F6-B687-72298CEED73E}">
      <text>
        <r>
          <rPr>
            <b/>
            <sz val="9"/>
            <color indexed="81"/>
            <rFont val="Tahoma"/>
            <family val="2"/>
          </rPr>
          <t xml:space="preserve">Y_c(S)
</t>
        </r>
      </text>
    </comment>
    <comment ref="E52" authorId="0" shapeId="0" xr:uid="{1206D409-239A-46AB-829D-7A90CBB51115}">
      <text>
        <r>
          <rPr>
            <b/>
            <sz val="9"/>
            <color indexed="81"/>
            <rFont val="Tahoma"/>
            <family val="2"/>
          </rPr>
          <t>dY_c/dX(S)</t>
        </r>
      </text>
    </comment>
    <comment ref="F52" authorId="0" shapeId="0" xr:uid="{683AD4AD-3D10-4491-A395-B303E56DC36D}">
      <text>
        <r>
          <rPr>
            <b/>
            <sz val="9"/>
            <color indexed="81"/>
            <rFont val="Tahoma"/>
            <family val="2"/>
          </rPr>
          <t>Theta(S)</t>
        </r>
      </text>
    </comment>
    <comment ref="G52" authorId="0" shapeId="0" xr:uid="{BDF5F03C-8417-41B7-B187-BDCE0396EE83}">
      <text>
        <r>
          <rPr>
            <b/>
            <sz val="9"/>
            <color indexed="81"/>
            <rFont val="Tahoma"/>
            <family val="2"/>
          </rPr>
          <t>X_u</t>
        </r>
      </text>
    </comment>
    <comment ref="H52" authorId="0" shapeId="0" xr:uid="{563E3663-E755-4039-87D6-D1F15BAE9E7F}">
      <text>
        <r>
          <rPr>
            <b/>
            <sz val="9"/>
            <color indexed="81"/>
            <rFont val="Tahoma"/>
            <family val="2"/>
          </rPr>
          <t>Y_u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Trung Nghĩa Trần</author>
  </authors>
  <commentList>
    <comment ref="A1" authorId="0" shapeId="0" xr:uid="{9F6460B0-54AB-4E7B-98BE-3D37B11A682C}">
      <text>
        <r>
          <rPr>
            <b/>
            <sz val="9"/>
            <color indexed="81"/>
            <rFont val="Tahoma"/>
            <family val="2"/>
          </rPr>
          <t>C_li</t>
        </r>
      </text>
    </comment>
    <comment ref="B1" authorId="0" shapeId="0" xr:uid="{C5BDC53C-673C-4346-967F-182CBBC39B43}">
      <text>
        <r>
          <rPr>
            <b/>
            <sz val="20"/>
            <color indexed="81"/>
            <rFont val="Tahoma"/>
            <family val="2"/>
          </rPr>
          <t>X</t>
        </r>
      </text>
    </comment>
    <comment ref="C1" authorId="0" shapeId="0" xr:uid="{9C0C436A-9CF7-4FD7-904E-1A3697175306}">
      <text>
        <r>
          <rPr>
            <b/>
            <sz val="20"/>
            <color indexed="81"/>
            <rFont val="Tahoma"/>
            <family val="2"/>
          </rPr>
          <t>Y_c</t>
        </r>
      </text>
    </comment>
    <comment ref="D1" authorId="0" shapeId="0" xr:uid="{A74BF50B-373E-4B87-B7EF-C5FE44C8FBB7}">
      <text>
        <r>
          <rPr>
            <b/>
            <sz val="9"/>
            <color indexed="81"/>
            <rFont val="Tahoma"/>
            <family val="2"/>
          </rPr>
          <t>yt+</t>
        </r>
      </text>
    </comment>
    <comment ref="E1" authorId="0" shapeId="0" xr:uid="{0D5E0344-EEC9-4944-AF26-D2645C9A90C7}">
      <text>
        <r>
          <rPr>
            <b/>
            <sz val="20"/>
            <color indexed="81"/>
            <rFont val="Tahoma"/>
            <family val="2"/>
          </rPr>
          <t>dY_c/dX</t>
        </r>
      </text>
    </comment>
    <comment ref="F1" authorId="0" shapeId="0" xr:uid="{3D70FD8A-23BB-40D9-9CCD-41991ACD5500}">
      <text>
        <r>
          <rPr>
            <b/>
            <sz val="20"/>
            <color indexed="81"/>
            <rFont val="Tahoma"/>
            <family val="2"/>
          </rPr>
          <t>Theta</t>
        </r>
      </text>
    </comment>
    <comment ref="G1" authorId="0" shapeId="0" xr:uid="{B24BBF3E-F5A0-425D-9940-0FF0EABF578E}">
      <text>
        <r>
          <rPr>
            <b/>
            <sz val="20"/>
            <color indexed="81"/>
            <rFont val="Tahoma"/>
            <family val="2"/>
          </rPr>
          <t>X_u</t>
        </r>
      </text>
    </comment>
    <comment ref="H1" authorId="0" shapeId="0" xr:uid="{64640976-DE28-4D8C-A2A7-332881C9EB97}">
      <text>
        <r>
          <rPr>
            <b/>
            <sz val="20"/>
            <color indexed="81"/>
            <rFont val="Tahoma"/>
            <family val="2"/>
          </rPr>
          <t>Y_u</t>
        </r>
      </text>
    </comment>
    <comment ref="J1" authorId="0" shapeId="0" xr:uid="{29B8989C-6BED-42F9-BEF6-D8BCA770649C}">
      <text>
        <r>
          <rPr>
            <b/>
            <sz val="12"/>
            <color indexed="81"/>
            <rFont val="Tahoma"/>
            <family val="2"/>
          </rPr>
          <t>X chord</t>
        </r>
      </text>
    </comment>
    <comment ref="K1" authorId="0" shapeId="0" xr:uid="{1072E964-4777-4833-B498-6E519391F0C9}">
      <text>
        <r>
          <rPr>
            <b/>
            <sz val="12"/>
            <color indexed="81"/>
            <rFont val="Tahoma"/>
            <family val="2"/>
          </rPr>
          <t xml:space="preserve">Y chord
</t>
        </r>
      </text>
    </comment>
    <comment ref="L1" authorId="0" shapeId="0" xr:uid="{EFFA7FA7-C39A-4EAF-A0C6-63D57BA5D8D2}">
      <text>
        <r>
          <rPr>
            <b/>
            <sz val="12"/>
            <color indexed="81"/>
            <rFont val="Tahoma"/>
            <family val="2"/>
          </rPr>
          <t>X camber</t>
        </r>
      </text>
    </comment>
    <comment ref="M1" authorId="0" shapeId="0" xr:uid="{A4B34AAB-281D-4C8A-B219-30E91C6A4920}">
      <text>
        <r>
          <rPr>
            <b/>
            <sz val="12"/>
            <color indexed="81"/>
            <rFont val="Tahoma"/>
            <family val="2"/>
          </rPr>
          <t>Y camber</t>
        </r>
      </text>
    </comment>
    <comment ref="N1" authorId="0" shapeId="0" xr:uid="{301B9CE8-D031-46B1-819F-C2573DC0864B}">
      <text>
        <r>
          <rPr>
            <b/>
            <sz val="12"/>
            <color indexed="81"/>
            <rFont val="Tahoma"/>
            <family val="2"/>
          </rPr>
          <t xml:space="preserve">X profile
</t>
        </r>
      </text>
    </comment>
    <comment ref="O1" authorId="0" shapeId="0" xr:uid="{06C05AA3-7852-493D-87D5-715292EFB915}">
      <text>
        <r>
          <rPr>
            <b/>
            <sz val="12"/>
            <color indexed="81"/>
            <rFont val="Tahoma"/>
            <family val="2"/>
          </rPr>
          <t>Y profile</t>
        </r>
      </text>
    </comment>
    <comment ref="Q1" authorId="0" shapeId="0" xr:uid="{CB4DA7F8-3BFA-4B1E-82F5-70B0B8B6BB94}">
      <text>
        <r>
          <rPr>
            <b/>
            <sz val="9"/>
            <color indexed="81"/>
            <rFont val="Tahoma"/>
            <family val="2"/>
          </rPr>
          <t>desisgn lift coefficient</t>
        </r>
      </text>
    </comment>
    <comment ref="R1" authorId="0" shapeId="0" xr:uid="{5BDCBCE7-EFA4-4489-B968-10ACDFE6F057}">
      <text>
        <r>
          <rPr>
            <b/>
            <sz val="9"/>
            <color indexed="81"/>
            <rFont val="Tahoma"/>
            <family val="2"/>
          </rPr>
          <t>I</t>
        </r>
      </text>
    </comment>
    <comment ref="S1" authorId="0" shapeId="0" xr:uid="{D8A63E1E-B29E-48BF-B491-96FF27FF127D}">
      <text>
        <r>
          <rPr>
            <b/>
            <sz val="9"/>
            <color indexed="81"/>
            <rFont val="Tahoma"/>
            <family val="2"/>
          </rPr>
          <t>m</t>
        </r>
      </text>
    </comment>
    <comment ref="T1" authorId="0" shapeId="0" xr:uid="{C526E7E6-A930-4D6A-801F-64C93D4ADA3D}">
      <text>
        <r>
          <rPr>
            <b/>
            <sz val="9"/>
            <color indexed="81"/>
            <rFont val="Tahoma"/>
            <family val="2"/>
          </rPr>
          <t>a0</t>
        </r>
      </text>
    </comment>
    <comment ref="U1" authorId="0" shapeId="0" xr:uid="{2B6075E4-5837-4C8A-BEB2-3EC6AF63A2D8}">
      <text>
        <r>
          <rPr>
            <b/>
            <sz val="9"/>
            <color indexed="81"/>
            <rFont val="Tahoma"/>
            <family val="2"/>
          </rPr>
          <t>a1</t>
        </r>
      </text>
    </comment>
    <comment ref="V1" authorId="0" shapeId="0" xr:uid="{7DC2CE72-6B04-46C2-8E4A-ED602E36A26F}">
      <text>
        <r>
          <rPr>
            <b/>
            <sz val="9"/>
            <color indexed="81"/>
            <rFont val="Tahoma"/>
            <family val="2"/>
          </rPr>
          <t>a2</t>
        </r>
      </text>
    </comment>
    <comment ref="W1" authorId="0" shapeId="0" xr:uid="{D3266E6C-94A1-451E-A9D6-865F5FD5B290}">
      <text>
        <r>
          <rPr>
            <b/>
            <sz val="9"/>
            <color indexed="81"/>
            <rFont val="Tahoma"/>
            <family val="2"/>
          </rPr>
          <t>a3</t>
        </r>
      </text>
    </comment>
    <comment ref="X1" authorId="0" shapeId="0" xr:uid="{C0A62053-DB25-47F2-A03B-0B3A888909AB}">
      <text>
        <r>
          <rPr>
            <b/>
            <sz val="9"/>
            <color indexed="81"/>
            <rFont val="Tahoma"/>
            <family val="2"/>
          </rPr>
          <t>d0</t>
        </r>
      </text>
    </comment>
    <comment ref="Y1" authorId="0" shapeId="0" xr:uid="{5817A1AD-1B83-457F-992F-05CB6A130C4F}">
      <text>
        <r>
          <rPr>
            <b/>
            <sz val="9"/>
            <color indexed="81"/>
            <rFont val="Tahoma"/>
            <family val="2"/>
          </rPr>
          <t>d1</t>
        </r>
      </text>
    </comment>
    <comment ref="Z1" authorId="0" shapeId="0" xr:uid="{BA3F76AA-EF70-4D64-8B65-7B6C89F81FC5}">
      <text>
        <r>
          <rPr>
            <b/>
            <sz val="9"/>
            <color indexed="81"/>
            <rFont val="Tahoma"/>
            <family val="2"/>
          </rPr>
          <t>d2</t>
        </r>
      </text>
    </comment>
    <comment ref="AA1" authorId="0" shapeId="0" xr:uid="{05B22E0B-0574-425D-B281-B49FC2312F87}">
      <text>
        <r>
          <rPr>
            <b/>
            <sz val="9"/>
            <color indexed="81"/>
            <rFont val="Tahoma"/>
            <family val="2"/>
          </rPr>
          <t>d3</t>
        </r>
      </text>
    </comment>
    <comment ref="AB1" authorId="0" shapeId="0" xr:uid="{F58E50CD-C3A2-4659-B76D-3E75683B758E}">
      <text>
        <r>
          <rPr>
            <b/>
            <sz val="9"/>
            <color indexed="81"/>
            <rFont val="Tahoma"/>
            <family val="2"/>
          </rPr>
          <t>rho1</t>
        </r>
      </text>
    </comment>
    <comment ref="AE1" authorId="0" shapeId="0" xr:uid="{19677F17-1911-4564-9A72-1BECAB0E9605}">
      <text>
        <r>
          <rPr>
            <b/>
            <sz val="9"/>
            <color indexed="81"/>
            <rFont val="Tahoma"/>
            <family val="2"/>
          </rPr>
          <t>mean line</t>
        </r>
      </text>
    </comment>
    <comment ref="AG1" authorId="0" shapeId="0" xr:uid="{28AAF63C-A05D-45E5-A361-417A83CFF8DD}">
      <text>
        <r>
          <rPr>
            <b/>
            <sz val="9"/>
            <color indexed="81"/>
            <rFont val="Tahoma"/>
            <family val="2"/>
          </rPr>
          <t>alpha</t>
        </r>
      </text>
    </comment>
    <comment ref="AH1" authorId="0" shapeId="0" xr:uid="{DE6460DB-188A-4796-B424-A12D58CC21EC}">
      <text>
        <r>
          <rPr>
            <b/>
            <sz val="9"/>
            <color indexed="81"/>
            <rFont val="Tahoma"/>
            <family val="2"/>
          </rPr>
          <t>phi</t>
        </r>
      </text>
    </comment>
    <comment ref="AI1" authorId="0" shapeId="0" xr:uid="{AFF6A872-29E7-4E3A-A0D3-71A7FA0408D0}">
      <text>
        <r>
          <rPr>
            <b/>
            <sz val="9"/>
            <color indexed="81"/>
            <rFont val="Tahoma"/>
            <family val="2"/>
          </rPr>
          <t>x(phi)</t>
        </r>
      </text>
    </comment>
    <comment ref="AJ1" authorId="0" shapeId="0" xr:uid="{82514459-C2C4-4F91-867F-7CAB0A430383}">
      <text>
        <r>
          <rPr>
            <b/>
            <sz val="9"/>
            <color indexed="81"/>
            <rFont val="Tahoma"/>
            <family val="2"/>
          </rPr>
          <t>y(phi)</t>
        </r>
      </text>
    </comment>
    <comment ref="A2" authorId="0" shapeId="0" xr:uid="{F0DBAB42-A5C5-4FC9-905D-B6561C062DED}">
      <text>
        <r>
          <rPr>
            <b/>
            <sz val="9"/>
            <color indexed="81"/>
            <rFont val="Tahoma"/>
            <family val="2"/>
          </rPr>
          <t>t</t>
        </r>
      </text>
    </comment>
    <comment ref="AG2" authorId="0" shapeId="0" xr:uid="{90924714-3773-46B6-95CF-234EB80A195B}">
      <text>
        <r>
          <rPr>
            <b/>
            <sz val="9"/>
            <color indexed="81"/>
            <rFont val="Tahoma"/>
            <family val="2"/>
          </rPr>
          <t>leading-edge radius</t>
        </r>
      </text>
    </comment>
    <comment ref="A4" authorId="0" shapeId="0" xr:uid="{DF41AB72-C203-48AB-BEDC-51DE8AA020D5}">
      <text>
        <r>
          <rPr>
            <b/>
            <sz val="9"/>
            <color indexed="81"/>
            <rFont val="Tahoma"/>
            <family val="2"/>
          </rPr>
          <t>1st digit</t>
        </r>
      </text>
    </comment>
    <comment ref="A5" authorId="0" shapeId="0" xr:uid="{633FD628-3CD9-4860-BC37-E5153B9A94F4}">
      <text>
        <r>
          <rPr>
            <b/>
            <sz val="9"/>
            <color indexed="81"/>
            <rFont val="Tahoma"/>
            <family val="2"/>
          </rPr>
          <t>2nd,3th digit</t>
        </r>
      </text>
    </comment>
    <comment ref="A7" authorId="0" shapeId="0" xr:uid="{6FBABC34-B2F2-45BB-ABA6-053DD41CCC05}">
      <text>
        <r>
          <rPr>
            <b/>
            <sz val="9"/>
            <color indexed="81"/>
            <rFont val="Tahoma"/>
            <family val="2"/>
          </rPr>
          <t>angle of attack</t>
        </r>
      </text>
    </comment>
    <comment ref="A8" authorId="0" shapeId="0" xr:uid="{4DE061DD-F208-4194-AD81-57C7D9F15C7B}">
      <text>
        <r>
          <rPr>
            <b/>
            <sz val="9"/>
            <color indexed="81"/>
            <rFont val="Tahoma"/>
            <family val="2"/>
          </rPr>
          <t>chord length</t>
        </r>
      </text>
    </comment>
    <comment ref="B52" authorId="0" shapeId="0" xr:uid="{61F23794-2B2E-4485-BDFA-2FC89B1AFA75}">
      <text>
        <r>
          <rPr>
            <b/>
            <sz val="20"/>
            <color indexed="81"/>
            <rFont val="Tahoma"/>
            <family val="2"/>
          </rPr>
          <t>X</t>
        </r>
      </text>
    </comment>
    <comment ref="C52" authorId="0" shapeId="0" xr:uid="{C3AD736E-E92A-41DF-9203-BEB12F1499CA}">
      <text>
        <r>
          <rPr>
            <b/>
            <sz val="20"/>
            <color indexed="81"/>
            <rFont val="Tahoma"/>
            <family val="2"/>
          </rPr>
          <t>Y_c</t>
        </r>
      </text>
    </comment>
    <comment ref="D52" authorId="0" shapeId="0" xr:uid="{620541CB-FC55-4845-AED7-953BBBC657A8}">
      <text>
        <r>
          <rPr>
            <b/>
            <sz val="9"/>
            <color indexed="81"/>
            <rFont val="Tahoma"/>
            <family val="2"/>
          </rPr>
          <t>yt+</t>
        </r>
      </text>
    </comment>
    <comment ref="E52" authorId="0" shapeId="0" xr:uid="{F3A54C7C-A832-4F20-8437-16F5360143F4}">
      <text>
        <r>
          <rPr>
            <b/>
            <sz val="20"/>
            <color indexed="81"/>
            <rFont val="Tahoma"/>
            <family val="2"/>
          </rPr>
          <t>dY_c/dX</t>
        </r>
      </text>
    </comment>
    <comment ref="F52" authorId="0" shapeId="0" xr:uid="{7DB88FCA-A7AA-4E8E-A3CD-062C6175FAE4}">
      <text>
        <r>
          <rPr>
            <b/>
            <sz val="20"/>
            <color indexed="81"/>
            <rFont val="Tahoma"/>
            <family val="2"/>
          </rPr>
          <t>Theta</t>
        </r>
      </text>
    </comment>
    <comment ref="G52" authorId="0" shapeId="0" xr:uid="{9BC7A213-89AE-4ECD-A011-F3B470F4C9B9}">
      <text>
        <r>
          <rPr>
            <b/>
            <sz val="20"/>
            <color indexed="81"/>
            <rFont val="Tahoma"/>
            <family val="2"/>
          </rPr>
          <t xml:space="preserve">X_l
</t>
        </r>
      </text>
    </comment>
    <comment ref="H52" authorId="0" shapeId="0" xr:uid="{3D7C0B31-6B27-4963-9F1D-455F411EE0DF}">
      <text>
        <r>
          <rPr>
            <b/>
            <sz val="20"/>
            <color indexed="81"/>
            <rFont val="Tahoma"/>
            <family val="2"/>
          </rPr>
          <t xml:space="preserve">Y_l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Trung Nghĩa Trần</author>
  </authors>
  <commentList>
    <comment ref="A1" authorId="0" shapeId="0" xr:uid="{B074A7B2-37F8-4959-82A6-7FD6CBBB4736}">
      <text>
        <r>
          <rPr>
            <b/>
            <sz val="9"/>
            <color indexed="81"/>
            <rFont val="Tahoma"/>
            <family val="2"/>
          </rPr>
          <t>position of minimum pressure (digit)</t>
        </r>
      </text>
    </comment>
    <comment ref="S1" authorId="0" shapeId="0" xr:uid="{227EC9A2-BB8A-4B87-85CA-BB4134E80196}">
      <text>
        <r>
          <rPr>
            <b/>
            <sz val="12"/>
            <color indexed="81"/>
            <rFont val="Tahoma"/>
            <family val="2"/>
          </rPr>
          <t>MEAN LINE
(C_l=0.2)</t>
        </r>
      </text>
    </comment>
    <comment ref="T1" authorId="0" shapeId="0" xr:uid="{F981EDE4-6715-4FCA-8588-62814F696FE4}">
      <text>
        <r>
          <rPr>
            <b/>
            <sz val="12"/>
            <color indexed="81"/>
            <rFont val="Tahoma"/>
            <family val="2"/>
          </rPr>
          <t>dY_c/dX (C_l=0.2)</t>
        </r>
      </text>
    </comment>
    <comment ref="U1" authorId="0" shapeId="0" xr:uid="{B6F26F26-420E-46E7-BA65-2B7C85D8B1C6}">
      <text>
        <r>
          <rPr>
            <b/>
            <sz val="12"/>
            <color indexed="81"/>
            <rFont val="Tahoma"/>
            <family val="2"/>
          </rPr>
          <t>Theta (C_l=0.2)</t>
        </r>
      </text>
    </comment>
    <comment ref="W1" authorId="0" shapeId="0" xr:uid="{063B01F7-4823-47C3-ACD0-445BADC6C539}">
      <text>
        <r>
          <rPr>
            <b/>
            <sz val="10"/>
            <color indexed="81"/>
            <rFont val="Tahoma"/>
            <family val="2"/>
          </rPr>
          <t>63-series thickness</t>
        </r>
      </text>
    </comment>
    <comment ref="X1" authorId="0" shapeId="0" xr:uid="{2D98656F-0514-4E86-A885-F47032D3F769}">
      <text>
        <r>
          <rPr>
            <b/>
            <sz val="10"/>
            <color indexed="81"/>
            <rFont val="Tahoma"/>
            <family val="2"/>
          </rPr>
          <t>64-series thickness</t>
        </r>
      </text>
    </comment>
    <comment ref="Y1" authorId="0" shapeId="0" xr:uid="{E04844B1-BB7B-4A7C-9558-B17A86E68638}">
      <text>
        <r>
          <rPr>
            <b/>
            <sz val="10"/>
            <color indexed="81"/>
            <rFont val="Tahoma"/>
            <family val="2"/>
          </rPr>
          <t>65-series thickness</t>
        </r>
      </text>
    </comment>
    <comment ref="Z1" authorId="0" shapeId="0" xr:uid="{11746A6B-DCDF-4E8C-9FE7-ED1B97F78CBE}">
      <text>
        <r>
          <rPr>
            <b/>
            <sz val="10"/>
            <color indexed="81"/>
            <rFont val="Tahoma"/>
            <family val="2"/>
          </rPr>
          <t>66-series thickness</t>
        </r>
      </text>
    </comment>
    <comment ref="AA1" authorId="0" shapeId="0" xr:uid="{76FC04BA-224B-42BD-9C81-935AA402F321}">
      <text>
        <r>
          <rPr>
            <b/>
            <sz val="10"/>
            <color indexed="81"/>
            <rFont val="Tahoma"/>
            <family val="2"/>
          </rPr>
          <t>67-series thickness</t>
        </r>
      </text>
    </comment>
    <comment ref="AB1" authorId="0" shapeId="0" xr:uid="{5A1D5FEE-1643-44D8-A7DA-D241765975CF}">
      <text>
        <r>
          <rPr>
            <b/>
            <sz val="10"/>
            <color indexed="81"/>
            <rFont val="Tahoma"/>
            <family val="2"/>
          </rPr>
          <t>63a-series thickness</t>
        </r>
      </text>
    </comment>
    <comment ref="AC1" authorId="0" shapeId="0" xr:uid="{677F0E80-CC49-4D6E-AF75-C9271358C23B}">
      <text>
        <r>
          <rPr>
            <b/>
            <sz val="10"/>
            <color indexed="81"/>
            <rFont val="Tahoma"/>
            <family val="2"/>
          </rPr>
          <t>64a-series thickness</t>
        </r>
      </text>
    </comment>
    <comment ref="AE1" authorId="0" shapeId="0" xr:uid="{4A9E259A-5B3B-476C-A97F-83DF18E69180}">
      <text>
        <r>
          <rPr>
            <b/>
            <sz val="12"/>
            <color indexed="81"/>
            <rFont val="Tahoma"/>
            <family val="2"/>
          </rPr>
          <t>g(a)</t>
        </r>
      </text>
    </comment>
    <comment ref="AF1" authorId="0" shapeId="0" xr:uid="{AE130ECF-F03B-4DC9-9989-0E13A8955523}">
      <text>
        <r>
          <rPr>
            <b/>
            <sz val="16"/>
            <color indexed="81"/>
            <rFont val="Tahoma"/>
            <family val="2"/>
          </rPr>
          <t>X</t>
        </r>
      </text>
    </comment>
    <comment ref="AG1" authorId="0" shapeId="0" xr:uid="{F9CB57D9-C5B1-4F83-94F5-91870A36BB29}">
      <text>
        <r>
          <rPr>
            <b/>
            <sz val="12"/>
            <color indexed="81"/>
            <rFont val="Tahoma"/>
            <family val="2"/>
          </rPr>
          <t>MEAN LINE a=1</t>
        </r>
      </text>
    </comment>
    <comment ref="AH1" authorId="0" shapeId="0" xr:uid="{F65BBB24-AF94-4368-87BF-F44E395386FB}">
      <text>
        <r>
          <rPr>
            <b/>
            <sz val="12"/>
            <color indexed="81"/>
            <rFont val="Tahoma"/>
            <family val="2"/>
          </rPr>
          <t>MEAN LINE a&lt;&gt;1</t>
        </r>
      </text>
    </comment>
    <comment ref="AI1" authorId="0" shapeId="0" xr:uid="{04473840-F118-4BEA-B5BF-BCAE9AB3F258}">
      <text>
        <r>
          <rPr>
            <b/>
            <sz val="12"/>
            <color indexed="81"/>
            <rFont val="Tahoma"/>
            <family val="2"/>
          </rPr>
          <t>MEAN LINE</t>
        </r>
      </text>
    </comment>
    <comment ref="AJ1" authorId="0" shapeId="0" xr:uid="{13DBDB15-BDCA-42C2-9868-A26184271528}">
      <text>
        <r>
          <rPr>
            <b/>
            <sz val="12"/>
            <color indexed="81"/>
            <rFont val="Tahoma"/>
            <family val="2"/>
          </rPr>
          <t>dY_c/dX a=1</t>
        </r>
      </text>
    </comment>
    <comment ref="AK1" authorId="0" shapeId="0" xr:uid="{135E9FC5-D612-40F6-8057-29C214F7E839}">
      <text>
        <r>
          <rPr>
            <b/>
            <sz val="12"/>
            <color indexed="81"/>
            <rFont val="Tahoma"/>
            <family val="2"/>
          </rPr>
          <t>dY_c/dX a&lt;&gt;1</t>
        </r>
      </text>
    </comment>
    <comment ref="AL1" authorId="0" shapeId="0" xr:uid="{EAE6B2BE-99D3-4C5D-A9EF-A6F5CEAE488C}">
      <text>
        <r>
          <rPr>
            <b/>
            <sz val="12"/>
            <color indexed="81"/>
            <rFont val="Tahoma"/>
            <family val="2"/>
          </rPr>
          <t xml:space="preserve">dY_c/dX </t>
        </r>
      </text>
    </comment>
    <comment ref="AM1" authorId="0" shapeId="0" xr:uid="{4A2BC25E-5579-452E-9EFE-2422EC80B28A}">
      <text>
        <r>
          <rPr>
            <b/>
            <sz val="12"/>
            <color indexed="81"/>
            <rFont val="Tahoma"/>
            <family val="2"/>
          </rPr>
          <t>THICKNESS</t>
        </r>
      </text>
    </comment>
    <comment ref="AN1" authorId="0" shapeId="0" xr:uid="{A67F4EE9-AB06-4C39-89D5-F057304D907F}">
      <text>
        <r>
          <rPr>
            <b/>
            <sz val="12"/>
            <color indexed="81"/>
            <rFont val="Tahoma"/>
            <family val="2"/>
          </rPr>
          <t>Theta</t>
        </r>
      </text>
    </comment>
    <comment ref="AO1" authorId="0" shapeId="0" xr:uid="{0631BE78-6161-4CE1-BF02-81FA32C52549}">
      <text>
        <r>
          <rPr>
            <b/>
            <sz val="12"/>
            <color indexed="81"/>
            <rFont val="Tahoma"/>
            <family val="2"/>
          </rPr>
          <t>X profile</t>
        </r>
      </text>
    </comment>
    <comment ref="AP1" authorId="0" shapeId="0" xr:uid="{F07BF702-A4B8-435D-98B4-738735D424F3}">
      <text>
        <r>
          <rPr>
            <b/>
            <sz val="12"/>
            <color indexed="81"/>
            <rFont val="Tahoma"/>
            <family val="2"/>
          </rPr>
          <t>Y profile</t>
        </r>
      </text>
    </comment>
    <comment ref="AR1" authorId="0" shapeId="0" xr:uid="{180D541F-B5C2-4216-993B-643E0F17BF1E}">
      <text>
        <r>
          <rPr>
            <b/>
            <sz val="12"/>
            <color indexed="81"/>
            <rFont val="Tahoma"/>
            <family val="2"/>
          </rPr>
          <t>X CHORD</t>
        </r>
      </text>
    </comment>
    <comment ref="AS1" authorId="0" shapeId="0" xr:uid="{424682B7-43A7-4D26-9CA0-4212905D6269}">
      <text>
        <r>
          <rPr>
            <b/>
            <sz val="12"/>
            <color indexed="81"/>
            <rFont val="Tahoma"/>
            <family val="2"/>
          </rPr>
          <t>Y CHORD</t>
        </r>
      </text>
    </comment>
    <comment ref="AT1" authorId="0" shapeId="0" xr:uid="{7EB4FC73-06AC-4515-83D3-2B0374291C0C}">
      <text>
        <r>
          <rPr>
            <b/>
            <sz val="12"/>
            <color indexed="81"/>
            <rFont val="Tahoma"/>
            <family val="2"/>
          </rPr>
          <t>X MEAN LINE</t>
        </r>
      </text>
    </comment>
    <comment ref="AU1" authorId="0" shapeId="0" xr:uid="{857316B5-56B7-439B-8F2A-A4CDC675564C}">
      <text>
        <r>
          <rPr>
            <b/>
            <sz val="12"/>
            <color indexed="81"/>
            <rFont val="Tahoma"/>
            <family val="2"/>
          </rPr>
          <t>Y MEAN LINE</t>
        </r>
      </text>
    </comment>
    <comment ref="AV1" authorId="0" shapeId="0" xr:uid="{47D9BDE2-F5C7-43EA-8AD4-B39773DE715F}">
      <text>
        <r>
          <rPr>
            <b/>
            <sz val="12"/>
            <color indexed="81"/>
            <rFont val="Tahoma"/>
            <family val="2"/>
          </rPr>
          <t>X PROFILE</t>
        </r>
      </text>
    </comment>
    <comment ref="AW1" authorId="0" shapeId="0" xr:uid="{6BBCF545-1037-4788-B477-F15136400110}">
      <text>
        <r>
          <rPr>
            <b/>
            <sz val="12"/>
            <color indexed="81"/>
            <rFont val="Tahoma"/>
            <family val="2"/>
          </rPr>
          <t>Y PROFILE</t>
        </r>
      </text>
    </comment>
    <comment ref="AZ1" authorId="0" shapeId="0" xr:uid="{8AE84371-DB15-49E9-AFA6-F4E152ABB7EB}">
      <text>
        <r>
          <rPr>
            <b/>
            <sz val="9"/>
            <color indexed="81"/>
            <rFont val="Tahoma"/>
            <family val="2"/>
          </rPr>
          <t>chord line show</t>
        </r>
      </text>
    </comment>
    <comment ref="BA1" authorId="0" shapeId="0" xr:uid="{19629FF1-4EF5-4AC8-BBF1-F07A13BA9EB6}">
      <text>
        <r>
          <rPr>
            <b/>
            <sz val="9"/>
            <color indexed="81"/>
            <rFont val="Tahoma"/>
            <family val="2"/>
          </rPr>
          <t>mean line show</t>
        </r>
      </text>
    </comment>
    <comment ref="BB1" authorId="0" shapeId="0" xr:uid="{D63BD20B-3E4E-442F-A624-913403733578}">
      <text>
        <r>
          <rPr>
            <b/>
            <sz val="12"/>
            <color indexed="81"/>
            <rFont val="Tahoma"/>
            <family val="2"/>
          </rPr>
          <t>T,E ANGLE</t>
        </r>
      </text>
    </comment>
    <comment ref="A2" authorId="0" shapeId="0" xr:uid="{99FD6E33-18E8-4406-B229-324DA95684D5}">
      <text>
        <r>
          <rPr>
            <b/>
            <sz val="9"/>
            <color indexed="81"/>
            <rFont val="Tahoma"/>
            <family val="2"/>
          </rPr>
          <t>design lift coefficient (digit)</t>
        </r>
      </text>
    </comment>
    <comment ref="AE2" authorId="0" shapeId="0" xr:uid="{8879C10E-866A-443B-B7DF-70282D2A0DBB}">
      <text>
        <r>
          <rPr>
            <b/>
            <sz val="12"/>
            <color indexed="81"/>
            <rFont val="Tahoma"/>
            <family val="2"/>
          </rPr>
          <t>h(a)</t>
        </r>
      </text>
    </comment>
    <comment ref="A3" authorId="0" shapeId="0" xr:uid="{C73D2F1E-C5D1-4CDE-9B1F-D1D59B069E3A}">
      <text>
        <r>
          <rPr>
            <b/>
            <sz val="9"/>
            <color indexed="81"/>
            <rFont val="Tahoma"/>
            <family val="2"/>
          </rPr>
          <t>maximum thickness (digit)</t>
        </r>
      </text>
    </comment>
    <comment ref="AE3" authorId="0" shapeId="0" xr:uid="{D080F81E-CAF5-40DC-9B5F-5353E87A1A10}">
      <text>
        <r>
          <rPr>
            <b/>
            <sz val="9"/>
            <color indexed="81"/>
            <rFont val="Tahoma"/>
            <family val="2"/>
          </rPr>
          <t>coefficient</t>
        </r>
      </text>
    </comment>
    <comment ref="A4" authorId="0" shapeId="0" xr:uid="{0ADB3A16-7209-4438-BCF0-D12575FBDE12}">
      <text>
        <r>
          <rPr>
            <b/>
            <sz val="10"/>
            <color indexed="81"/>
            <rFont val="Tahoma"/>
            <family val="2"/>
          </rPr>
          <t>mean-line loading (input)</t>
        </r>
      </text>
    </comment>
    <comment ref="A6" authorId="0" shapeId="0" xr:uid="{8ADA355D-2C7E-4FE0-83D4-A22B4BCD8D48}">
      <text>
        <r>
          <rPr>
            <b/>
            <sz val="9"/>
            <color indexed="81"/>
            <rFont val="Tahoma"/>
            <family val="2"/>
          </rPr>
          <t xml:space="preserve">position of minimum pressure </t>
        </r>
      </text>
    </comment>
    <comment ref="A7" authorId="0" shapeId="0" xr:uid="{F0D3DFDC-3013-4821-BCE5-0BC366BD9EDD}">
      <text>
        <r>
          <rPr>
            <b/>
            <sz val="9"/>
            <color indexed="81"/>
            <rFont val="Tahoma"/>
            <family val="2"/>
          </rPr>
          <t>design lift coefficient</t>
        </r>
      </text>
    </comment>
    <comment ref="A8" authorId="0" shapeId="0" xr:uid="{86E48D0D-EF61-4030-B911-00325F777D4F}">
      <text>
        <r>
          <rPr>
            <b/>
            <sz val="9"/>
            <color indexed="81"/>
            <rFont val="Tahoma"/>
            <family val="2"/>
          </rPr>
          <t>maximum thickness</t>
        </r>
      </text>
    </comment>
    <comment ref="A9" authorId="0" shapeId="0" xr:uid="{F8A46079-838A-4269-B322-27CCC97CD302}">
      <text>
        <r>
          <rPr>
            <b/>
            <sz val="10"/>
            <color indexed="81"/>
            <rFont val="Tahoma"/>
            <family val="2"/>
          </rPr>
          <t>mean-line loading</t>
        </r>
      </text>
    </comment>
    <comment ref="A11" authorId="0" shapeId="0" xr:uid="{3F286F5D-F8AF-48B6-A864-6717F12252CC}">
      <text>
        <r>
          <rPr>
            <b/>
            <sz val="9"/>
            <color indexed="81"/>
            <rFont val="Tahoma"/>
            <family val="2"/>
          </rPr>
          <t>angle of attack</t>
        </r>
      </text>
    </comment>
    <comment ref="A12" authorId="0" shapeId="0" xr:uid="{970A8709-262A-4F3D-A566-275B8A2853CD}">
      <text>
        <r>
          <rPr>
            <b/>
            <sz val="9"/>
            <color indexed="81"/>
            <rFont val="Tahoma"/>
            <family val="2"/>
          </rPr>
          <t>chord length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E2EF0D2-C18D-42F8-B775-72F00AF1B8F3}" keepAlive="1" name="Query - n63210 dat" description="Connection to the 'n63210 dat' query in the workbook." type="5" refreshedVersion="0" background="1">
    <dbPr connection="Provider=Microsoft.Mashup.OleDb.1;Data Source=$Workbook$;Location=&quot;n63210 dat&quot;;Extended Properties=&quot;&quot;" command="SELECT * FROM [n63210 dat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<sst xmlns="http://schemas.openxmlformats.org/spreadsheetml/2006/main" count="69" uniqueCount="33">
  <si>
    <t>Leading-Edge Radius</t>
  </si>
  <si>
    <t>Name</t>
  </si>
  <si>
    <t xml:space="preserve">Maximum Camber </t>
  </si>
  <si>
    <t>Position of  Camber</t>
  </si>
  <si>
    <t xml:space="preserve">Name </t>
  </si>
  <si>
    <t>Position of Camber</t>
  </si>
  <si>
    <t>Position of Maximum Thickness</t>
  </si>
  <si>
    <t>Maximum Thickness</t>
  </si>
  <si>
    <t xml:space="preserve">Maximum Thickness </t>
  </si>
  <si>
    <t xml:space="preserve">Position of Camber </t>
  </si>
  <si>
    <t>Leading-edge Radius Index</t>
  </si>
  <si>
    <t>Maximum Camber</t>
  </si>
  <si>
    <t>Leading-edge Index</t>
  </si>
  <si>
    <t>Design Lift Coefficient</t>
  </si>
  <si>
    <t>All dimensions are nomalized by the chord length c</t>
  </si>
  <si>
    <t>Leading-edge Radius</t>
  </si>
  <si>
    <t>Chord Length (mm)</t>
  </si>
  <si>
    <t xml:space="preserve"> </t>
  </si>
  <si>
    <t>Position of Minimum Pressure</t>
  </si>
  <si>
    <t>Series</t>
  </si>
  <si>
    <t>64A</t>
  </si>
  <si>
    <t>63A</t>
  </si>
  <si>
    <t>Angle of Attack (deg)</t>
  </si>
  <si>
    <t>Trailing-Edge Angle (deg)</t>
  </si>
  <si>
    <t xml:space="preserve">Trailing-Edge Angle (deg) </t>
  </si>
  <si>
    <t>Trailing-edge Angle (deg)</t>
  </si>
  <si>
    <t>Trailing-edge angle (deg)</t>
  </si>
  <si>
    <t>Symmetrical Profile</t>
  </si>
  <si>
    <t>Cambered Profile</t>
  </si>
  <si>
    <t>Standard Camber</t>
  </si>
  <si>
    <t>Reflexed Camber</t>
  </si>
  <si>
    <t>Mean-line Loading</t>
  </si>
  <si>
    <t>Camber-line Designation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</si>
</sst>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164" formatCode="#,##0.0000"/>
    <numFmt numFmtId="165" formatCode="0.0000"/>
    <numFmt numFmtId="166" formatCode="0.000000"/>
    <numFmt numFmtId="167" formatCode="0.000"/>
    <numFmt numFmtId="168" formatCode="0.0"/>
    <numFmt numFmtId="169" formatCode="####\-##"/>
    <numFmt numFmtId="170" formatCode="&quot;NACA &quot;0000"/>
    <numFmt numFmtId="171" formatCode="&quot;NACA &quot;00000"/>
    <numFmt numFmtId="172" formatCode="&quot;NACA &quot;####\-##"/>
    <numFmt numFmtId="173" formatCode="0.00000"/>
    <numFmt numFmtId="174" formatCode="&quot;NACA 16-&quot;#000"/>
    <numFmt numFmtId="175" formatCode="0&quot;0%&quot;"/>
    <numFmt numFmtId="176" formatCode="#,##0.0\ _₫"/>
    <numFmt numFmtId="177" formatCode="0.0&quot;°&quot;"/>
    <numFmt numFmtId="178" formatCode="&quot;NACA &quot;0000\-00"/>
    <numFmt numFmtId="179" formatCode="&quot;NACA &quot;00000\-00"/>
    <numFmt numFmtId="180" formatCode="&quot;NACA &quot;#"/>
    <numFmt numFmtId="181" formatCode="#&quot;a&quot;"/>
    <numFmt numFmtId="182" formatCode="&quot;NACA 00000&quot;"/>
    <numFmt numFmtId="183" formatCode="#.0"/>
    <numFmt numFmtId="184" formatCode="&quot;NACA 16-&quot;#"/>
  </numFmts>
  <fonts count="45" x14ac:knownFonts="1">
    <font>
      <sz val="11"/>
      <color theme="1"/>
      <name val="Aptos Narrow"/>
      <family val="2"/>
      <charset val="163"/>
      <scheme val="minor"/>
    </font>
    <font>
      <sz val="20"/>
      <color theme="1"/>
      <name val="Aptos Narrow"/>
      <family val="2"/>
      <charset val="163"/>
      <scheme val="minor"/>
    </font>
    <font>
      <b/>
      <sz val="20"/>
      <color indexed="81"/>
      <name val="Tahoma"/>
      <family val="2"/>
    </font>
    <font>
      <b/>
      <sz val="16"/>
      <color indexed="81"/>
      <name val="Tahoma"/>
      <family val="2"/>
    </font>
    <font>
      <sz val="12"/>
      <color theme="1"/>
      <name val="Aptos Narrow"/>
      <family val="2"/>
      <scheme val="minor"/>
    </font>
    <font>
      <sz val="11"/>
      <color theme="1"/>
      <name val="Calibri"/>
      <family val="2"/>
    </font>
    <font>
      <sz val="9"/>
      <color theme="0"/>
      <name val="Calibri"/>
      <family val="2"/>
    </font>
    <font>
      <sz val="8"/>
      <color rgb="FF000000"/>
      <name val="Segoe UI"/>
      <family val="2"/>
    </font>
    <font>
      <i/>
      <sz val="10"/>
      <color theme="2" tint="-9.9978637043366805E-2"/>
      <name val="Calibri"/>
      <family val="2"/>
    </font>
    <font>
      <b/>
      <sz val="9"/>
      <color indexed="81"/>
      <name val="Tahoma"/>
      <family val="2"/>
    </font>
    <font>
      <sz val="9"/>
      <color theme="1" tint="0.14999847407452621"/>
      <name val="Calibri"/>
      <family val="2"/>
    </font>
    <font>
      <sz val="11"/>
      <color theme="0"/>
      <name val="Calibri"/>
      <family val="2"/>
    </font>
    <font>
      <sz val="10"/>
      <color theme="0"/>
      <name val="Calibri"/>
      <family val="2"/>
    </font>
    <font>
      <sz val="10"/>
      <color theme="0" tint="-4.9989318521683403E-2"/>
      <name val="Calibri"/>
      <family val="2"/>
    </font>
    <font>
      <sz val="9"/>
      <color theme="1"/>
      <name val="Calibri"/>
      <family val="2"/>
    </font>
    <font>
      <sz val="11"/>
      <color theme="1" tint="0.14999847407452621"/>
      <name val="Aptos Narrow"/>
      <family val="2"/>
      <charset val="163"/>
      <scheme val="minor"/>
    </font>
    <font>
      <sz val="8.6"/>
      <color theme="1" tint="0.14999847407452621"/>
      <name val="Calibri"/>
      <family val="2"/>
    </font>
    <font>
      <sz val="8.6"/>
      <color theme="1"/>
      <name val="Calibri"/>
      <family val="2"/>
    </font>
    <font>
      <sz val="8.6"/>
      <color theme="1"/>
      <name val="Aptos Narrow"/>
      <family val="2"/>
      <charset val="163"/>
      <scheme val="minor"/>
    </font>
    <font>
      <sz val="9"/>
      <color theme="1"/>
      <name val="Aptos Narrow"/>
      <family val="2"/>
      <charset val="163"/>
      <scheme val="minor"/>
    </font>
    <font>
      <sz val="8.5"/>
      <color theme="1"/>
      <name val="Calibri"/>
      <family val="2"/>
    </font>
    <font>
      <sz val="11"/>
      <color theme="1" tint="4.9989318521683403E-2"/>
      <name val="Aptos Narrow"/>
      <family val="2"/>
      <charset val="163"/>
      <scheme val="minor"/>
    </font>
    <font>
      <i/>
      <sz val="8"/>
      <color theme="1"/>
      <name val="Calibri"/>
      <family val="2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9"/>
      <color indexed="81"/>
      <name val="Tahoma"/>
      <family val="2"/>
    </font>
    <font>
      <b/>
      <sz val="12"/>
      <color indexed="81"/>
      <name val="Tahoma"/>
      <family val="2"/>
    </font>
    <font>
      <b/>
      <sz val="14"/>
      <color indexed="81"/>
      <name val="Tahoma"/>
      <family val="2"/>
    </font>
    <font>
      <sz val="8.75"/>
      <color theme="1"/>
      <name val="Calibri"/>
      <family val="2"/>
    </font>
    <font>
      <sz val="8.75"/>
      <color theme="1"/>
      <name val="Aptos Narrow"/>
      <family val="2"/>
      <charset val="163"/>
      <scheme val="minor"/>
    </font>
    <font>
      <sz val="8.75"/>
      <color theme="1" tint="0.14999847407452621"/>
      <name val="Calibri"/>
      <family val="2"/>
    </font>
    <font>
      <sz val="8.75"/>
      <color theme="1"/>
      <name val="Calibri"/>
      <family val="2"/>
      <charset val="163"/>
    </font>
    <font>
      <sz val="11"/>
      <color theme="1"/>
      <name val="Aptos Narrow"/>
      <family val="2"/>
    </font>
    <font>
      <b/>
      <sz val="10"/>
      <color indexed="81"/>
      <name val="Tahoma"/>
      <family val="2"/>
    </font>
    <font>
      <sz val="8.75"/>
      <name val="Calibri"/>
      <family val="2"/>
    </font>
    <font>
      <sz val="8"/>
      <color theme="1"/>
      <name val="Segoe UI"/>
      <family val="2"/>
    </font>
    <font>
      <sz val="9"/>
      <color theme="1"/>
      <name val="Aptos Narrow"/>
      <family val="2"/>
      <scheme val="minor"/>
    </font>
    <font>
      <sz val="9"/>
      <color theme="0"/>
      <name val="Segoe UI Symbol"/>
      <family val="2"/>
    </font>
    <font>
      <sz val="8"/>
      <color theme="1"/>
      <name val="Segoe UI Symbol"/>
      <family val="2"/>
    </font>
    <font>
      <sz val="9"/>
      <color theme="0"/>
      <name val="Segoe UI"/>
      <family val="2"/>
    </font>
    <font>
      <sz val="11"/>
      <color theme="1"/>
      <name val="Segoe UI"/>
      <family val="2"/>
    </font>
    <font>
      <sz val="10"/>
      <color theme="1"/>
      <name val="Segoe UI"/>
      <family val="2"/>
    </font>
    <font>
      <sz val="9"/>
      <color theme="1"/>
      <name val="Segoe UI"/>
      <family val="2"/>
    </font>
    <font>
      <i/>
      <sz val="8"/>
      <color theme="1"/>
      <name val="Segoe UI"/>
      <family val="2"/>
    </font>
    <font>
      <sz val="9"/>
      <color theme="0" tint="-4.9989318521683403E-2"/>
      <name val="Segoe UI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FFC1C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EBEBFF"/>
        <bgColor indexed="64"/>
      </patternFill>
    </fill>
    <fill>
      <patternFill patternType="solid">
        <fgColor rgb="FF0D1B29"/>
        <bgColor indexed="64"/>
      </patternFill>
    </fill>
    <fill>
      <patternFill patternType="solid">
        <fgColor rgb="FF0D1B29"/>
        <bgColor theme="4" tint="0.79998168889431442"/>
      </patternFill>
    </fill>
    <fill>
      <patternFill patternType="solid">
        <fgColor rgb="FFB4CDE6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theme="1" tint="4.9989318521683403E-2"/>
      </right>
      <top/>
      <bottom/>
      <diagonal/>
    </border>
    <border>
      <left/>
      <right style="thin">
        <color theme="1"/>
      </right>
      <top/>
      <bottom style="thin">
        <color theme="1" tint="4.9989318521683403E-2"/>
      </bottom>
      <diagonal/>
    </border>
    <border>
      <left style="thin">
        <color theme="1" tint="4.9989318521683403E-2"/>
      </left>
      <right style="thin">
        <color theme="1"/>
      </right>
      <top style="thin">
        <color theme="1" tint="4.9989318521683403E-2"/>
      </top>
      <bottom style="thin">
        <color theme="1" tint="4.9989318521683403E-2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theme="1" tint="4.9989318521683403E-2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indexed="64"/>
      </bottom>
      <diagonal/>
    </border>
    <border>
      <left style="thin">
        <color indexed="64"/>
      </left>
      <right style="thin">
        <color theme="1"/>
      </right>
      <top/>
      <bottom/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thin">
        <color rgb="FFDDDDFF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/>
      <top style="thin">
        <color indexed="64"/>
      </top>
      <bottom style="thin">
        <color theme="1"/>
      </bottom>
      <diagonal/>
    </border>
    <border>
      <left style="thin">
        <color indexed="64"/>
      </left>
      <right/>
      <top style="thin">
        <color theme="1"/>
      </top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indexed="64"/>
      </bottom>
      <diagonal/>
    </border>
    <border>
      <left/>
      <right/>
      <top/>
      <bottom style="thin">
        <color rgb="FFB4CDE6"/>
      </bottom>
      <diagonal/>
    </border>
    <border>
      <left/>
      <right style="thin">
        <color rgb="FFB4CDE6"/>
      </right>
      <top/>
      <bottom/>
      <diagonal/>
    </border>
    <border>
      <left style="thin">
        <color rgb="FFB4CDE6"/>
      </left>
      <right style="thin">
        <color rgb="FFB4CDE6"/>
      </right>
      <top style="thin">
        <color rgb="FFB4CDE6"/>
      </top>
      <bottom style="thin">
        <color rgb="FFB4CDE6"/>
      </bottom>
      <diagonal/>
    </border>
    <border>
      <left style="thin">
        <color rgb="FFB4CDE6"/>
      </left>
      <right style="thin">
        <color rgb="FFB4CDE6"/>
      </right>
      <top/>
      <bottom/>
      <diagonal/>
    </border>
    <border>
      <left style="thin">
        <color rgb="FFB4CDE6"/>
      </left>
      <right/>
      <top/>
      <bottom/>
      <diagonal/>
    </border>
    <border>
      <left style="thin">
        <color rgb="FFB4CDE6"/>
      </left>
      <right/>
      <top/>
      <bottom style="thin">
        <color rgb="FFB4CDE6"/>
      </bottom>
      <diagonal/>
    </border>
    <border>
      <left style="thin">
        <color rgb="FFB4CDE6"/>
      </left>
      <right style="thin">
        <color rgb="FFB4CDE6"/>
      </right>
      <top style="thin">
        <color rgb="FFB4CDE6"/>
      </top>
      <bottom style="thin">
        <color theme="1" tint="0.499984740745262"/>
      </bottom>
      <diagonal/>
    </border>
    <border>
      <left style="thin">
        <color rgb="FFB4CDE6"/>
      </left>
      <right/>
      <top style="thin">
        <color rgb="FFB4CDE6"/>
      </top>
      <bottom style="thin">
        <color rgb="FFB4CDE6"/>
      </bottom>
      <diagonal/>
    </border>
    <border>
      <left style="thin">
        <color rgb="FFB4CDE6"/>
      </left>
      <right style="thin">
        <color rgb="FFB4CDE6"/>
      </right>
      <top style="thin">
        <color rgb="FFB4CDE6"/>
      </top>
      <bottom/>
      <diagonal/>
    </border>
    <border>
      <left style="thin">
        <color rgb="FFB4CDE6"/>
      </left>
      <right/>
      <top style="thin">
        <color rgb="FFB4CDE6"/>
      </top>
      <bottom/>
      <diagonal/>
    </border>
    <border>
      <left/>
      <right style="thin">
        <color rgb="FFB4CDE6"/>
      </right>
      <top style="thin">
        <color rgb="FFB4CDE6"/>
      </top>
      <bottom style="thin">
        <color rgb="FFB4CDE6"/>
      </bottom>
      <diagonal/>
    </border>
    <border>
      <left/>
      <right/>
      <top style="thin">
        <color rgb="FFB4CDE6"/>
      </top>
      <bottom style="thin">
        <color indexed="64"/>
      </bottom>
      <diagonal/>
    </border>
    <border>
      <left/>
      <right/>
      <top style="thin">
        <color rgb="FFB4CDE6"/>
      </top>
      <bottom style="thin">
        <color theme="1"/>
      </bottom>
      <diagonal/>
    </border>
    <border>
      <left/>
      <right/>
      <top style="thin">
        <color theme="1"/>
      </top>
      <bottom style="thin">
        <color theme="1" tint="0.34998626667073579"/>
      </bottom>
      <diagonal/>
    </border>
    <border>
      <left style="thin">
        <color theme="1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/>
      <right/>
      <top style="thin">
        <color theme="1" tint="0.499984740745262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 style="thin">
        <color theme="1"/>
      </bottom>
      <diagonal/>
    </border>
    <border>
      <left/>
      <right/>
      <top style="thin">
        <color rgb="FFB4CDE6"/>
      </top>
      <bottom/>
      <diagonal/>
    </border>
  </borders>
  <cellStyleXfs count="1">
    <xf numFmtId="0" fontId="0" fillId="0" borderId="0"/>
  </cellStyleXfs>
  <cellXfs count="315">
    <xf numFmtId="0" fontId="0" fillId="0" borderId="0" xfId="0"/>
    <xf numFmtId="0" fontId="0" fillId="0" borderId="0" xfId="0" applyAlignment="1" applyProtection="1">
      <alignment horizontal="center"/>
      <protection hidden="1"/>
    </xf>
    <xf numFmtId="166" fontId="0" fillId="0" borderId="0" xfId="0" applyNumberFormat="1" applyProtection="1">
      <protection hidden="1"/>
    </xf>
    <xf numFmtId="0" fontId="0" fillId="0" borderId="0" xfId="0" applyProtection="1">
      <protection hidden="1"/>
    </xf>
    <xf numFmtId="165" fontId="0" fillId="0" borderId="0" xfId="0" applyNumberFormat="1" applyProtection="1">
      <protection hidden="1"/>
    </xf>
    <xf numFmtId="1" fontId="0" fillId="0" borderId="0" xfId="0" applyNumberFormat="1" applyAlignment="1" applyProtection="1">
      <alignment horizontal="center" vertical="center"/>
      <protection hidden="1"/>
    </xf>
    <xf numFmtId="2" fontId="0" fillId="0" borderId="0" xfId="0" applyNumberFormat="1" applyAlignment="1" applyProtection="1">
      <alignment horizontal="center"/>
      <protection hidden="1"/>
    </xf>
    <xf numFmtId="173" fontId="0" fillId="0" borderId="0" xfId="0" applyNumberFormat="1" applyProtection="1">
      <protection hidden="1"/>
    </xf>
    <xf numFmtId="1" fontId="0" fillId="0" borderId="0" xfId="0" applyNumberFormat="1" applyAlignment="1" applyProtection="1">
      <alignment horizontal="center" vertical="center"/>
      <protection locked="0" hidden="1"/>
    </xf>
    <xf numFmtId="165" fontId="0" fillId="2" borderId="0" xfId="0" applyNumberFormat="1" applyFill="1" applyProtection="1">
      <protection hidden="1"/>
    </xf>
    <xf numFmtId="173" fontId="0" fillId="0" borderId="0" xfId="0" applyNumberFormat="1" applyAlignment="1" applyProtection="1">
      <alignment horizontal="center"/>
      <protection hidden="1"/>
    </xf>
    <xf numFmtId="173" fontId="24" fillId="0" borderId="0" xfId="0" applyNumberFormat="1" applyFont="1" applyProtection="1">
      <protection hidden="1"/>
    </xf>
    <xf numFmtId="0" fontId="0" fillId="0" borderId="0" xfId="0" applyProtection="1">
      <protection locked="0" hidden="1"/>
    </xf>
    <xf numFmtId="167" fontId="0" fillId="0" borderId="0" xfId="0" applyNumberFormat="1" applyProtection="1">
      <protection hidden="1"/>
    </xf>
    <xf numFmtId="164" fontId="0" fillId="0" borderId="0" xfId="0" applyNumberFormat="1" applyProtection="1">
      <protection hidden="1"/>
    </xf>
    <xf numFmtId="1" fontId="0" fillId="0" borderId="0" xfId="0" applyNumberFormat="1" applyProtection="1">
      <protection hidden="1"/>
    </xf>
    <xf numFmtId="0" fontId="4" fillId="0" borderId="0" xfId="0" applyFont="1" applyAlignment="1" applyProtection="1">
      <alignment horizontal="center" vertical="center" wrapText="1"/>
      <protection hidden="1"/>
    </xf>
    <xf numFmtId="1" fontId="4" fillId="0" borderId="0" xfId="0" applyNumberFormat="1" applyFont="1" applyAlignment="1" applyProtection="1">
      <alignment horizontal="center" vertical="center" wrapText="1"/>
      <protection hidden="1"/>
    </xf>
    <xf numFmtId="0" fontId="0" fillId="2" borderId="0" xfId="0" applyFill="1" applyProtection="1">
      <protection hidden="1"/>
    </xf>
    <xf numFmtId="164" fontId="0" fillId="2" borderId="0" xfId="0" applyNumberFormat="1" applyFill="1" applyProtection="1">
      <protection hidden="1"/>
    </xf>
    <xf numFmtId="1" fontId="0" fillId="0" borderId="0" xfId="0" applyNumberFormat="1" applyAlignment="1" applyProtection="1">
      <alignment horizont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1" fillId="0" borderId="0" xfId="0" applyFont="1" applyProtection="1">
      <protection hidden="1"/>
    </xf>
    <xf numFmtId="0" fontId="0" fillId="2" borderId="1" xfId="0" applyFill="1" applyBorder="1" applyProtection="1">
      <protection hidden="1"/>
    </xf>
    <xf numFmtId="0" fontId="0" fillId="0" borderId="1" xfId="0" applyBorder="1" applyProtection="1">
      <protection hidden="1"/>
    </xf>
    <xf numFmtId="0" fontId="8" fillId="2" borderId="0" xfId="0" applyFont="1" applyFill="1" applyAlignment="1" applyProtection="1">
      <alignment horizontal="right"/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28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10" borderId="0" xfId="0" applyFill="1" applyProtection="1">
      <protection hidden="1"/>
    </xf>
    <xf numFmtId="0" fontId="0" fillId="3" borderId="0" xfId="0" applyFill="1" applyProtection="1">
      <protection hidden="1"/>
    </xf>
    <xf numFmtId="0" fontId="0" fillId="0" borderId="0" xfId="0" applyAlignment="1" applyProtection="1">
      <alignment horizontal="right"/>
      <protection locked="0" hidden="1"/>
    </xf>
    <xf numFmtId="168" fontId="0" fillId="0" borderId="0" xfId="0" applyNumberFormat="1" applyAlignment="1" applyProtection="1">
      <alignment horizontal="right"/>
      <protection hidden="1"/>
    </xf>
    <xf numFmtId="166" fontId="0" fillId="0" borderId="0" xfId="0" applyNumberFormat="1" applyAlignment="1" applyProtection="1">
      <alignment horizontal="center"/>
      <protection hidden="1"/>
    </xf>
    <xf numFmtId="168" fontId="0" fillId="0" borderId="0" xfId="0" applyNumberFormat="1" applyProtection="1">
      <protection hidden="1"/>
    </xf>
    <xf numFmtId="0" fontId="0" fillId="0" borderId="0" xfId="0" applyAlignment="1" applyProtection="1">
      <alignment horizontal="right"/>
      <protection hidden="1"/>
    </xf>
    <xf numFmtId="173" fontId="0" fillId="7" borderId="0" xfId="0" applyNumberFormat="1" applyFill="1" applyProtection="1">
      <protection hidden="1"/>
    </xf>
    <xf numFmtId="173" fontId="0" fillId="5" borderId="0" xfId="0" applyNumberFormat="1" applyFill="1" applyProtection="1">
      <protection hidden="1"/>
    </xf>
    <xf numFmtId="173" fontId="0" fillId="4" borderId="0" xfId="0" applyNumberFormat="1" applyFill="1" applyProtection="1">
      <protection hidden="1"/>
    </xf>
    <xf numFmtId="173" fontId="0" fillId="3" borderId="0" xfId="0" applyNumberFormat="1" applyFill="1" applyProtection="1">
      <protection hidden="1"/>
    </xf>
    <xf numFmtId="173" fontId="0" fillId="8" borderId="0" xfId="0" applyNumberFormat="1" applyFill="1" applyProtection="1">
      <protection hidden="1"/>
    </xf>
    <xf numFmtId="173" fontId="0" fillId="9" borderId="0" xfId="0" applyNumberFormat="1" applyFill="1" applyProtection="1">
      <protection hidden="1"/>
    </xf>
    <xf numFmtId="173" fontId="0" fillId="6" borderId="0" xfId="0" applyNumberFormat="1" applyFill="1" applyProtection="1">
      <protection hidden="1"/>
    </xf>
    <xf numFmtId="173" fontId="0" fillId="0" borderId="0" xfId="0" applyNumberFormat="1" applyProtection="1">
      <protection locked="0" hidden="1"/>
    </xf>
    <xf numFmtId="2" fontId="0" fillId="0" borderId="0" xfId="0" applyNumberFormat="1" applyProtection="1">
      <protection hidden="1"/>
    </xf>
    <xf numFmtId="1" fontId="0" fillId="10" borderId="0" xfId="0" applyNumberFormat="1" applyFill="1" applyAlignment="1" applyProtection="1">
      <alignment horizontal="center"/>
      <protection hidden="1"/>
    </xf>
    <xf numFmtId="1" fontId="0" fillId="3" borderId="0" xfId="0" applyNumberFormat="1" applyFill="1" applyAlignment="1" applyProtection="1">
      <alignment horizontal="left" vertical="center"/>
      <protection hidden="1"/>
    </xf>
    <xf numFmtId="181" fontId="0" fillId="3" borderId="0" xfId="0" applyNumberFormat="1" applyFill="1" applyAlignment="1" applyProtection="1">
      <alignment horizontal="left" vertical="center"/>
      <protection hidden="1"/>
    </xf>
    <xf numFmtId="181" fontId="0" fillId="3" borderId="0" xfId="0" applyNumberFormat="1" applyFill="1" applyProtection="1">
      <protection hidden="1"/>
    </xf>
    <xf numFmtId="173" fontId="0" fillId="12" borderId="0" xfId="0" applyNumberFormat="1" applyFill="1" applyProtection="1">
      <protection hidden="1"/>
    </xf>
    <xf numFmtId="173" fontId="0" fillId="11" borderId="0" xfId="0" applyNumberFormat="1" applyFill="1" applyProtection="1">
      <protection hidden="1"/>
    </xf>
    <xf numFmtId="1" fontId="0" fillId="0" borderId="0" xfId="0" applyNumberFormat="1" applyProtection="1">
      <protection locked="0" hidden="1"/>
    </xf>
    <xf numFmtId="0" fontId="0" fillId="0" borderId="0" xfId="0" applyAlignment="1" applyProtection="1">
      <alignment horizontal="left"/>
      <protection hidden="1"/>
    </xf>
    <xf numFmtId="173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0" fillId="13" borderId="0" xfId="0" applyFill="1" applyProtection="1">
      <protection hidden="1"/>
    </xf>
    <xf numFmtId="0" fontId="0" fillId="0" borderId="36" xfId="0" applyBorder="1"/>
    <xf numFmtId="0" fontId="0" fillId="2" borderId="0" xfId="0" applyFill="1"/>
    <xf numFmtId="0" fontId="0" fillId="0" borderId="32" xfId="0" applyBorder="1" applyProtection="1">
      <protection hidden="1"/>
    </xf>
    <xf numFmtId="0" fontId="0" fillId="0" borderId="30" xfId="0" applyBorder="1" applyProtection="1">
      <protection hidden="1"/>
    </xf>
    <xf numFmtId="166" fontId="14" fillId="0" borderId="18" xfId="0" applyNumberFormat="1" applyFont="1" applyBorder="1" applyAlignment="1" applyProtection="1">
      <alignment horizontal="center" vertical="center"/>
      <protection hidden="1"/>
    </xf>
    <xf numFmtId="0" fontId="14" fillId="0" borderId="3" xfId="0" applyFont="1" applyBorder="1" applyProtection="1">
      <protection hidden="1"/>
    </xf>
    <xf numFmtId="0" fontId="0" fillId="0" borderId="16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17" xfId="0" applyBorder="1" applyProtection="1">
      <protection hidden="1"/>
    </xf>
    <xf numFmtId="0" fontId="0" fillId="16" borderId="13" xfId="0" applyFill="1" applyBorder="1" applyProtection="1">
      <protection hidden="1"/>
    </xf>
    <xf numFmtId="0" fontId="0" fillId="16" borderId="0" xfId="0" applyFill="1" applyProtection="1">
      <protection hidden="1"/>
    </xf>
    <xf numFmtId="164" fontId="0" fillId="16" borderId="0" xfId="0" applyNumberFormat="1" applyFill="1" applyProtection="1">
      <protection hidden="1"/>
    </xf>
    <xf numFmtId="165" fontId="0" fillId="16" borderId="0" xfId="0" applyNumberFormat="1" applyFill="1" applyProtection="1">
      <protection hidden="1"/>
    </xf>
    <xf numFmtId="0" fontId="4" fillId="16" borderId="0" xfId="0" applyFont="1" applyFill="1" applyAlignment="1" applyProtection="1">
      <alignment horizontal="center" vertical="center" wrapText="1"/>
      <protection hidden="1"/>
    </xf>
    <xf numFmtId="0" fontId="14" fillId="16" borderId="0" xfId="0" applyFont="1" applyFill="1" applyAlignment="1" applyProtection="1">
      <alignment horizontal="center" vertical="center" wrapText="1"/>
      <protection hidden="1"/>
    </xf>
    <xf numFmtId="165" fontId="0" fillId="16" borderId="14" xfId="0" applyNumberFormat="1" applyFill="1" applyBorder="1" applyProtection="1">
      <protection hidden="1"/>
    </xf>
    <xf numFmtId="0" fontId="0" fillId="16" borderId="0" xfId="0" applyFill="1" applyAlignment="1" applyProtection="1">
      <alignment horizontal="center" vertical="center"/>
      <protection hidden="1"/>
    </xf>
    <xf numFmtId="0" fontId="31" fillId="16" borderId="22" xfId="0" applyFont="1" applyFill="1" applyBorder="1" applyAlignment="1" applyProtection="1">
      <alignment horizontal="center" vertical="center"/>
      <protection hidden="1"/>
    </xf>
    <xf numFmtId="0" fontId="14" fillId="16" borderId="3" xfId="0" applyFont="1" applyFill="1" applyBorder="1" applyProtection="1">
      <protection hidden="1"/>
    </xf>
    <xf numFmtId="0" fontId="29" fillId="16" borderId="0" xfId="0" applyFont="1" applyFill="1" applyProtection="1">
      <protection hidden="1"/>
    </xf>
    <xf numFmtId="165" fontId="29" fillId="16" borderId="0" xfId="0" applyNumberFormat="1" applyFont="1" applyFill="1" applyProtection="1">
      <protection hidden="1"/>
    </xf>
    <xf numFmtId="0" fontId="0" fillId="16" borderId="3" xfId="0" applyFill="1" applyBorder="1" applyProtection="1">
      <protection hidden="1"/>
    </xf>
    <xf numFmtId="0" fontId="22" fillId="16" borderId="0" xfId="0" applyFont="1" applyFill="1" applyAlignment="1" applyProtection="1">
      <alignment horizontal="right" vertical="top"/>
      <protection hidden="1"/>
    </xf>
    <xf numFmtId="0" fontId="0" fillId="16" borderId="0" xfId="0" applyFill="1" applyAlignment="1" applyProtection="1">
      <alignment horizontal="right" vertical="top"/>
      <protection hidden="1"/>
    </xf>
    <xf numFmtId="0" fontId="0" fillId="16" borderId="21" xfId="0" applyFill="1" applyBorder="1" applyProtection="1">
      <protection hidden="1"/>
    </xf>
    <xf numFmtId="0" fontId="16" fillId="16" borderId="0" xfId="0" applyFont="1" applyFill="1" applyAlignment="1" applyProtection="1">
      <alignment horizontal="center" vertical="center" wrapText="1"/>
      <protection hidden="1"/>
    </xf>
    <xf numFmtId="2" fontId="16" fillId="16" borderId="0" xfId="0" applyNumberFormat="1" applyFont="1" applyFill="1" applyAlignment="1" applyProtection="1">
      <alignment horizontal="center" vertical="center"/>
      <protection hidden="1"/>
    </xf>
    <xf numFmtId="1" fontId="0" fillId="16" borderId="0" xfId="0" applyNumberFormat="1" applyFill="1" applyProtection="1">
      <protection hidden="1"/>
    </xf>
    <xf numFmtId="0" fontId="21" fillId="14" borderId="0" xfId="0" applyFont="1" applyFill="1"/>
    <xf numFmtId="0" fontId="21" fillId="16" borderId="0" xfId="0" applyFont="1" applyFill="1"/>
    <xf numFmtId="0" fontId="0" fillId="16" borderId="0" xfId="0" applyFill="1"/>
    <xf numFmtId="0" fontId="6" fillId="16" borderId="0" xfId="0" applyFont="1" applyFill="1" applyAlignment="1" applyProtection="1">
      <alignment horizontal="center" vertical="center" wrapText="1"/>
      <protection hidden="1"/>
    </xf>
    <xf numFmtId="0" fontId="14" fillId="16" borderId="3" xfId="0" applyFont="1" applyFill="1" applyBorder="1" applyAlignment="1" applyProtection="1">
      <alignment horizontal="center" vertical="center"/>
      <protection hidden="1"/>
    </xf>
    <xf numFmtId="0" fontId="10" fillId="16" borderId="0" xfId="0" applyFont="1" applyFill="1" applyAlignment="1" applyProtection="1">
      <alignment horizontal="center" vertical="center"/>
      <protection hidden="1"/>
    </xf>
    <xf numFmtId="2" fontId="14" fillId="16" borderId="0" xfId="0" applyNumberFormat="1" applyFont="1" applyFill="1" applyAlignment="1" applyProtection="1">
      <alignment horizontal="center" vertical="center"/>
      <protection hidden="1"/>
    </xf>
    <xf numFmtId="0" fontId="0" fillId="0" borderId="31" xfId="0" applyBorder="1" applyProtection="1">
      <protection hidden="1"/>
    </xf>
    <xf numFmtId="0" fontId="0" fillId="0" borderId="37" xfId="0" applyBorder="1" applyProtection="1">
      <protection hidden="1"/>
    </xf>
    <xf numFmtId="0" fontId="0" fillId="0" borderId="18" xfId="0" applyBorder="1" applyProtection="1">
      <protection hidden="1"/>
    </xf>
    <xf numFmtId="166" fontId="14" fillId="0" borderId="16" xfId="0" applyNumberFormat="1" applyFont="1" applyBorder="1" applyAlignment="1" applyProtection="1">
      <alignment horizontal="center" vertical="center"/>
      <protection hidden="1"/>
    </xf>
    <xf numFmtId="0" fontId="14" fillId="0" borderId="16" xfId="0" applyFont="1" applyBorder="1" applyProtection="1">
      <protection hidden="1"/>
    </xf>
    <xf numFmtId="0" fontId="14" fillId="0" borderId="17" xfId="0" applyFont="1" applyBorder="1" applyProtection="1">
      <protection hidden="1"/>
    </xf>
    <xf numFmtId="0" fontId="15" fillId="16" borderId="0" xfId="0" applyFont="1" applyFill="1" applyProtection="1">
      <protection hidden="1"/>
    </xf>
    <xf numFmtId="178" fontId="12" fillId="16" borderId="0" xfId="0" applyNumberFormat="1" applyFont="1" applyFill="1" applyAlignment="1" applyProtection="1">
      <alignment horizontal="center" vertical="center"/>
      <protection hidden="1"/>
    </xf>
    <xf numFmtId="169" fontId="11" fillId="16" borderId="0" xfId="0" applyNumberFormat="1" applyFont="1" applyFill="1" applyAlignment="1" applyProtection="1">
      <alignment horizontal="left" vertical="center"/>
      <protection hidden="1"/>
    </xf>
    <xf numFmtId="0" fontId="0" fillId="16" borderId="12" xfId="0" applyFill="1" applyBorder="1" applyProtection="1">
      <protection hidden="1"/>
    </xf>
    <xf numFmtId="0" fontId="15" fillId="16" borderId="12" xfId="0" applyFont="1" applyFill="1" applyBorder="1" applyProtection="1">
      <protection hidden="1"/>
    </xf>
    <xf numFmtId="0" fontId="0" fillId="16" borderId="4" xfId="0" applyFill="1" applyBorder="1" applyProtection="1">
      <protection hidden="1"/>
    </xf>
    <xf numFmtId="0" fontId="0" fillId="16" borderId="10" xfId="0" applyFill="1" applyBorder="1" applyProtection="1">
      <protection hidden="1"/>
    </xf>
    <xf numFmtId="0" fontId="0" fillId="16" borderId="19" xfId="0" applyFill="1" applyBorder="1" applyProtection="1">
      <protection hidden="1"/>
    </xf>
    <xf numFmtId="0" fontId="29" fillId="16" borderId="0" xfId="0" applyFont="1" applyFill="1" applyAlignment="1" applyProtection="1">
      <alignment horizontal="center" vertical="center"/>
      <protection hidden="1"/>
    </xf>
    <xf numFmtId="0" fontId="28" fillId="16" borderId="25" xfId="0" applyFont="1" applyFill="1" applyBorder="1" applyAlignment="1" applyProtection="1">
      <alignment horizontal="center" vertical="center"/>
      <protection hidden="1"/>
    </xf>
    <xf numFmtId="2" fontId="28" fillId="16" borderId="24" xfId="0" applyNumberFormat="1" applyFont="1" applyFill="1" applyBorder="1" applyAlignment="1" applyProtection="1">
      <alignment horizontal="center" vertical="center"/>
      <protection hidden="1"/>
    </xf>
    <xf numFmtId="165" fontId="28" fillId="16" borderId="24" xfId="0" applyNumberFormat="1" applyFont="1" applyFill="1" applyBorder="1" applyAlignment="1" applyProtection="1">
      <alignment horizontal="center" vertical="center"/>
      <protection hidden="1"/>
    </xf>
    <xf numFmtId="0" fontId="5" fillId="16" borderId="11" xfId="0" applyFont="1" applyFill="1" applyBorder="1" applyProtection="1">
      <protection hidden="1"/>
    </xf>
    <xf numFmtId="0" fontId="5" fillId="16" borderId="0" xfId="0" applyFont="1" applyFill="1" applyProtection="1">
      <protection hidden="1"/>
    </xf>
    <xf numFmtId="0" fontId="0" fillId="16" borderId="7" xfId="0" applyFill="1" applyBorder="1" applyProtection="1">
      <protection hidden="1"/>
    </xf>
    <xf numFmtId="0" fontId="28" fillId="16" borderId="25" xfId="0" applyFont="1" applyFill="1" applyBorder="1" applyAlignment="1" applyProtection="1">
      <alignment horizontal="center" vertical="center" wrapText="1"/>
      <protection hidden="1"/>
    </xf>
    <xf numFmtId="0" fontId="28" fillId="16" borderId="24" xfId="0" applyFont="1" applyFill="1" applyBorder="1" applyAlignment="1" applyProtection="1">
      <alignment horizontal="center" vertical="center"/>
      <protection hidden="1"/>
    </xf>
    <xf numFmtId="0" fontId="0" fillId="16" borderId="20" xfId="0" applyFill="1" applyBorder="1" applyProtection="1">
      <protection hidden="1"/>
    </xf>
    <xf numFmtId="0" fontId="0" fillId="0" borderId="39" xfId="0" applyBorder="1" applyAlignment="1" applyProtection="1">
      <alignment horizontal="center" vertical="center"/>
      <protection hidden="1"/>
    </xf>
    <xf numFmtId="0" fontId="0" fillId="0" borderId="40" xfId="0" applyBorder="1" applyAlignment="1" applyProtection="1">
      <alignment horizontal="center" vertical="center"/>
      <protection hidden="1"/>
    </xf>
    <xf numFmtId="172" fontId="13" fillId="16" borderId="0" xfId="0" applyNumberFormat="1" applyFont="1" applyFill="1" applyAlignment="1">
      <alignment horizontal="center" vertical="center"/>
    </xf>
    <xf numFmtId="0" fontId="0" fillId="16" borderId="3" xfId="0" applyFill="1" applyBorder="1"/>
    <xf numFmtId="0" fontId="29" fillId="16" borderId="0" xfId="0" applyFont="1" applyFill="1"/>
    <xf numFmtId="2" fontId="30" fillId="16" borderId="22" xfId="0" applyNumberFormat="1" applyFont="1" applyFill="1" applyBorder="1" applyAlignment="1">
      <alignment horizontal="center" vertical="center"/>
    </xf>
    <xf numFmtId="0" fontId="0" fillId="16" borderId="38" xfId="0" applyFill="1" applyBorder="1"/>
    <xf numFmtId="0" fontId="0" fillId="16" borderId="21" xfId="0" applyFill="1" applyBorder="1"/>
    <xf numFmtId="0" fontId="0" fillId="16" borderId="20" xfId="0" applyFill="1" applyBorder="1"/>
    <xf numFmtId="0" fontId="14" fillId="16" borderId="0" xfId="0" applyFont="1" applyFill="1" applyProtection="1">
      <protection hidden="1"/>
    </xf>
    <xf numFmtId="0" fontId="23" fillId="16" borderId="0" xfId="0" applyFont="1" applyFill="1"/>
    <xf numFmtId="0" fontId="0" fillId="0" borderId="41" xfId="0" applyBorder="1"/>
    <xf numFmtId="0" fontId="0" fillId="0" borderId="40" xfId="0" applyBorder="1"/>
    <xf numFmtId="0" fontId="0" fillId="0" borderId="18" xfId="0" applyBorder="1"/>
    <xf numFmtId="0" fontId="0" fillId="0" borderId="16" xfId="0" applyBorder="1"/>
    <xf numFmtId="0" fontId="0" fillId="0" borderId="27" xfId="0" applyBorder="1"/>
    <xf numFmtId="0" fontId="15" fillId="16" borderId="0" xfId="0" applyFont="1" applyFill="1"/>
    <xf numFmtId="169" fontId="11" fillId="16" borderId="0" xfId="0" applyNumberFormat="1" applyFont="1" applyFill="1" applyAlignment="1">
      <alignment horizontal="left" vertical="center"/>
    </xf>
    <xf numFmtId="0" fontId="0" fillId="16" borderId="12" xfId="0" applyFill="1" applyBorder="1"/>
    <xf numFmtId="0" fontId="15" fillId="16" borderId="12" xfId="0" applyFont="1" applyFill="1" applyBorder="1"/>
    <xf numFmtId="0" fontId="15" fillId="16" borderId="14" xfId="0" applyFont="1" applyFill="1" applyBorder="1"/>
    <xf numFmtId="0" fontId="0" fillId="16" borderId="10" xfId="0" applyFill="1" applyBorder="1"/>
    <xf numFmtId="0" fontId="0" fillId="16" borderId="19" xfId="0" applyFill="1" applyBorder="1"/>
    <xf numFmtId="176" fontId="28" fillId="16" borderId="12" xfId="0" applyNumberFormat="1" applyFont="1" applyFill="1" applyBorder="1" applyAlignment="1">
      <alignment horizontal="center" vertical="center"/>
    </xf>
    <xf numFmtId="165" fontId="28" fillId="16" borderId="13" xfId="0" applyNumberFormat="1" applyFont="1" applyFill="1" applyBorder="1" applyAlignment="1">
      <alignment horizontal="center" vertical="center"/>
    </xf>
    <xf numFmtId="0" fontId="28" fillId="16" borderId="0" xfId="0" applyFont="1" applyFill="1" applyAlignment="1">
      <alignment horizontal="center" vertical="center"/>
    </xf>
    <xf numFmtId="2" fontId="17" fillId="16" borderId="13" xfId="0" applyNumberFormat="1" applyFont="1" applyFill="1" applyBorder="1" applyAlignment="1">
      <alignment horizontal="center" vertical="center"/>
    </xf>
    <xf numFmtId="0" fontId="0" fillId="16" borderId="11" xfId="0" applyFill="1" applyBorder="1"/>
    <xf numFmtId="0" fontId="17" fillId="16" borderId="0" xfId="0" applyFont="1" applyFill="1"/>
    <xf numFmtId="0" fontId="5" fillId="16" borderId="0" xfId="0" applyFont="1" applyFill="1"/>
    <xf numFmtId="0" fontId="19" fillId="16" borderId="0" xfId="0" applyFont="1" applyFill="1" applyAlignment="1">
      <alignment horizontal="center" vertical="center" wrapText="1"/>
    </xf>
    <xf numFmtId="0" fontId="14" fillId="16" borderId="0" xfId="0" applyFont="1" applyFill="1" applyAlignment="1">
      <alignment horizontal="center" vertical="center"/>
    </xf>
    <xf numFmtId="175" fontId="14" fillId="16" borderId="0" xfId="0" applyNumberFormat="1" applyFont="1" applyFill="1" applyAlignment="1">
      <alignment horizontal="center" vertical="center"/>
    </xf>
    <xf numFmtId="0" fontId="0" fillId="0" borderId="42" xfId="0" applyBorder="1"/>
    <xf numFmtId="0" fontId="0" fillId="0" borderId="31" xfId="0" applyBorder="1"/>
    <xf numFmtId="0" fontId="0" fillId="0" borderId="17" xfId="0" applyBorder="1"/>
    <xf numFmtId="0" fontId="0" fillId="16" borderId="44" xfId="0" applyFill="1" applyBorder="1"/>
    <xf numFmtId="0" fontId="0" fillId="16" borderId="43" xfId="0" applyFill="1" applyBorder="1"/>
    <xf numFmtId="0" fontId="0" fillId="16" borderId="47" xfId="0" applyFill="1" applyBorder="1"/>
    <xf numFmtId="169" fontId="11" fillId="16" borderId="47" xfId="0" applyNumberFormat="1" applyFont="1" applyFill="1" applyBorder="1" applyAlignment="1" applyProtection="1">
      <alignment horizontal="left" vertical="center"/>
      <protection hidden="1"/>
    </xf>
    <xf numFmtId="0" fontId="0" fillId="16" borderId="46" xfId="0" applyFill="1" applyBorder="1" applyProtection="1">
      <protection hidden="1"/>
    </xf>
    <xf numFmtId="0" fontId="0" fillId="16" borderId="47" xfId="0" applyFill="1" applyBorder="1" applyProtection="1">
      <protection hidden="1"/>
    </xf>
    <xf numFmtId="0" fontId="13" fillId="16" borderId="14" xfId="0" applyFont="1" applyFill="1" applyBorder="1" applyAlignment="1" applyProtection="1">
      <alignment horizontal="center" vertical="center"/>
      <protection hidden="1"/>
    </xf>
    <xf numFmtId="0" fontId="0" fillId="16" borderId="43" xfId="0" applyFill="1" applyBorder="1" applyProtection="1">
      <protection hidden="1"/>
    </xf>
    <xf numFmtId="171" fontId="13" fillId="16" borderId="14" xfId="0" applyNumberFormat="1" applyFont="1" applyFill="1" applyBorder="1" applyAlignment="1" applyProtection="1">
      <alignment horizontal="center" vertical="center"/>
      <protection hidden="1"/>
    </xf>
    <xf numFmtId="0" fontId="4" fillId="16" borderId="44" xfId="0" applyFont="1" applyFill="1" applyBorder="1" applyAlignment="1" applyProtection="1">
      <alignment horizontal="center" vertical="center" wrapText="1"/>
      <protection hidden="1"/>
    </xf>
    <xf numFmtId="0" fontId="4" fillId="16" borderId="47" xfId="0" applyFont="1" applyFill="1" applyBorder="1" applyAlignment="1" applyProtection="1">
      <alignment horizontal="center" vertical="center" wrapText="1"/>
      <protection hidden="1"/>
    </xf>
    <xf numFmtId="0" fontId="32" fillId="16" borderId="0" xfId="0" applyFont="1" applyFill="1"/>
    <xf numFmtId="180" fontId="12" fillId="16" borderId="0" xfId="0" applyNumberFormat="1" applyFont="1" applyFill="1" applyAlignment="1">
      <alignment horizontal="center" vertical="center"/>
    </xf>
    <xf numFmtId="0" fontId="34" fillId="16" borderId="34" xfId="0" applyFont="1" applyFill="1" applyBorder="1" applyAlignment="1">
      <alignment vertical="center"/>
    </xf>
    <xf numFmtId="0" fontId="28" fillId="16" borderId="24" xfId="0" applyFont="1" applyFill="1" applyBorder="1" applyAlignment="1">
      <alignment horizontal="center" vertical="center"/>
    </xf>
    <xf numFmtId="0" fontId="0" fillId="16" borderId="13" xfId="0" applyFill="1" applyBorder="1"/>
    <xf numFmtId="0" fontId="0" fillId="16" borderId="4" xfId="0" applyFill="1" applyBorder="1"/>
    <xf numFmtId="0" fontId="0" fillId="16" borderId="24" xfId="0" applyFill="1" applyBorder="1"/>
    <xf numFmtId="0" fontId="0" fillId="16" borderId="0" xfId="0" applyFill="1" applyAlignment="1">
      <alignment vertical="top"/>
    </xf>
    <xf numFmtId="0" fontId="28" fillId="16" borderId="20" xfId="0" applyFont="1" applyFill="1" applyBorder="1" applyAlignment="1">
      <alignment horizontal="center" vertical="center"/>
    </xf>
    <xf numFmtId="0" fontId="0" fillId="0" borderId="10" xfId="0" applyBorder="1"/>
    <xf numFmtId="0" fontId="0" fillId="0" borderId="33" xfId="0" applyBorder="1"/>
    <xf numFmtId="0" fontId="0" fillId="16" borderId="54" xfId="0" applyFill="1" applyBorder="1"/>
    <xf numFmtId="0" fontId="0" fillId="16" borderId="55" xfId="0" applyFill="1" applyBorder="1"/>
    <xf numFmtId="180" fontId="12" fillId="16" borderId="55" xfId="0" applyNumberFormat="1" applyFont="1" applyFill="1" applyBorder="1" applyAlignment="1">
      <alignment horizontal="center" vertical="center"/>
    </xf>
    <xf numFmtId="0" fontId="35" fillId="0" borderId="15" xfId="0" applyFont="1" applyBorder="1" applyAlignment="1" applyProtection="1">
      <alignment horizontal="center" vertical="center"/>
      <protection locked="0"/>
    </xf>
    <xf numFmtId="0" fontId="35" fillId="0" borderId="15" xfId="0" applyFont="1" applyBorder="1" applyAlignment="1" applyProtection="1">
      <alignment horizontal="center" vertical="center"/>
      <protection hidden="1"/>
    </xf>
    <xf numFmtId="0" fontId="36" fillId="16" borderId="46" xfId="0" applyFont="1" applyFill="1" applyBorder="1" applyAlignment="1" applyProtection="1">
      <alignment horizontal="center" vertical="center" wrapText="1"/>
      <protection hidden="1"/>
    </xf>
    <xf numFmtId="170" fontId="37" fillId="15" borderId="50" xfId="0" applyNumberFormat="1" applyFont="1" applyFill="1" applyBorder="1" applyAlignment="1" applyProtection="1">
      <alignment horizontal="center" vertical="center" wrapText="1"/>
      <protection hidden="1"/>
    </xf>
    <xf numFmtId="0" fontId="37" fillId="15" borderId="51" xfId="0" applyFont="1" applyFill="1" applyBorder="1" applyAlignment="1" applyProtection="1">
      <alignment horizontal="center" vertical="center" wrapText="1"/>
      <protection hidden="1"/>
    </xf>
    <xf numFmtId="0" fontId="38" fillId="0" borderId="15" xfId="0" applyFont="1" applyBorder="1" applyAlignment="1" applyProtection="1">
      <alignment horizontal="center" vertical="center"/>
      <protection hidden="1"/>
    </xf>
    <xf numFmtId="0" fontId="38" fillId="0" borderId="18" xfId="0" applyFont="1" applyBorder="1" applyAlignment="1" applyProtection="1">
      <alignment horizontal="center" vertical="center"/>
      <protection hidden="1"/>
    </xf>
    <xf numFmtId="0" fontId="38" fillId="0" borderId="15" xfId="0" applyFont="1" applyBorder="1" applyAlignment="1" applyProtection="1">
      <alignment horizontal="center" vertical="center"/>
      <protection locked="0"/>
    </xf>
    <xf numFmtId="0" fontId="38" fillId="0" borderId="28" xfId="0" applyFont="1" applyBorder="1" applyAlignment="1" applyProtection="1">
      <alignment horizontal="center" vertical="center"/>
      <protection locked="0"/>
    </xf>
    <xf numFmtId="166" fontId="41" fillId="0" borderId="0" xfId="0" applyNumberFormat="1" applyFont="1" applyAlignment="1" applyProtection="1">
      <alignment horizontal="right" vertical="center"/>
      <protection hidden="1"/>
    </xf>
    <xf numFmtId="2" fontId="35" fillId="0" borderId="26" xfId="0" applyNumberFormat="1" applyFont="1" applyBorder="1" applyAlignment="1" applyProtection="1">
      <alignment horizontal="center" vertical="center"/>
      <protection hidden="1"/>
    </xf>
    <xf numFmtId="2" fontId="35" fillId="0" borderId="5" xfId="0" applyNumberFormat="1" applyFont="1" applyBorder="1" applyAlignment="1" applyProtection="1">
      <alignment horizontal="center" vertical="center"/>
      <protection hidden="1"/>
    </xf>
    <xf numFmtId="0" fontId="35" fillId="0" borderId="8" xfId="0" applyFont="1" applyBorder="1" applyAlignment="1" applyProtection="1">
      <alignment horizontal="center" vertical="center" wrapText="1"/>
      <protection hidden="1"/>
    </xf>
    <xf numFmtId="0" fontId="35" fillId="0" borderId="9" xfId="0" applyFont="1" applyBorder="1" applyAlignment="1" applyProtection="1">
      <alignment horizontal="center" vertical="center" wrapText="1"/>
      <protection hidden="1"/>
    </xf>
    <xf numFmtId="165" fontId="35" fillId="0" borderId="5" xfId="0" applyNumberFormat="1" applyFont="1" applyBorder="1" applyAlignment="1" applyProtection="1">
      <alignment horizontal="center" vertical="center"/>
      <protection hidden="1"/>
    </xf>
    <xf numFmtId="166" fontId="41" fillId="0" borderId="0" xfId="0" applyNumberFormat="1" applyFont="1" applyAlignment="1" applyProtection="1">
      <alignment horizontal="right"/>
      <protection hidden="1"/>
    </xf>
    <xf numFmtId="0" fontId="35" fillId="0" borderId="18" xfId="0" applyFont="1" applyBorder="1" applyAlignment="1">
      <alignment horizontal="center" vertical="center"/>
    </xf>
    <xf numFmtId="2" fontId="35" fillId="0" borderId="5" xfId="0" applyNumberFormat="1" applyFont="1" applyBorder="1" applyAlignment="1">
      <alignment horizontal="center" vertical="center"/>
    </xf>
    <xf numFmtId="165" fontId="35" fillId="0" borderId="5" xfId="0" applyNumberFormat="1" applyFont="1" applyBorder="1" applyAlignment="1">
      <alignment horizontal="center" vertical="center"/>
    </xf>
    <xf numFmtId="166" fontId="41" fillId="0" borderId="0" xfId="0" applyNumberFormat="1" applyFont="1" applyAlignment="1">
      <alignment horizontal="right"/>
    </xf>
    <xf numFmtId="0" fontId="35" fillId="0" borderId="5" xfId="0" applyFont="1" applyBorder="1" applyAlignment="1" applyProtection="1">
      <alignment horizontal="center" vertical="center"/>
      <protection locked="0"/>
    </xf>
    <xf numFmtId="0" fontId="35" fillId="0" borderId="29" xfId="0" applyFont="1" applyBorder="1" applyAlignment="1">
      <alignment horizontal="center" vertical="center"/>
    </xf>
    <xf numFmtId="0" fontId="35" fillId="0" borderId="5" xfId="0" applyFont="1" applyBorder="1" applyAlignment="1">
      <alignment horizontal="center" vertical="center"/>
    </xf>
    <xf numFmtId="0" fontId="35" fillId="0" borderId="35" xfId="0" applyFont="1" applyBorder="1" applyAlignment="1">
      <alignment horizontal="center" vertical="center"/>
    </xf>
    <xf numFmtId="168" fontId="35" fillId="0" borderId="5" xfId="0" applyNumberFormat="1" applyFont="1" applyBorder="1" applyAlignment="1">
      <alignment horizontal="center" vertical="center"/>
    </xf>
    <xf numFmtId="0" fontId="39" fillId="14" borderId="45" xfId="0" applyFont="1" applyFill="1" applyBorder="1" applyAlignment="1">
      <alignment horizontal="center" vertical="center"/>
    </xf>
    <xf numFmtId="0" fontId="39" fillId="14" borderId="45" xfId="0" applyFont="1" applyFill="1" applyBorder="1" applyAlignment="1" applyProtection="1">
      <alignment horizontal="center" vertical="center"/>
      <protection locked="0"/>
    </xf>
    <xf numFmtId="182" fontId="39" fillId="14" borderId="52" xfId="0" applyNumberFormat="1" applyFont="1" applyFill="1" applyBorder="1" applyAlignment="1">
      <alignment horizontal="center" vertical="center"/>
    </xf>
    <xf numFmtId="182" fontId="39" fillId="14" borderId="45" xfId="0" applyNumberFormat="1" applyFont="1" applyFill="1" applyBorder="1" applyAlignment="1">
      <alignment horizontal="center" vertical="center"/>
    </xf>
    <xf numFmtId="0" fontId="19" fillId="0" borderId="0" xfId="0" applyFont="1"/>
    <xf numFmtId="174" fontId="39" fillId="14" borderId="45" xfId="0" applyNumberFormat="1" applyFont="1" applyFill="1" applyBorder="1" applyAlignment="1">
      <alignment horizontal="center" vertical="center"/>
    </xf>
    <xf numFmtId="0" fontId="39" fillId="14" borderId="46" xfId="0" applyFont="1" applyFill="1" applyBorder="1" applyAlignment="1">
      <alignment horizontal="center" vertical="center"/>
    </xf>
    <xf numFmtId="179" fontId="39" fillId="14" borderId="48" xfId="0" applyNumberFormat="1" applyFont="1" applyFill="1" applyBorder="1" applyAlignment="1">
      <alignment horizontal="center" vertical="center"/>
    </xf>
    <xf numFmtId="0" fontId="39" fillId="14" borderId="49" xfId="0" applyFont="1" applyFill="1" applyBorder="1" applyAlignment="1" applyProtection="1">
      <alignment horizontal="center" vertical="center"/>
      <protection hidden="1"/>
    </xf>
    <xf numFmtId="178" fontId="39" fillId="14" borderId="50" xfId="0" applyNumberFormat="1" applyFont="1" applyFill="1" applyBorder="1" applyAlignment="1" applyProtection="1">
      <alignment horizontal="center" vertical="center"/>
      <protection hidden="1"/>
    </xf>
    <xf numFmtId="0" fontId="39" fillId="14" borderId="45" xfId="0" applyFont="1" applyFill="1" applyBorder="1" applyAlignment="1" applyProtection="1">
      <alignment horizontal="center" vertical="center"/>
      <protection locked="0" hidden="1"/>
    </xf>
    <xf numFmtId="0" fontId="44" fillId="14" borderId="45" xfId="0" applyFont="1" applyFill="1" applyBorder="1" applyAlignment="1" applyProtection="1">
      <alignment horizontal="center" vertical="center"/>
      <protection hidden="1"/>
    </xf>
    <xf numFmtId="171" fontId="44" fillId="14" borderId="50" xfId="0" applyNumberFormat="1" applyFont="1" applyFill="1" applyBorder="1" applyAlignment="1" applyProtection="1">
      <alignment horizontal="center" vertical="center"/>
      <protection hidden="1"/>
    </xf>
    <xf numFmtId="0" fontId="0" fillId="16" borderId="55" xfId="0" applyFill="1" applyBorder="1" applyProtection="1">
      <protection hidden="1"/>
    </xf>
    <xf numFmtId="0" fontId="0" fillId="16" borderId="34" xfId="0" applyFill="1" applyBorder="1" applyAlignment="1" applyProtection="1">
      <alignment horizontal="center" vertical="center"/>
      <protection hidden="1"/>
    </xf>
    <xf numFmtId="165" fontId="29" fillId="16" borderId="13" xfId="0" applyNumberFormat="1" applyFont="1" applyFill="1" applyBorder="1" applyProtection="1">
      <protection hidden="1"/>
    </xf>
    <xf numFmtId="0" fontId="0" fillId="16" borderId="11" xfId="0" applyFill="1" applyBorder="1" applyProtection="1">
      <protection hidden="1"/>
    </xf>
    <xf numFmtId="0" fontId="38" fillId="0" borderId="57" xfId="0" applyFont="1" applyBorder="1" applyAlignment="1" applyProtection="1">
      <alignment horizontal="center" vertical="center" wrapText="1"/>
      <protection hidden="1"/>
    </xf>
    <xf numFmtId="2" fontId="28" fillId="16" borderId="56" xfId="0" applyNumberFormat="1" applyFont="1" applyFill="1" applyBorder="1" applyAlignment="1" applyProtection="1">
      <alignment horizontal="center" vertical="center"/>
      <protection hidden="1"/>
    </xf>
    <xf numFmtId="165" fontId="0" fillId="16" borderId="10" xfId="0" applyNumberFormat="1" applyFill="1" applyBorder="1" applyAlignment="1" applyProtection="1">
      <alignment horizontal="center" vertical="center"/>
      <protection hidden="1"/>
    </xf>
    <xf numFmtId="2" fontId="28" fillId="16" borderId="0" xfId="0" applyNumberFormat="1" applyFont="1" applyFill="1" applyAlignment="1" applyProtection="1">
      <alignment horizontal="center" vertical="center"/>
      <protection hidden="1"/>
    </xf>
    <xf numFmtId="0" fontId="38" fillId="0" borderId="5" xfId="0" applyFont="1" applyBorder="1" applyAlignment="1" applyProtection="1">
      <alignment horizontal="center" vertical="center" wrapText="1"/>
      <protection hidden="1"/>
    </xf>
    <xf numFmtId="165" fontId="0" fillId="16" borderId="12" xfId="0" applyNumberFormat="1" applyFill="1" applyBorder="1" applyProtection="1">
      <protection hidden="1"/>
    </xf>
    <xf numFmtId="165" fontId="38" fillId="0" borderId="59" xfId="0" applyNumberFormat="1" applyFont="1" applyBorder="1" applyAlignment="1" applyProtection="1">
      <alignment horizontal="center" vertical="center"/>
      <protection hidden="1"/>
    </xf>
    <xf numFmtId="0" fontId="14" fillId="16" borderId="19" xfId="0" applyFont="1" applyFill="1" applyBorder="1" applyAlignment="1" applyProtection="1">
      <alignment horizontal="center" vertical="center"/>
      <protection hidden="1"/>
    </xf>
    <xf numFmtId="183" fontId="38" fillId="0" borderId="2" xfId="0" applyNumberFormat="1" applyFont="1" applyBorder="1" applyAlignment="1" applyProtection="1">
      <alignment horizontal="center" vertical="center"/>
      <protection hidden="1"/>
    </xf>
    <xf numFmtId="2" fontId="38" fillId="0" borderId="5" xfId="0" applyNumberFormat="1" applyFont="1" applyBorder="1" applyAlignment="1" applyProtection="1">
      <alignment horizontal="center" vertical="center"/>
      <protection hidden="1"/>
    </xf>
    <xf numFmtId="2" fontId="38" fillId="0" borderId="30" xfId="0" applyNumberFormat="1" applyFont="1" applyBorder="1" applyAlignment="1" applyProtection="1">
      <alignment horizontal="center" vertical="center"/>
      <protection hidden="1"/>
    </xf>
    <xf numFmtId="0" fontId="38" fillId="0" borderId="32" xfId="0" applyFont="1" applyBorder="1" applyAlignment="1" applyProtection="1">
      <alignment horizontal="center" vertical="center" wrapText="1"/>
      <protection hidden="1"/>
    </xf>
    <xf numFmtId="0" fontId="35" fillId="0" borderId="61" xfId="0" applyFont="1" applyBorder="1" applyAlignment="1" applyProtection="1">
      <alignment horizontal="center" vertical="center"/>
      <protection hidden="1"/>
    </xf>
    <xf numFmtId="0" fontId="35" fillId="0" borderId="58" xfId="0" applyFont="1" applyBorder="1" applyAlignment="1" applyProtection="1">
      <alignment horizontal="center" vertical="center"/>
      <protection hidden="1"/>
    </xf>
    <xf numFmtId="0" fontId="35" fillId="0" borderId="32" xfId="0" applyFont="1" applyBorder="1" applyAlignment="1" applyProtection="1">
      <alignment horizontal="center" vertical="center"/>
      <protection hidden="1"/>
    </xf>
    <xf numFmtId="0" fontId="35" fillId="0" borderId="60" xfId="0" applyFont="1" applyBorder="1" applyAlignment="1" applyProtection="1">
      <alignment horizontal="center" vertical="center"/>
      <protection locked="0"/>
    </xf>
    <xf numFmtId="0" fontId="35" fillId="0" borderId="63" xfId="0" applyFont="1" applyBorder="1" applyAlignment="1" applyProtection="1">
      <alignment horizontal="center" vertical="center"/>
      <protection locked="0"/>
    </xf>
    <xf numFmtId="2" fontId="30" fillId="16" borderId="23" xfId="0" applyNumberFormat="1" applyFont="1" applyFill="1" applyBorder="1" applyAlignment="1" applyProtection="1">
      <alignment horizontal="center" vertical="center"/>
      <protection hidden="1"/>
    </xf>
    <xf numFmtId="0" fontId="30" fillId="16" borderId="0" xfId="0" applyFont="1" applyFill="1" applyAlignment="1" applyProtection="1">
      <alignment horizontal="center" vertical="center" wrapText="1"/>
      <protection hidden="1"/>
    </xf>
    <xf numFmtId="0" fontId="30" fillId="16" borderId="13" xfId="0" applyFont="1" applyFill="1" applyBorder="1" applyAlignment="1" applyProtection="1">
      <alignment horizontal="center" vertical="center" wrapText="1"/>
      <protection hidden="1"/>
    </xf>
    <xf numFmtId="2" fontId="30" fillId="16" borderId="0" xfId="0" applyNumberFormat="1" applyFont="1" applyFill="1" applyAlignment="1" applyProtection="1">
      <alignment horizontal="center" vertical="center"/>
      <protection hidden="1"/>
    </xf>
    <xf numFmtId="0" fontId="35" fillId="0" borderId="5" xfId="0" applyFont="1" applyBorder="1" applyAlignment="1" applyProtection="1">
      <alignment horizontal="center" vertical="center" wrapText="1"/>
      <protection hidden="1"/>
    </xf>
    <xf numFmtId="165" fontId="35" fillId="0" borderId="32" xfId="0" applyNumberFormat="1" applyFont="1" applyBorder="1" applyAlignment="1" applyProtection="1">
      <alignment horizontal="center" vertical="center"/>
      <protection hidden="1"/>
    </xf>
    <xf numFmtId="165" fontId="28" fillId="16" borderId="0" xfId="0" applyNumberFormat="1" applyFont="1" applyFill="1" applyAlignment="1" applyProtection="1">
      <alignment horizontal="center" vertical="center"/>
      <protection hidden="1"/>
    </xf>
    <xf numFmtId="0" fontId="28" fillId="16" borderId="0" xfId="0" applyFont="1" applyFill="1" applyAlignment="1" applyProtection="1">
      <alignment horizontal="center" vertical="center" wrapText="1"/>
      <protection hidden="1"/>
    </xf>
    <xf numFmtId="0" fontId="17" fillId="16" borderId="13" xfId="0" applyFont="1" applyFill="1" applyBorder="1" applyAlignment="1" applyProtection="1">
      <alignment horizontal="center" vertical="center" wrapText="1"/>
      <protection hidden="1"/>
    </xf>
    <xf numFmtId="177" fontId="14" fillId="16" borderId="13" xfId="0" applyNumberFormat="1" applyFont="1" applyFill="1" applyBorder="1" applyAlignment="1" applyProtection="1">
      <alignment horizontal="center" vertical="center"/>
      <protection hidden="1"/>
    </xf>
    <xf numFmtId="168" fontId="35" fillId="0" borderId="5" xfId="0" applyNumberFormat="1" applyFont="1" applyBorder="1" applyAlignment="1" applyProtection="1">
      <alignment horizontal="center" vertical="center"/>
      <protection hidden="1"/>
    </xf>
    <xf numFmtId="0" fontId="35" fillId="0" borderId="58" xfId="0" applyFont="1" applyBorder="1" applyAlignment="1" applyProtection="1">
      <alignment horizontal="center" vertical="center" wrapText="1"/>
      <protection hidden="1"/>
    </xf>
    <xf numFmtId="2" fontId="35" fillId="0" borderId="21" xfId="0" applyNumberFormat="1" applyFont="1" applyBorder="1" applyAlignment="1" applyProtection="1">
      <alignment horizontal="center" vertical="center"/>
      <protection hidden="1"/>
    </xf>
    <xf numFmtId="0" fontId="0" fillId="16" borderId="12" xfId="0" applyFill="1" applyBorder="1" applyAlignment="1" applyProtection="1">
      <alignment horizontal="center" vertical="center"/>
      <protection hidden="1"/>
    </xf>
    <xf numFmtId="0" fontId="12" fillId="16" borderId="64" xfId="0" applyFont="1" applyFill="1" applyBorder="1" applyAlignment="1" applyProtection="1">
      <alignment horizontal="center" vertical="center"/>
      <protection hidden="1"/>
    </xf>
    <xf numFmtId="0" fontId="35" fillId="0" borderId="5" xfId="0" applyFont="1" applyBorder="1" applyAlignment="1" applyProtection="1">
      <alignment horizontal="center" vertical="center"/>
      <protection hidden="1"/>
    </xf>
    <xf numFmtId="0" fontId="28" fillId="16" borderId="13" xfId="0" applyFont="1" applyFill="1" applyBorder="1" applyAlignment="1" applyProtection="1">
      <alignment horizontal="center" vertical="center"/>
      <protection hidden="1"/>
    </xf>
    <xf numFmtId="0" fontId="28" fillId="16" borderId="0" xfId="0" applyFont="1" applyFill="1" applyAlignment="1" applyProtection="1">
      <alignment horizontal="center" vertical="center"/>
      <protection hidden="1"/>
    </xf>
    <xf numFmtId="0" fontId="0" fillId="16" borderId="34" xfId="0" applyFill="1" applyBorder="1" applyProtection="1">
      <protection hidden="1"/>
    </xf>
    <xf numFmtId="177" fontId="18" fillId="16" borderId="13" xfId="0" applyNumberFormat="1" applyFont="1" applyFill="1" applyBorder="1" applyAlignment="1" applyProtection="1">
      <alignment horizontal="center" vertical="center"/>
      <protection hidden="1"/>
    </xf>
    <xf numFmtId="0" fontId="17" fillId="16" borderId="13" xfId="0" applyFont="1" applyFill="1" applyBorder="1" applyAlignment="1" applyProtection="1">
      <alignment horizontal="center" vertical="center"/>
      <protection hidden="1"/>
    </xf>
    <xf numFmtId="0" fontId="28" fillId="16" borderId="23" xfId="0" applyFont="1" applyFill="1" applyBorder="1" applyAlignment="1" applyProtection="1">
      <alignment horizontal="center" vertical="center"/>
      <protection hidden="1"/>
    </xf>
    <xf numFmtId="0" fontId="35" fillId="0" borderId="26" xfId="0" applyFont="1" applyBorder="1" applyAlignment="1" applyProtection="1">
      <alignment horizontal="center" vertical="center"/>
      <protection hidden="1"/>
    </xf>
    <xf numFmtId="0" fontId="29" fillId="16" borderId="20" xfId="0" applyFont="1" applyFill="1" applyBorder="1"/>
    <xf numFmtId="0" fontId="35" fillId="0" borderId="63" xfId="0" applyFont="1" applyBorder="1" applyAlignment="1">
      <alignment horizontal="center" vertical="center"/>
    </xf>
    <xf numFmtId="0" fontId="13" fillId="16" borderId="55" xfId="0" applyFont="1" applyFill="1" applyBorder="1" applyAlignment="1">
      <alignment horizontal="center" vertical="center"/>
    </xf>
    <xf numFmtId="2" fontId="30" fillId="16" borderId="23" xfId="0" applyNumberFormat="1" applyFont="1" applyFill="1" applyBorder="1" applyAlignment="1">
      <alignment horizontal="center" vertical="center"/>
    </xf>
    <xf numFmtId="0" fontId="30" fillId="16" borderId="23" xfId="0" applyFont="1" applyFill="1" applyBorder="1" applyAlignment="1">
      <alignment horizontal="center" vertical="center" wrapText="1"/>
    </xf>
    <xf numFmtId="0" fontId="35" fillId="0" borderId="5" xfId="0" applyFont="1" applyBorder="1" applyAlignment="1">
      <alignment horizontal="center" vertical="center" wrapText="1"/>
    </xf>
    <xf numFmtId="0" fontId="30" fillId="16" borderId="13" xfId="0" applyFont="1" applyFill="1" applyBorder="1" applyAlignment="1">
      <alignment horizontal="center" vertical="center" wrapText="1"/>
    </xf>
    <xf numFmtId="2" fontId="35" fillId="0" borderId="60" xfId="0" applyNumberFormat="1" applyFont="1" applyBorder="1" applyAlignment="1">
      <alignment horizontal="center" vertical="center"/>
    </xf>
    <xf numFmtId="2" fontId="35" fillId="0" borderId="57" xfId="0" applyNumberFormat="1" applyFont="1" applyBorder="1" applyAlignment="1">
      <alignment horizontal="center" vertical="center"/>
    </xf>
    <xf numFmtId="1" fontId="30" fillId="16" borderId="23" xfId="0" applyNumberFormat="1" applyFont="1" applyFill="1" applyBorder="1" applyAlignment="1">
      <alignment horizontal="center" vertical="center"/>
    </xf>
    <xf numFmtId="0" fontId="30" fillId="16" borderId="20" xfId="0" applyFont="1" applyFill="1" applyBorder="1" applyAlignment="1">
      <alignment horizontal="center" vertical="center" wrapText="1"/>
    </xf>
    <xf numFmtId="0" fontId="35" fillId="0" borderId="65" xfId="0" applyFont="1" applyBorder="1" applyAlignment="1" applyProtection="1">
      <alignment horizontal="center" vertical="center" wrapText="1"/>
      <protection hidden="1"/>
    </xf>
    <xf numFmtId="0" fontId="28" fillId="16" borderId="23" xfId="0" applyFont="1" applyFill="1" applyBorder="1" applyAlignment="1" applyProtection="1">
      <alignment horizontal="center" vertical="center" wrapText="1"/>
      <protection hidden="1"/>
    </xf>
    <xf numFmtId="177" fontId="14" fillId="16" borderId="0" xfId="0" applyNumberFormat="1" applyFont="1" applyFill="1" applyAlignment="1" applyProtection="1">
      <alignment horizontal="center" vertical="center"/>
      <protection hidden="1"/>
    </xf>
    <xf numFmtId="0" fontId="35" fillId="0" borderId="26" xfId="0" applyFont="1" applyBorder="1" applyAlignment="1" applyProtection="1">
      <alignment horizontal="center" vertical="center" wrapText="1"/>
      <protection hidden="1"/>
    </xf>
    <xf numFmtId="168" fontId="35" fillId="0" borderId="24" xfId="0" applyNumberFormat="1" applyFont="1" applyBorder="1" applyAlignment="1" applyProtection="1">
      <alignment horizontal="center" vertical="center"/>
      <protection hidden="1"/>
    </xf>
    <xf numFmtId="1" fontId="35" fillId="0" borderId="58" xfId="0" applyNumberFormat="1" applyFont="1" applyBorder="1" applyAlignment="1">
      <alignment horizontal="center" vertical="center"/>
    </xf>
    <xf numFmtId="0" fontId="35" fillId="0" borderId="58" xfId="0" applyFont="1" applyBorder="1" applyAlignment="1">
      <alignment horizontal="center" vertical="center"/>
    </xf>
    <xf numFmtId="0" fontId="35" fillId="0" borderId="66" xfId="0" applyFont="1" applyBorder="1" applyAlignment="1">
      <alignment horizontal="center" vertical="center" wrapText="1"/>
    </xf>
    <xf numFmtId="0" fontId="35" fillId="0" borderId="65" xfId="0" applyFont="1" applyBorder="1" applyAlignment="1">
      <alignment horizontal="center" vertical="center" wrapText="1"/>
    </xf>
    <xf numFmtId="0" fontId="35" fillId="0" borderId="6" xfId="0" applyFont="1" applyBorder="1" applyAlignment="1">
      <alignment horizontal="center" vertical="center" wrapText="1"/>
    </xf>
    <xf numFmtId="0" fontId="30" fillId="16" borderId="24" xfId="0" applyFont="1" applyFill="1" applyBorder="1" applyAlignment="1">
      <alignment horizontal="center" vertical="center" wrapText="1"/>
    </xf>
    <xf numFmtId="0" fontId="35" fillId="0" borderId="67" xfId="0" applyFont="1" applyBorder="1" applyAlignment="1">
      <alignment horizontal="center" vertical="center"/>
    </xf>
    <xf numFmtId="0" fontId="35" fillId="0" borderId="28" xfId="0" applyFont="1" applyBorder="1" applyAlignment="1">
      <alignment horizontal="center" vertical="center"/>
    </xf>
    <xf numFmtId="0" fontId="12" fillId="16" borderId="68" xfId="0" applyFont="1" applyFill="1" applyBorder="1" applyAlignment="1">
      <alignment horizontal="center" vertical="center"/>
    </xf>
    <xf numFmtId="174" fontId="12" fillId="16" borderId="0" xfId="0" applyNumberFormat="1" applyFont="1" applyFill="1" applyAlignment="1">
      <alignment horizontal="center" vertical="center"/>
    </xf>
    <xf numFmtId="176" fontId="35" fillId="0" borderId="5" xfId="0" applyNumberFormat="1" applyFont="1" applyBorder="1" applyAlignment="1">
      <alignment horizontal="center" vertical="center"/>
    </xf>
    <xf numFmtId="0" fontId="17" fillId="16" borderId="13" xfId="0" applyFont="1" applyFill="1" applyBorder="1" applyAlignment="1">
      <alignment horizontal="center" vertical="center"/>
    </xf>
    <xf numFmtId="0" fontId="28" fillId="16" borderId="13" xfId="0" applyFont="1" applyFill="1" applyBorder="1" applyAlignment="1">
      <alignment horizontal="center" vertical="center"/>
    </xf>
    <xf numFmtId="177" fontId="20" fillId="16" borderId="13" xfId="0" applyNumberFormat="1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0" fontId="12" fillId="16" borderId="55" xfId="0" applyFont="1" applyFill="1" applyBorder="1" applyAlignment="1">
      <alignment horizontal="center" vertical="center"/>
    </xf>
    <xf numFmtId="0" fontId="35" fillId="0" borderId="26" xfId="0" applyFont="1" applyBorder="1" applyAlignment="1">
      <alignment horizontal="center" vertical="center"/>
    </xf>
    <xf numFmtId="0" fontId="35" fillId="0" borderId="62" xfId="0" applyFont="1" applyBorder="1" applyAlignment="1">
      <alignment horizontal="center" vertical="center"/>
    </xf>
    <xf numFmtId="0" fontId="43" fillId="16" borderId="0" xfId="0" applyFont="1" applyFill="1" applyAlignment="1" applyProtection="1">
      <alignment horizontal="right" vertical="top"/>
      <protection hidden="1"/>
    </xf>
    <xf numFmtId="0" fontId="40" fillId="16" borderId="0" xfId="0" applyFont="1" applyFill="1" applyAlignment="1" applyProtection="1">
      <alignment horizontal="right" vertical="top"/>
      <protection hidden="1"/>
    </xf>
    <xf numFmtId="0" fontId="37" fillId="14" borderId="50" xfId="0" applyFont="1" applyFill="1" applyBorder="1" applyAlignment="1" applyProtection="1">
      <alignment horizontal="center" vertical="center" wrapText="1"/>
      <protection locked="0" hidden="1"/>
    </xf>
    <xf numFmtId="0" fontId="37" fillId="14" borderId="53" xfId="0" applyFont="1" applyFill="1" applyBorder="1" applyAlignment="1" applyProtection="1">
      <alignment horizontal="center" vertical="center" wrapText="1"/>
      <protection locked="0" hidden="1"/>
    </xf>
    <xf numFmtId="170" fontId="41" fillId="0" borderId="0" xfId="0" applyNumberFormat="1" applyFont="1" applyAlignment="1" applyProtection="1">
      <alignment horizontal="left" vertical="center"/>
      <protection hidden="1"/>
    </xf>
    <xf numFmtId="2" fontId="43" fillId="16" borderId="0" xfId="0" applyNumberFormat="1" applyFont="1" applyFill="1" applyAlignment="1" applyProtection="1">
      <alignment horizontal="right" vertical="top"/>
      <protection hidden="1"/>
    </xf>
    <xf numFmtId="2" fontId="42" fillId="16" borderId="0" xfId="0" applyNumberFormat="1" applyFont="1" applyFill="1" applyAlignment="1" applyProtection="1">
      <alignment horizontal="right" vertical="top"/>
      <protection hidden="1"/>
    </xf>
    <xf numFmtId="0" fontId="39" fillId="14" borderId="50" xfId="0" applyFont="1" applyFill="1" applyBorder="1" applyAlignment="1" applyProtection="1">
      <alignment horizontal="center" vertical="center"/>
      <protection hidden="1"/>
    </xf>
    <xf numFmtId="0" fontId="39" fillId="14" borderId="53" xfId="0" applyFont="1" applyFill="1" applyBorder="1" applyAlignment="1" applyProtection="1">
      <alignment horizontal="center" vertical="center"/>
      <protection hidden="1"/>
    </xf>
    <xf numFmtId="171" fontId="41" fillId="0" borderId="0" xfId="0" applyNumberFormat="1" applyFont="1" applyAlignment="1" applyProtection="1">
      <alignment horizontal="left" vertical="center"/>
      <protection hidden="1"/>
    </xf>
    <xf numFmtId="0" fontId="35" fillId="16" borderId="0" xfId="0" applyFont="1" applyFill="1" applyAlignment="1" applyProtection="1">
      <alignment horizontal="right" vertical="top"/>
      <protection hidden="1"/>
    </xf>
    <xf numFmtId="0" fontId="39" fillId="14" borderId="50" xfId="0" applyFont="1" applyFill="1" applyBorder="1" applyAlignment="1" applyProtection="1">
      <alignment horizontal="center" vertical="center"/>
      <protection locked="0" hidden="1"/>
    </xf>
    <xf numFmtId="0" fontId="39" fillId="14" borderId="53" xfId="0" applyFont="1" applyFill="1" applyBorder="1" applyAlignment="1" applyProtection="1">
      <alignment horizontal="center" vertical="center"/>
      <protection locked="0" hidden="1"/>
    </xf>
    <xf numFmtId="178" fontId="41" fillId="0" borderId="0" xfId="0" applyNumberFormat="1" applyFont="1" applyAlignment="1" applyProtection="1">
      <alignment horizontal="left" vertical="center"/>
      <protection hidden="1"/>
    </xf>
    <xf numFmtId="179" fontId="41" fillId="0" borderId="0" xfId="0" applyNumberFormat="1" applyFont="1" applyAlignment="1" applyProtection="1">
      <alignment horizontal="left" vertical="center"/>
      <protection hidden="1"/>
    </xf>
    <xf numFmtId="0" fontId="43" fillId="16" borderId="0" xfId="0" applyFont="1" applyFill="1" applyAlignment="1">
      <alignment horizontal="right" vertical="top"/>
    </xf>
    <xf numFmtId="0" fontId="35" fillId="16" borderId="0" xfId="0" applyFont="1" applyFill="1" applyAlignment="1">
      <alignment horizontal="right" vertical="top"/>
    </xf>
    <xf numFmtId="184" fontId="41" fillId="0" borderId="0" xfId="0" applyNumberFormat="1" applyFont="1" applyAlignment="1">
      <alignment horizontal="left" vertical="center"/>
    </xf>
    <xf numFmtId="2" fontId="35" fillId="0" borderId="32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168" fontId="35" fillId="0" borderId="32" xfId="0" applyNumberFormat="1" applyFont="1" applyBorder="1" applyAlignment="1">
      <alignment horizontal="center" vertical="center"/>
    </xf>
    <xf numFmtId="168" fontId="35" fillId="0" borderId="30" xfId="0" applyNumberFormat="1" applyFont="1" applyBorder="1" applyAlignment="1">
      <alignment horizontal="center" vertical="center"/>
    </xf>
    <xf numFmtId="0" fontId="41" fillId="0" borderId="0" xfId="0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55A79"/>
      <color rgb="FF336699"/>
      <color rgb="FF0D1B29"/>
      <color rgb="FFB4CDE6"/>
      <color rgb="FF94B8DC"/>
      <color rgb="FFF0F5FA"/>
      <color rgb="FF102132"/>
      <color rgb="FF0000FF"/>
      <color rgb="FFDDDDFF"/>
      <color rgb="FFD7D7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3423626167069208E-2"/>
          <c:y val="4.5759234134339133E-2"/>
          <c:w val="0.89482313075809927"/>
          <c:h val="0.88288349911105135"/>
        </c:manualLayout>
      </c:layout>
      <c:scatterChart>
        <c:scatterStyle val="smoothMarker"/>
        <c:varyColors val="0"/>
        <c:ser>
          <c:idx val="0"/>
          <c:order val="0"/>
          <c:tx>
            <c:v>Chord Line</c:v>
          </c:tx>
          <c:spPr>
            <a:ln w="3175" cap="rnd">
              <a:solidFill>
                <a:srgbClr val="3333FF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Data1!$J$1:$J$51</c:f>
              <c:numCache>
                <c:formatCode>0.00000</c:formatCode>
                <c:ptCount val="51"/>
                <c:pt idx="0">
                  <c:v>1</c:v>
                </c:pt>
                <c:pt idx="1">
                  <c:v>0.99901336421413578</c:v>
                </c:pt>
                <c:pt idx="2">
                  <c:v>0.99605735065723888</c:v>
                </c:pt>
                <c:pt idx="3">
                  <c:v>0.99114362536434442</c:v>
                </c:pt>
                <c:pt idx="4">
                  <c:v>0.98429158056431554</c:v>
                </c:pt>
                <c:pt idx="5">
                  <c:v>0.97552825814757682</c:v>
                </c:pt>
                <c:pt idx="6">
                  <c:v>0.96488824294412567</c:v>
                </c:pt>
                <c:pt idx="7">
                  <c:v>0.95241352623300968</c:v>
                </c:pt>
                <c:pt idx="8">
                  <c:v>0.93815334002193174</c:v>
                </c:pt>
                <c:pt idx="9">
                  <c:v>0.92216396275100743</c:v>
                </c:pt>
                <c:pt idx="10">
                  <c:v>0.90450849718747373</c:v>
                </c:pt>
                <c:pt idx="11">
                  <c:v>0.88525662138789452</c:v>
                </c:pt>
                <c:pt idx="12">
                  <c:v>0.86448431371070567</c:v>
                </c:pt>
                <c:pt idx="13">
                  <c:v>0.84227355296434436</c:v>
                </c:pt>
                <c:pt idx="14">
                  <c:v>0.81871199487434487</c:v>
                </c:pt>
                <c:pt idx="15">
                  <c:v>0.79389262614623646</c:v>
                </c:pt>
                <c:pt idx="16">
                  <c:v>0.76791339748949849</c:v>
                </c:pt>
                <c:pt idx="17">
                  <c:v>0.74087683705085772</c:v>
                </c:pt>
                <c:pt idx="18">
                  <c:v>0.71288964578253633</c:v>
                </c:pt>
                <c:pt idx="19">
                  <c:v>0.68406227634233885</c:v>
                </c:pt>
                <c:pt idx="20">
                  <c:v>0.6545084971874735</c:v>
                </c:pt>
                <c:pt idx="21">
                  <c:v>0.62434494358242743</c:v>
                </c:pt>
                <c:pt idx="22">
                  <c:v>0.5936906572928623</c:v>
                </c:pt>
                <c:pt idx="23">
                  <c:v>0.56266661678215213</c:v>
                </c:pt>
                <c:pt idx="24">
                  <c:v>0.53139525976465674</c:v>
                </c:pt>
                <c:pt idx="25">
                  <c:v>0.49999999999999994</c:v>
                </c:pt>
                <c:pt idx="26">
                  <c:v>0.46860474023534326</c:v>
                </c:pt>
                <c:pt idx="27">
                  <c:v>0.43733338321784776</c:v>
                </c:pt>
                <c:pt idx="28">
                  <c:v>0.40630934270713764</c:v>
                </c:pt>
                <c:pt idx="29">
                  <c:v>0.37565505641757263</c:v>
                </c:pt>
                <c:pt idx="30">
                  <c:v>0.34549150281252627</c:v>
                </c:pt>
                <c:pt idx="31">
                  <c:v>0.31593772365766093</c:v>
                </c:pt>
                <c:pt idx="32">
                  <c:v>0.28711035421746367</c:v>
                </c:pt>
                <c:pt idx="33">
                  <c:v>0.25912316294914239</c:v>
                </c:pt>
                <c:pt idx="34">
                  <c:v>0.23208660251050173</c:v>
                </c:pt>
                <c:pt idx="35">
                  <c:v>0.20610737385376338</c:v>
                </c:pt>
                <c:pt idx="36">
                  <c:v>0.18128800512565513</c:v>
                </c:pt>
                <c:pt idx="37">
                  <c:v>0.15772644703565569</c:v>
                </c:pt>
                <c:pt idx="38">
                  <c:v>0.13551568628929422</c:v>
                </c:pt>
                <c:pt idx="39">
                  <c:v>0.11474337861210537</c:v>
                </c:pt>
                <c:pt idx="40">
                  <c:v>9.5491502812526274E-2</c:v>
                </c:pt>
                <c:pt idx="41">
                  <c:v>7.7836037248992462E-2</c:v>
                </c:pt>
                <c:pt idx="42">
                  <c:v>6.1846659978068208E-2</c:v>
                </c:pt>
                <c:pt idx="43">
                  <c:v>4.7586473766990212E-2</c:v>
                </c:pt>
                <c:pt idx="44">
                  <c:v>3.5111757055874271E-2</c:v>
                </c:pt>
                <c:pt idx="45">
                  <c:v>2.4471741852423234E-2</c:v>
                </c:pt>
                <c:pt idx="46">
                  <c:v>1.5708419435684462E-2</c:v>
                </c:pt>
                <c:pt idx="47">
                  <c:v>8.8563746356556394E-3</c:v>
                </c:pt>
                <c:pt idx="48">
                  <c:v>3.942649342761062E-3</c:v>
                </c:pt>
                <c:pt idx="49">
                  <c:v>9.8663578586422052E-4</c:v>
                </c:pt>
                <c:pt idx="50">
                  <c:v>0</c:v>
                </c:pt>
              </c:numCache>
            </c:numRef>
          </c:xVal>
          <c:yVal>
            <c:numRef>
              <c:f>Data1!$Q$1:$Q$51</c:f>
              <c:numCache>
                <c:formatCode>0.00000</c:formatCode>
                <c:ptCount val="5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C9B-4D10-9892-122FC05C7264}"/>
            </c:ext>
          </c:extLst>
        </c:ser>
        <c:ser>
          <c:idx val="1"/>
          <c:order val="1"/>
          <c:tx>
            <c:v>Mean Line</c:v>
          </c:tx>
          <c:spPr>
            <a:ln w="6350" cap="rnd">
              <a:solidFill>
                <a:srgbClr val="FF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Data1!$L$1:$L$51</c:f>
              <c:numCache>
                <c:formatCode>0.00000</c:formatCode>
                <c:ptCount val="51"/>
                <c:pt idx="0">
                  <c:v>1</c:v>
                </c:pt>
                <c:pt idx="1">
                  <c:v>0.99901336421413578</c:v>
                </c:pt>
                <c:pt idx="2">
                  <c:v>0.99605735065723888</c:v>
                </c:pt>
                <c:pt idx="3">
                  <c:v>0.99114362536434442</c:v>
                </c:pt>
                <c:pt idx="4">
                  <c:v>0.98429158056431554</c:v>
                </c:pt>
                <c:pt idx="5">
                  <c:v>0.97552825814757682</c:v>
                </c:pt>
                <c:pt idx="6">
                  <c:v>0.96488824294412567</c:v>
                </c:pt>
                <c:pt idx="7">
                  <c:v>0.95241352623300968</c:v>
                </c:pt>
                <c:pt idx="8">
                  <c:v>0.93815334002193174</c:v>
                </c:pt>
                <c:pt idx="9">
                  <c:v>0.92216396275100743</c:v>
                </c:pt>
                <c:pt idx="10">
                  <c:v>0.90450849718747373</c:v>
                </c:pt>
                <c:pt idx="11">
                  <c:v>0.88525662138789452</c:v>
                </c:pt>
                <c:pt idx="12">
                  <c:v>0.86448431371070567</c:v>
                </c:pt>
                <c:pt idx="13">
                  <c:v>0.84227355296434436</c:v>
                </c:pt>
                <c:pt idx="14">
                  <c:v>0.81871199487434487</c:v>
                </c:pt>
                <c:pt idx="15">
                  <c:v>0.79389262614623646</c:v>
                </c:pt>
                <c:pt idx="16">
                  <c:v>0.76791339748949849</c:v>
                </c:pt>
                <c:pt idx="17">
                  <c:v>0.74087683705085772</c:v>
                </c:pt>
                <c:pt idx="18">
                  <c:v>0.71288964578253633</c:v>
                </c:pt>
                <c:pt idx="19">
                  <c:v>0.68406227634233885</c:v>
                </c:pt>
                <c:pt idx="20">
                  <c:v>0.6545084971874735</c:v>
                </c:pt>
                <c:pt idx="21">
                  <c:v>0.62434494358242743</c:v>
                </c:pt>
                <c:pt idx="22">
                  <c:v>0.5936906572928623</c:v>
                </c:pt>
                <c:pt idx="23">
                  <c:v>0.56266661678215213</c:v>
                </c:pt>
                <c:pt idx="24">
                  <c:v>0.53139525976465674</c:v>
                </c:pt>
                <c:pt idx="25">
                  <c:v>0.49999999999999994</c:v>
                </c:pt>
                <c:pt idx="26">
                  <c:v>0.46860474023534326</c:v>
                </c:pt>
                <c:pt idx="27">
                  <c:v>0.43733338321784776</c:v>
                </c:pt>
                <c:pt idx="28">
                  <c:v>0.40630934270713764</c:v>
                </c:pt>
                <c:pt idx="29">
                  <c:v>0.37565505641757263</c:v>
                </c:pt>
                <c:pt idx="30">
                  <c:v>0.34549150281252627</c:v>
                </c:pt>
                <c:pt idx="31">
                  <c:v>0.31593772365766093</c:v>
                </c:pt>
                <c:pt idx="32">
                  <c:v>0.28711035421746367</c:v>
                </c:pt>
                <c:pt idx="33">
                  <c:v>0.25912316294914239</c:v>
                </c:pt>
                <c:pt idx="34">
                  <c:v>0.23208660251050173</c:v>
                </c:pt>
                <c:pt idx="35">
                  <c:v>0.20610737385376338</c:v>
                </c:pt>
                <c:pt idx="36">
                  <c:v>0.18128800512565513</c:v>
                </c:pt>
                <c:pt idx="37">
                  <c:v>0.15772644703565569</c:v>
                </c:pt>
                <c:pt idx="38">
                  <c:v>0.13551568628929422</c:v>
                </c:pt>
                <c:pt idx="39">
                  <c:v>0.11474337861210537</c:v>
                </c:pt>
                <c:pt idx="40">
                  <c:v>9.5491502812526274E-2</c:v>
                </c:pt>
                <c:pt idx="41">
                  <c:v>7.7836037248992462E-2</c:v>
                </c:pt>
                <c:pt idx="42">
                  <c:v>6.1846659978068208E-2</c:v>
                </c:pt>
                <c:pt idx="43">
                  <c:v>4.7586473766990212E-2</c:v>
                </c:pt>
                <c:pt idx="44">
                  <c:v>3.5111757055874271E-2</c:v>
                </c:pt>
                <c:pt idx="45">
                  <c:v>2.4471741852423234E-2</c:v>
                </c:pt>
                <c:pt idx="46">
                  <c:v>1.5708419435684462E-2</c:v>
                </c:pt>
                <c:pt idx="47">
                  <c:v>8.8563746356556394E-3</c:v>
                </c:pt>
                <c:pt idx="48">
                  <c:v>3.942649342761062E-3</c:v>
                </c:pt>
                <c:pt idx="49">
                  <c:v>9.8663578586422052E-4</c:v>
                </c:pt>
                <c:pt idx="50">
                  <c:v>0</c:v>
                </c:pt>
              </c:numCache>
            </c:numRef>
          </c:xVal>
          <c:yVal>
            <c:numRef>
              <c:f>Data1!$R$1:$R$51</c:f>
              <c:numCache>
                <c:formatCode>0.00000</c:formatCode>
                <c:ptCount val="5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C9B-4D10-9892-122FC05C7264}"/>
            </c:ext>
          </c:extLst>
        </c:ser>
        <c:ser>
          <c:idx val="3"/>
          <c:order val="2"/>
          <c:tx>
            <c:v>Leading-edge Radius</c:v>
          </c:tx>
          <c:spPr>
            <a:ln w="31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Data1!$W$1:$W$51</c:f>
              <c:numCache>
                <c:formatCode>0.0000</c:formatCode>
                <c:ptCount val="51"/>
                <c:pt idx="0">
                  <c:v>3.165511504545114E-2</c:v>
                </c:pt>
                <c:pt idx="1">
                  <c:v>3.1529999564755933E-2</c:v>
                </c:pt>
                <c:pt idx="2">
                  <c:v>3.115662626854122E-2</c:v>
                </c:pt>
                <c:pt idx="3">
                  <c:v>3.0540883476730715E-2</c:v>
                </c:pt>
                <c:pt idx="4">
                  <c:v>2.9692481820978188E-2</c:v>
                </c:pt>
                <c:pt idx="5">
                  <c:v>2.8624801102205426E-2</c:v>
                </c:pt>
                <c:pt idx="6">
                  <c:v>2.7354679283149035E-2</c:v>
                </c:pt>
                <c:pt idx="7">
                  <c:v>2.5902146943629526E-2</c:v>
                </c:pt>
                <c:pt idx="8">
                  <c:v>2.4290111386341878E-2</c:v>
                </c:pt>
                <c:pt idx="9">
                  <c:v>2.2543995375007887E-2</c:v>
                </c:pt>
                <c:pt idx="10">
                  <c:v>2.0691336202205434E-2</c:v>
                </c:pt>
                <c:pt idx="11">
                  <c:v>1.8761351409814556E-2</c:v>
                </c:pt>
                <c:pt idx="12">
                  <c:v>1.6784478010928295E-2</c:v>
                </c:pt>
                <c:pt idx="13">
                  <c:v>1.4791892479974008E-2</c:v>
                </c:pt>
                <c:pt idx="14">
                  <c:v>1.2815019081087743E-2</c:v>
                </c:pt>
                <c:pt idx="15">
                  <c:v>1.0885034288696867E-2</c:v>
                </c:pt>
                <c:pt idx="16">
                  <c:v>9.0323751158944091E-3</c:v>
                </c:pt>
                <c:pt idx="17">
                  <c:v>7.2862591045604157E-3</c:v>
                </c:pt>
                <c:pt idx="18">
                  <c:v>5.6742235472727652E-3</c:v>
                </c:pt>
                <c:pt idx="19">
                  <c:v>4.2216912077532509E-3</c:v>
                </c:pt>
                <c:pt idx="20">
                  <c:v>2.9515693886968553E-3</c:v>
                </c:pt>
                <c:pt idx="21">
                  <c:v>1.8838886699240971E-3</c:v>
                </c:pt>
                <c:pt idx="22">
                  <c:v>1.035487014171565E-3</c:v>
                </c:pt>
                <c:pt idx="23">
                  <c:v>4.1974422236106353E-4</c:v>
                </c:pt>
                <c:pt idx="24">
                  <c:v>4.6370926146355202E-5</c:v>
                </c:pt>
                <c:pt idx="25">
                  <c:v>-7.8744554548854838E-5</c:v>
                </c:pt>
                <c:pt idx="26">
                  <c:v>4.6370926146360488E-5</c:v>
                </c:pt>
                <c:pt idx="27">
                  <c:v>4.1974422236107237E-4</c:v>
                </c:pt>
                <c:pt idx="28">
                  <c:v>1.0354870141715791E-3</c:v>
                </c:pt>
                <c:pt idx="29">
                  <c:v>1.8838886699241147E-3</c:v>
                </c:pt>
                <c:pt idx="30">
                  <c:v>2.9515693886968783E-3</c:v>
                </c:pt>
                <c:pt idx="31">
                  <c:v>4.2216912077532778E-3</c:v>
                </c:pt>
                <c:pt idx="32">
                  <c:v>5.6742235472727895E-3</c:v>
                </c:pt>
                <c:pt idx="33">
                  <c:v>7.2862591045604417E-3</c:v>
                </c:pt>
                <c:pt idx="34">
                  <c:v>9.0323751158944386E-3</c:v>
                </c:pt>
                <c:pt idx="35">
                  <c:v>1.0885034288696895E-2</c:v>
                </c:pt>
                <c:pt idx="36">
                  <c:v>1.2815019081087776E-2</c:v>
                </c:pt>
                <c:pt idx="37">
                  <c:v>1.4791892479974044E-2</c:v>
                </c:pt>
                <c:pt idx="38">
                  <c:v>1.6784478010928337E-2</c:v>
                </c:pt>
                <c:pt idx="39">
                  <c:v>1.8761351409814601E-2</c:v>
                </c:pt>
                <c:pt idx="40">
                  <c:v>2.0691336202205479E-2</c:v>
                </c:pt>
                <c:pt idx="41">
                  <c:v>2.2543995375007935E-2</c:v>
                </c:pt>
                <c:pt idx="42">
                  <c:v>2.4290111386341923E-2</c:v>
                </c:pt>
                <c:pt idx="43">
                  <c:v>2.5902146943629571E-2</c:v>
                </c:pt>
                <c:pt idx="44">
                  <c:v>2.735467928314908E-2</c:v>
                </c:pt>
                <c:pt idx="45">
                  <c:v>2.8624801102205468E-2</c:v>
                </c:pt>
                <c:pt idx="46">
                  <c:v>2.9692481820978219E-2</c:v>
                </c:pt>
                <c:pt idx="47">
                  <c:v>3.0540883476730743E-2</c:v>
                </c:pt>
                <c:pt idx="48">
                  <c:v>3.1156626268541241E-2</c:v>
                </c:pt>
                <c:pt idx="49">
                  <c:v>3.1529999564755939E-2</c:v>
                </c:pt>
                <c:pt idx="50">
                  <c:v>3.165511504545114E-2</c:v>
                </c:pt>
              </c:numCache>
            </c:numRef>
          </c:xVal>
          <c:yVal>
            <c:numRef>
              <c:f>Data1!$X$1:$X$51</c:f>
              <c:numCache>
                <c:formatCode>0.0000</c:formatCode>
                <c:ptCount val="5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5E-43FD-88F2-F56B7C2DC109}"/>
            </c:ext>
          </c:extLst>
        </c:ser>
        <c:ser>
          <c:idx val="2"/>
          <c:order val="3"/>
          <c:tx>
            <c:v>Profile</c:v>
          </c:tx>
          <c:spPr>
            <a:ln w="12700" cap="rnd">
              <a:solidFill>
                <a:srgbClr val="0000E6"/>
              </a:solidFill>
              <a:round/>
            </a:ln>
            <a:effectLst/>
          </c:spPr>
          <c:marker>
            <c:symbol val="none"/>
          </c:marker>
          <c:xVal>
            <c:numRef>
              <c:f>Data1!$N$1:$N$102</c:f>
              <c:numCache>
                <c:formatCode>0.00000</c:formatCode>
                <c:ptCount val="102"/>
                <c:pt idx="0">
                  <c:v>1</c:v>
                </c:pt>
                <c:pt idx="1">
                  <c:v>0.99910622881433664</c:v>
                </c:pt>
                <c:pt idx="2">
                  <c:v>0.99617708438780161</c:v>
                </c:pt>
                <c:pt idx="3">
                  <c:v>0.9913072078737627</c:v>
                </c:pt>
                <c:pt idx="4">
                  <c:v>0.98451462489315267</c:v>
                </c:pt>
                <c:pt idx="5">
                  <c:v>0.97582452829540789</c:v>
                </c:pt>
                <c:pt idx="6">
                  <c:v>0.96526923140658394</c:v>
                </c:pt>
                <c:pt idx="7">
                  <c:v>0.95288810300159998</c:v>
                </c:pt>
                <c:pt idx="8">
                  <c:v>0.93872748098961378</c:v>
                </c:pt>
                <c:pt idx="9">
                  <c:v>0.92284056179918406</c:v>
                </c:pt>
                <c:pt idx="10">
                  <c:v>0.90528726273725746</c:v>
                </c:pt>
                <c:pt idx="11">
                  <c:v>0.88613405514123511</c:v>
                </c:pt>
                <c:pt idx="12">
                  <c:v>0.86545376688862774</c:v>
                </c:pt>
                <c:pt idx="13">
                  <c:v>0.84332535369640793</c:v>
                </c:pt>
                <c:pt idx="14">
                  <c:v>0.81983363954277588</c:v>
                </c:pt>
                <c:pt idx="15">
                  <c:v>0.79506902738604901</c:v>
                </c:pt>
                <c:pt idx="16">
                  <c:v>0.76912718205473141</c:v>
                </c:pt>
                <c:pt idx="17">
                  <c:v>0.74210868767209515</c:v>
                </c:pt>
                <c:pt idx="18">
                  <c:v>0.71411868221451558</c:v>
                </c:pt>
                <c:pt idx="19">
                  <c:v>0.6852664717710657</c:v>
                </c:pt>
                <c:pt idx="20">
                  <c:v>0.65566512678938682</c:v>
                </c:pt>
                <c:pt idx="21">
                  <c:v>0.62543106210615829</c:v>
                </c:pt>
                <c:pt idx="22">
                  <c:v>0.59468360194146053</c:v>
                </c:pt>
                <c:pt idx="23">
                  <c:v>0.56354453037470809</c:v>
                </c:pt>
                <c:pt idx="24">
                  <c:v>0.53213762721385693</c:v>
                </c:pt>
                <c:pt idx="25">
                  <c:v>0.50058818871540367</c:v>
                </c:pt>
                <c:pt idx="26">
                  <c:v>0.46902253239358693</c:v>
                </c:pt>
                <c:pt idx="27">
                  <c:v>0.43756748523407851</c:v>
                </c:pt>
                <c:pt idx="28">
                  <c:v>0.4063498550311358</c:v>
                </c:pt>
                <c:pt idx="29">
                  <c:v>0.37529692671175147</c:v>
                </c:pt>
                <c:pt idx="30">
                  <c:v>0.3446797461097223</c:v>
                </c:pt>
                <c:pt idx="31">
                  <c:v>0.31467790963018089</c:v>
                </c:pt>
                <c:pt idx="32">
                  <c:v>0.28541824661218951</c:v>
                </c:pt>
                <c:pt idx="33">
                  <c:v>0.25702471668133464</c:v>
                </c:pt>
                <c:pt idx="34">
                  <c:v>0.22961766186542332</c:v>
                </c:pt>
                <c:pt idx="35">
                  <c:v>0.20331306867323345</c:v>
                </c:pt>
                <c:pt idx="36">
                  <c:v>0.17822185618834593</c:v>
                </c:pt>
                <c:pt idx="37">
                  <c:v>0.15444920637551968</c:v>
                </c:pt>
                <c:pt idx="38">
                  <c:v>0.13209395184789172</c:v>
                </c:pt>
                <c:pt idx="39">
                  <c:v>0.11124803432133949</c:v>
                </c:pt>
                <c:pt idx="40">
                  <c:v>9.199604400546596E-2</c:v>
                </c:pt>
                <c:pt idx="41">
                  <c:v>7.4414846453686317E-2</c:v>
                </c:pt>
                <c:pt idx="42">
                  <c:v>5.8573299192548021E-2</c:v>
                </c:pt>
                <c:pt idx="43">
                  <c:v>4.4532056093878759E-2</c:v>
                </c:pt>
                <c:pt idx="44">
                  <c:v>3.2343453282489693E-2</c:v>
                </c:pt>
                <c:pt idx="45">
                  <c:v>2.2051466716221498E-2</c:v>
                </c:pt>
                <c:pt idx="46">
                  <c:v>1.3691728724409448E-2</c:v>
                </c:pt>
                <c:pt idx="47">
                  <c:v>7.2915889718404639E-3</c:v>
                </c:pt>
                <c:pt idx="48">
                  <c:v>2.8702046713031367E-3</c:v>
                </c:pt>
                <c:pt idx="49">
                  <c:v>4.3864544682676026E-4</c:v>
                </c:pt>
                <c:pt idx="50">
                  <c:v>0</c:v>
                </c:pt>
                <c:pt idx="51">
                  <c:v>0</c:v>
                </c:pt>
                <c:pt idx="52">
                  <c:v>1.5346261249016809E-3</c:v>
                </c:pt>
                <c:pt idx="53">
                  <c:v>5.0150940142189874E-3</c:v>
                </c:pt>
                <c:pt idx="54">
                  <c:v>1.0421160299470815E-2</c:v>
                </c:pt>
                <c:pt idx="55">
                  <c:v>1.7725110146959475E-2</c:v>
                </c:pt>
                <c:pt idx="56">
                  <c:v>2.6892016988624971E-2</c:v>
                </c:pt>
                <c:pt idx="57">
                  <c:v>3.7880060829258849E-2</c:v>
                </c:pt>
                <c:pt idx="58">
                  <c:v>5.0640891440101664E-2</c:v>
                </c:pt>
                <c:pt idx="59">
                  <c:v>6.5120020763588402E-2</c:v>
                </c:pt>
                <c:pt idx="60">
                  <c:v>8.1257228044298607E-2</c:v>
                </c:pt>
                <c:pt idx="61">
                  <c:v>9.8986961619586589E-2</c:v>
                </c:pt>
                <c:pt idx="62">
                  <c:v>0.11823872290287125</c:v>
                </c:pt>
                <c:pt idx="63">
                  <c:v>0.13893742073069673</c:v>
                </c:pt>
                <c:pt idx="64">
                  <c:v>0.16100368769579171</c:v>
                </c:pt>
                <c:pt idx="65">
                  <c:v>0.18435415406296432</c:v>
                </c:pt>
                <c:pt idx="66">
                  <c:v>0.2089016790342933</c:v>
                </c:pt>
                <c:pt idx="67">
                  <c:v>0.23455554315558014</c:v>
                </c:pt>
                <c:pt idx="68">
                  <c:v>0.26122160921695015</c:v>
                </c:pt>
                <c:pt idx="69">
                  <c:v>0.28880246182273783</c:v>
                </c:pt>
                <c:pt idx="70">
                  <c:v>0.31719753768514097</c:v>
                </c:pt>
                <c:pt idx="71">
                  <c:v>0.34630325951533025</c:v>
                </c:pt>
                <c:pt idx="72">
                  <c:v>0.37601318612339379</c:v>
                </c:pt>
                <c:pt idx="73">
                  <c:v>0.40626883038313949</c:v>
                </c:pt>
                <c:pt idx="74">
                  <c:v>0.43709928120161701</c:v>
                </c:pt>
                <c:pt idx="75">
                  <c:v>0.4681869480770996</c:v>
                </c:pt>
                <c:pt idx="76">
                  <c:v>0.49941181128459622</c:v>
                </c:pt>
                <c:pt idx="77">
                  <c:v>0.53065289231545654</c:v>
                </c:pt>
                <c:pt idx="78">
                  <c:v>0.56178870318959617</c:v>
                </c:pt>
                <c:pt idx="79">
                  <c:v>0.59269771264426407</c:v>
                </c:pt>
                <c:pt idx="80">
                  <c:v>0.62325882505869656</c:v>
                </c:pt>
                <c:pt idx="81">
                  <c:v>0.65335186758556019</c:v>
                </c:pt>
                <c:pt idx="82">
                  <c:v>0.682858080913612</c:v>
                </c:pt>
                <c:pt idx="83">
                  <c:v>0.71166060935055708</c:v>
                </c:pt>
                <c:pt idx="84">
                  <c:v>0.73964498642962029</c:v>
                </c:pt>
                <c:pt idx="85">
                  <c:v>0.76669961292426558</c:v>
                </c:pt>
                <c:pt idx="86">
                  <c:v>0.79271622490642391</c:v>
                </c:pt>
                <c:pt idx="87">
                  <c:v>0.81759035020591386</c:v>
                </c:pt>
                <c:pt idx="88">
                  <c:v>0.84122175223228079</c:v>
                </c:pt>
                <c:pt idx="89">
                  <c:v>0.86351486053278359</c:v>
                </c:pt>
                <c:pt idx="90">
                  <c:v>0.88437918763455392</c:v>
                </c:pt>
                <c:pt idx="91">
                  <c:v>0.90372973163768999</c:v>
                </c:pt>
                <c:pt idx="92">
                  <c:v>0.9214873637028308</c:v>
                </c:pt>
                <c:pt idx="93">
                  <c:v>0.93757919905424969</c:v>
                </c:pt>
                <c:pt idx="94">
                  <c:v>0.95193894946441937</c:v>
                </c:pt>
                <c:pt idx="95">
                  <c:v>0.96450725448166741</c:v>
                </c:pt>
                <c:pt idx="96">
                  <c:v>0.97523198799974575</c:v>
                </c:pt>
                <c:pt idx="97">
                  <c:v>0.98406853623547841</c:v>
                </c:pt>
                <c:pt idx="98">
                  <c:v>0.99098004285492614</c:v>
                </c:pt>
                <c:pt idx="99">
                  <c:v>0.99593761692667615</c:v>
                </c:pt>
                <c:pt idx="100">
                  <c:v>0.99892049961393492</c:v>
                </c:pt>
                <c:pt idx="101">
                  <c:v>1</c:v>
                </c:pt>
              </c:numCache>
            </c:numRef>
          </c:xVal>
          <c:yVal>
            <c:numRef>
              <c:f>Data1!$O$1:$O$102</c:f>
              <c:numCache>
                <c:formatCode>0.00000</c:formatCode>
                <c:ptCount val="102"/>
                <c:pt idx="0">
                  <c:v>0</c:v>
                </c:pt>
                <c:pt idx="1">
                  <c:v>1.4609850027825157E-3</c:v>
                </c:pt>
                <c:pt idx="2">
                  <c:v>2.069865431293093E-3</c:v>
                </c:pt>
                <c:pt idx="3">
                  <c:v>3.0765664160489052E-3</c:v>
                </c:pt>
                <c:pt idx="4">
                  <c:v>4.4691310294907374E-3</c:v>
                </c:pt>
                <c:pt idx="5">
                  <c:v>6.2311945974682717E-3</c:v>
                </c:pt>
                <c:pt idx="6">
                  <c:v>8.3423363635386424E-3</c:v>
                </c:pt>
                <c:pt idx="7">
                  <c:v>1.0778499994499679E-2</c:v>
                </c:pt>
                <c:pt idx="8">
                  <c:v>1.3512462117754863E-2</c:v>
                </c:pt>
                <c:pt idx="9">
                  <c:v>1.6514326457288109E-2</c:v>
                </c:pt>
                <c:pt idx="10">
                  <c:v>1.9752020993291763E-2</c:v>
                </c:pt>
                <c:pt idx="11">
                  <c:v>2.3191776918673121E-2</c:v>
                </c:pt>
                <c:pt idx="12">
                  <c:v>2.6798570911003475E-2</c:v>
                </c:pt>
                <c:pt idx="13">
                  <c:v>3.053651619272979E-2</c:v>
                </c:pt>
                <c:pt idx="14">
                  <c:v>3.4369192743289603E-2</c:v>
                </c:pt>
                <c:pt idx="15">
                  <c:v>3.8259912514845798E-2</c:v>
                </c:pt>
                <c:pt idx="16">
                  <c:v>4.2171921204142489E-2</c:v>
                </c:pt>
                <c:pt idx="17">
                  <c:v>4.6068543641879761E-2</c:v>
                </c:pt>
                <c:pt idx="18">
                  <c:v>4.9913284780296878E-2</c:v>
                </c:pt>
                <c:pt idx="19">
                  <c:v>5.3669902225494809E-2</c:v>
                </c:pt>
                <c:pt idx="20">
                  <c:v>5.7302468968709254E-2</c:v>
                </c:pt>
                <c:pt idx="21">
                  <c:v>6.0775446196526306E-2</c:v>
                </c:pt>
                <c:pt idx="22">
                  <c:v>6.40537856779516E-2</c:v>
                </c:pt>
                <c:pt idx="23">
                  <c:v>6.7103079218756106E-2</c:v>
                </c:pt>
                <c:pt idx="24">
                  <c:v>6.9889769135027452E-2</c:v>
                </c:pt>
                <c:pt idx="25">
                  <c:v>7.2381428830779623E-2</c:v>
                </c:pt>
                <c:pt idx="26">
                  <c:v>7.4547116668049793E-2</c:v>
                </c:pt>
                <c:pt idx="27">
                  <c:v>7.6357799770179161E-2</c:v>
                </c:pt>
                <c:pt idx="28">
                  <c:v>7.778683763324945E-2</c:v>
                </c:pt>
                <c:pt idx="29">
                  <c:v>7.8768476280165339E-2</c:v>
                </c:pt>
                <c:pt idx="30">
                  <c:v>7.9197789034213678E-2</c:v>
                </c:pt>
                <c:pt idx="31">
                  <c:v>7.9063392291454815E-2</c:v>
                </c:pt>
                <c:pt idx="32">
                  <c:v>7.836315768310087E-2</c:v>
                </c:pt>
                <c:pt idx="33">
                  <c:v>7.7101650198645288E-2</c:v>
                </c:pt>
                <c:pt idx="34">
                  <c:v>7.5290255856129251E-2</c:v>
                </c:pt>
                <c:pt idx="35">
                  <c:v>7.2947151773948421E-2</c:v>
                </c:pt>
                <c:pt idx="36">
                  <c:v>7.0097098934542745E-2</c:v>
                </c:pt>
                <c:pt idx="37">
                  <c:v>6.6771044858094486E-2</c:v>
                </c:pt>
                <c:pt idx="38">
                  <c:v>6.3005531584345381E-2</c:v>
                </c:pt>
                <c:pt idx="39">
                  <c:v>5.8841913350694816E-2</c:v>
                </c:pt>
                <c:pt idx="40">
                  <c:v>5.4325397658546722E-2</c:v>
                </c:pt>
                <c:pt idx="41">
                  <c:v>4.9503932518050284E-2</c:v>
                </c:pt>
                <c:pt idx="42">
                  <c:v>4.4426971042934013E-2</c:v>
                </c:pt>
                <c:pt idx="43">
                  <c:v>3.9144151759187423E-2</c:v>
                </c:pt>
                <c:pt idx="44">
                  <c:v>3.370393858544353E-2</c:v>
                </c:pt>
                <c:pt idx="45">
                  <c:v>2.8152268116615916E-2</c:v>
                </c:pt>
                <c:pt idx="46">
                  <c:v>2.2531253375158589E-2</c:v>
                </c:pt>
                <c:pt idx="47">
                  <c:v>1.6877992477607191E-2</c:v>
                </c:pt>
                <c:pt idx="48">
                  <c:v>1.1223527704752186E-2</c:v>
                </c:pt>
                <c:pt idx="49">
                  <c:v>5.5919953821796532E-3</c:v>
                </c:pt>
                <c:pt idx="50">
                  <c:v>0</c:v>
                </c:pt>
                <c:pt idx="51">
                  <c:v>0</c:v>
                </c:pt>
                <c:pt idx="52">
                  <c:v>-5.3949115875502954E-3</c:v>
                </c:pt>
                <c:pt idx="53">
                  <c:v>-1.0438883957159967E-2</c:v>
                </c:pt>
                <c:pt idx="54">
                  <c:v>-1.5126326393397836E-2</c:v>
                </c:pt>
                <c:pt idx="55">
                  <c:v>-1.9451258098313547E-2</c:v>
                </c:pt>
                <c:pt idx="56">
                  <c:v>-2.3407636283454183E-2</c:v>
                </c:pt>
                <c:pt idx="57">
                  <c:v>-2.6989796045156361E-2</c:v>
                </c:pt>
                <c:pt idx="58">
                  <c:v>-3.0192975127183497E-2</c:v>
                </c:pt>
                <c:pt idx="59">
                  <c:v>-3.3013891384931063E-2</c:v>
                </c:pt>
                <c:pt idx="60">
                  <c:v>-3.5451337241908423E-2</c:v>
                </c:pt>
                <c:pt idx="61">
                  <c:v>-3.7506753873390149E-2</c:v>
                </c:pt>
                <c:pt idx="62">
                  <c:v>-3.9184748362103977E-2</c:v>
                </c:pt>
                <c:pt idx="63">
                  <c:v>-4.0493519634101145E-2</c:v>
                </c:pt>
                <c:pt idx="64">
                  <c:v>-4.1445163474586239E-2</c:v>
                </c:pt>
                <c:pt idx="65">
                  <c:v>-4.2055833110021604E-2</c:v>
                </c:pt>
                <c:pt idx="66">
                  <c:v>-4.23457393924195E-2</c:v>
                </c:pt>
                <c:pt idx="67">
                  <c:v>-4.233898312024581E-2</c:v>
                </c:pt>
                <c:pt idx="68">
                  <c:v>-4.2063221003008772E-2</c:v>
                </c:pt>
                <c:pt idx="69">
                  <c:v>-4.1549175714327508E-2</c:v>
                </c:pt>
                <c:pt idx="70">
                  <c:v>-4.0830008867418763E-2</c:v>
                </c:pt>
                <c:pt idx="71">
                  <c:v>-3.9940583100622901E-2</c:v>
                </c:pt>
                <c:pt idx="72">
                  <c:v>-3.8916645349673235E-2</c:v>
                </c:pt>
                <c:pt idx="73">
                  <c:v>-3.7791260722737904E-2</c:v>
                </c:pt>
                <c:pt idx="74">
                  <c:v>-3.6512664381567014E-2</c:v>
                </c:pt>
                <c:pt idx="75">
                  <c:v>-3.5070073377245228E-2</c:v>
                </c:pt>
                <c:pt idx="76">
                  <c:v>-3.3492539941890748E-2</c:v>
                </c:pt>
                <c:pt idx="77">
                  <c:v>-3.1808070722652078E-2</c:v>
                </c:pt>
                <c:pt idx="78">
                  <c:v>-3.0043126798239606E-2</c:v>
                </c:pt>
                <c:pt idx="79">
                  <c:v>-2.8222237980456148E-2</c:v>
                </c:pt>
                <c:pt idx="80">
                  <c:v>-2.6367741053304371E-2</c:v>
                </c:pt>
                <c:pt idx="81">
                  <c:v>-2.4499643984334386E-2</c:v>
                </c:pt>
                <c:pt idx="82">
                  <c:v>-2.2635610763360504E-2</c:v>
                </c:pt>
                <c:pt idx="83">
                  <c:v>-2.0791054828954776E-2</c:v>
                </c:pt>
                <c:pt idx="84">
                  <c:v>-1.8979323423857206E-2</c:v>
                </c:pt>
                <c:pt idx="85">
                  <c:v>-1.7211950987727556E-2</c:v>
                </c:pt>
                <c:pt idx="86">
                  <c:v>-1.5498957062887887E-2</c:v>
                </c:pt>
                <c:pt idx="87">
                  <c:v>-1.3849163260139982E-2</c:v>
                </c:pt>
                <c:pt idx="88">
                  <c:v>-1.2270504598474759E-2</c:v>
                </c:pt>
                <c:pt idx="89">
                  <c:v>-1.0770312875815166E-2</c:v>
                </c:pt>
                <c:pt idx="90">
                  <c:v>-9.3555534298724961E-3</c:v>
                </c:pt>
                <c:pt idx="91">
                  <c:v>-8.0330014082210036E-3</c:v>
                </c:pt>
                <c:pt idx="92">
                  <c:v>-6.8093491234920466E-3</c:v>
                </c:pt>
                <c:pt idx="93">
                  <c:v>-5.6912418262838552E-3</c:v>
                </c:pt>
                <c:pt idx="94">
                  <c:v>-4.685244879520583E-3</c:v>
                </c:pt>
                <c:pt idx="95">
                  <c:v>-3.7977504764832477E-3</c:v>
                </c:pt>
                <c:pt idx="96">
                  <c:v>-3.0348363670664714E-3</c:v>
                </c:pt>
                <c:pt idx="97">
                  <c:v>-2.4020922648625223E-3</c:v>
                </c:pt>
                <c:pt idx="98">
                  <c:v>-1.9044315059267201E-3</c:v>
                </c:pt>
                <c:pt idx="99">
                  <c:v>-1.5459060171293835E-3</c:v>
                </c:pt>
                <c:pt idx="100">
                  <c:v>-1.3295417257977262E-3</c:v>
                </c:pt>
                <c:pt idx="10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C9B-4D10-9892-122FC05C7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2430911"/>
        <c:axId val="682431391"/>
      </c:scatterChart>
      <c:valAx>
        <c:axId val="682430911"/>
        <c:scaling>
          <c:orientation val="minMax"/>
          <c:max val="1.1000000000000001"/>
          <c:min val="-0.1"/>
        </c:scaling>
        <c:delete val="0"/>
        <c:axPos val="b"/>
        <c:majorGridlines>
          <c:spPr>
            <a:ln w="25400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one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Segoe UI "/>
                <a:ea typeface="+mn-ea"/>
                <a:cs typeface="+mn-cs"/>
              </a:defRPr>
            </a:pPr>
            <a:endParaRPr lang="en-US"/>
          </a:p>
        </c:txPr>
        <c:crossAx val="682431391"/>
        <c:crosses val="autoZero"/>
        <c:crossBetween val="midCat"/>
        <c:majorUnit val="0.1"/>
      </c:valAx>
      <c:valAx>
        <c:axId val="682431391"/>
        <c:scaling>
          <c:orientation val="minMax"/>
          <c:max val="0.30000000000000004"/>
          <c:min val="-0.4"/>
        </c:scaling>
        <c:delete val="0"/>
        <c:axPos val="l"/>
        <c:majorGridlines>
          <c:spPr>
            <a:ln w="25400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one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Segoe UI "/>
                <a:ea typeface="+mn-ea"/>
                <a:cs typeface="+mn-cs"/>
              </a:defRPr>
            </a:pPr>
            <a:endParaRPr lang="en-US"/>
          </a:p>
        </c:txPr>
        <c:crossAx val="682430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3427572089903903E-2"/>
          <c:y val="4.2386271483506426E-2"/>
          <c:w val="0.89346918718279711"/>
          <c:h val="0.88609220359083041"/>
        </c:manualLayout>
      </c:layout>
      <c:scatterChart>
        <c:scatterStyle val="smoothMarker"/>
        <c:varyColors val="0"/>
        <c:ser>
          <c:idx val="0"/>
          <c:order val="0"/>
          <c:tx>
            <c:v>Chord Line</c:v>
          </c:tx>
          <c:spPr>
            <a:ln w="3175" cap="rnd">
              <a:solidFill>
                <a:srgbClr val="3333FF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Data2!$Q$1:$Q$51</c:f>
              <c:numCache>
                <c:formatCode>0.00000</c:formatCode>
                <c:ptCount val="51"/>
                <c:pt idx="0">
                  <c:v>1</c:v>
                </c:pt>
                <c:pt idx="1">
                  <c:v>0.99901336421413578</c:v>
                </c:pt>
                <c:pt idx="2">
                  <c:v>0.99605735065723888</c:v>
                </c:pt>
                <c:pt idx="3">
                  <c:v>0.99114362536434442</c:v>
                </c:pt>
                <c:pt idx="4">
                  <c:v>0.98429158056431554</c:v>
                </c:pt>
                <c:pt idx="5">
                  <c:v>0.97552825814757682</c:v>
                </c:pt>
                <c:pt idx="6">
                  <c:v>0.96488824294412567</c:v>
                </c:pt>
                <c:pt idx="7">
                  <c:v>0.95241352623300968</c:v>
                </c:pt>
                <c:pt idx="8">
                  <c:v>0.93815334002193174</c:v>
                </c:pt>
                <c:pt idx="9">
                  <c:v>0.92216396275100743</c:v>
                </c:pt>
                <c:pt idx="10">
                  <c:v>0.90450849718747373</c:v>
                </c:pt>
                <c:pt idx="11">
                  <c:v>0.88525662138789452</c:v>
                </c:pt>
                <c:pt idx="12">
                  <c:v>0.86448431371070567</c:v>
                </c:pt>
                <c:pt idx="13">
                  <c:v>0.84227355296434436</c:v>
                </c:pt>
                <c:pt idx="14">
                  <c:v>0.81871199487434487</c:v>
                </c:pt>
                <c:pt idx="15">
                  <c:v>0.79389262614623646</c:v>
                </c:pt>
                <c:pt idx="16">
                  <c:v>0.76791339748949849</c:v>
                </c:pt>
                <c:pt idx="17">
                  <c:v>0.74087683705085772</c:v>
                </c:pt>
                <c:pt idx="18">
                  <c:v>0.71288964578253633</c:v>
                </c:pt>
                <c:pt idx="19">
                  <c:v>0.68406227634233885</c:v>
                </c:pt>
                <c:pt idx="20">
                  <c:v>0.6545084971874735</c:v>
                </c:pt>
                <c:pt idx="21">
                  <c:v>0.62434494358242743</c:v>
                </c:pt>
                <c:pt idx="22">
                  <c:v>0.5936906572928623</c:v>
                </c:pt>
                <c:pt idx="23">
                  <c:v>0.56266661678215213</c:v>
                </c:pt>
                <c:pt idx="24">
                  <c:v>0.53139525976465674</c:v>
                </c:pt>
                <c:pt idx="25">
                  <c:v>0.49999999999999994</c:v>
                </c:pt>
                <c:pt idx="26">
                  <c:v>0.46860474023534326</c:v>
                </c:pt>
                <c:pt idx="27">
                  <c:v>0.43733338321784776</c:v>
                </c:pt>
                <c:pt idx="28">
                  <c:v>0.40630934270713764</c:v>
                </c:pt>
                <c:pt idx="29">
                  <c:v>0.37565505641757263</c:v>
                </c:pt>
                <c:pt idx="30">
                  <c:v>0.34549150281252627</c:v>
                </c:pt>
                <c:pt idx="31">
                  <c:v>0.31593772365766093</c:v>
                </c:pt>
                <c:pt idx="32">
                  <c:v>0.28711035421746367</c:v>
                </c:pt>
                <c:pt idx="33">
                  <c:v>0.25912316294914239</c:v>
                </c:pt>
                <c:pt idx="34">
                  <c:v>0.23208660251050173</c:v>
                </c:pt>
                <c:pt idx="35">
                  <c:v>0.20610737385376338</c:v>
                </c:pt>
                <c:pt idx="36">
                  <c:v>0.18128800512565513</c:v>
                </c:pt>
                <c:pt idx="37">
                  <c:v>0.15772644703565569</c:v>
                </c:pt>
                <c:pt idx="38">
                  <c:v>0.13551568628929422</c:v>
                </c:pt>
                <c:pt idx="39">
                  <c:v>0.11474337861210537</c:v>
                </c:pt>
                <c:pt idx="40">
                  <c:v>9.5491502812526274E-2</c:v>
                </c:pt>
                <c:pt idx="41">
                  <c:v>7.7836037248992462E-2</c:v>
                </c:pt>
                <c:pt idx="42">
                  <c:v>6.1846659978068208E-2</c:v>
                </c:pt>
                <c:pt idx="43">
                  <c:v>4.7586473766990212E-2</c:v>
                </c:pt>
                <c:pt idx="44">
                  <c:v>3.5111757055874271E-2</c:v>
                </c:pt>
                <c:pt idx="45">
                  <c:v>2.4471741852423234E-2</c:v>
                </c:pt>
                <c:pt idx="46">
                  <c:v>1.5708419435684462E-2</c:v>
                </c:pt>
                <c:pt idx="47">
                  <c:v>8.8563746356556394E-3</c:v>
                </c:pt>
                <c:pt idx="48">
                  <c:v>3.942649342761062E-3</c:v>
                </c:pt>
                <c:pt idx="49">
                  <c:v>9.8663578586422052E-4</c:v>
                </c:pt>
                <c:pt idx="50">
                  <c:v>0</c:v>
                </c:pt>
              </c:numCache>
            </c:numRef>
          </c:xVal>
          <c:yVal>
            <c:numRef>
              <c:f>Data2!$X$1:$X$51</c:f>
              <c:numCache>
                <c:formatCode>0.00000</c:formatCode>
                <c:ptCount val="5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BF-46BD-BF53-648198E5DE05}"/>
            </c:ext>
          </c:extLst>
        </c:ser>
        <c:ser>
          <c:idx val="1"/>
          <c:order val="1"/>
          <c:tx>
            <c:v>Mean Line</c:v>
          </c:tx>
          <c:spPr>
            <a:ln w="6350" cap="rnd">
              <a:solidFill>
                <a:srgbClr val="FF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Data2!$S$1:$S$51</c:f>
              <c:numCache>
                <c:formatCode>0.00000</c:formatCode>
                <c:ptCount val="51"/>
                <c:pt idx="0">
                  <c:v>1</c:v>
                </c:pt>
                <c:pt idx="1">
                  <c:v>0.99901336421413578</c:v>
                </c:pt>
                <c:pt idx="2">
                  <c:v>0.99605735065723888</c:v>
                </c:pt>
                <c:pt idx="3">
                  <c:v>0.99114362536434442</c:v>
                </c:pt>
                <c:pt idx="4">
                  <c:v>0.98429158056431554</c:v>
                </c:pt>
                <c:pt idx="5">
                  <c:v>0.97552825814757682</c:v>
                </c:pt>
                <c:pt idx="6">
                  <c:v>0.96488824294412567</c:v>
                </c:pt>
                <c:pt idx="7">
                  <c:v>0.95241352623300968</c:v>
                </c:pt>
                <c:pt idx="8">
                  <c:v>0.93815334002193174</c:v>
                </c:pt>
                <c:pt idx="9">
                  <c:v>0.92216396275100743</c:v>
                </c:pt>
                <c:pt idx="10">
                  <c:v>0.90450849718747373</c:v>
                </c:pt>
                <c:pt idx="11">
                  <c:v>0.88525662138789452</c:v>
                </c:pt>
                <c:pt idx="12">
                  <c:v>0.86448431371070567</c:v>
                </c:pt>
                <c:pt idx="13">
                  <c:v>0.84227355296434436</c:v>
                </c:pt>
                <c:pt idx="14">
                  <c:v>0.81871199487434487</c:v>
                </c:pt>
                <c:pt idx="15">
                  <c:v>0.79389262614623646</c:v>
                </c:pt>
                <c:pt idx="16">
                  <c:v>0.76791339748949849</c:v>
                </c:pt>
                <c:pt idx="17">
                  <c:v>0.74087683705085772</c:v>
                </c:pt>
                <c:pt idx="18">
                  <c:v>0.71288964578253633</c:v>
                </c:pt>
                <c:pt idx="19">
                  <c:v>0.68406227634233885</c:v>
                </c:pt>
                <c:pt idx="20">
                  <c:v>0.6545084971874735</c:v>
                </c:pt>
                <c:pt idx="21">
                  <c:v>0.62434494358242743</c:v>
                </c:pt>
                <c:pt idx="22">
                  <c:v>0.5936906572928623</c:v>
                </c:pt>
                <c:pt idx="23">
                  <c:v>0.56266661678215213</c:v>
                </c:pt>
                <c:pt idx="24">
                  <c:v>0.53139525976465674</c:v>
                </c:pt>
                <c:pt idx="25">
                  <c:v>0.49999999999999994</c:v>
                </c:pt>
                <c:pt idx="26">
                  <c:v>0.46860474023534326</c:v>
                </c:pt>
                <c:pt idx="27">
                  <c:v>0.43733338321784776</c:v>
                </c:pt>
                <c:pt idx="28">
                  <c:v>0.40630934270713764</c:v>
                </c:pt>
                <c:pt idx="29">
                  <c:v>0.37565505641757263</c:v>
                </c:pt>
                <c:pt idx="30">
                  <c:v>0.34549150281252627</c:v>
                </c:pt>
                <c:pt idx="31">
                  <c:v>0.31593772365766093</c:v>
                </c:pt>
                <c:pt idx="32">
                  <c:v>0.28711035421746367</c:v>
                </c:pt>
                <c:pt idx="33">
                  <c:v>0.25912316294914239</c:v>
                </c:pt>
                <c:pt idx="34">
                  <c:v>0.23208660251050173</c:v>
                </c:pt>
                <c:pt idx="35">
                  <c:v>0.20610737385376338</c:v>
                </c:pt>
                <c:pt idx="36">
                  <c:v>0.18128800512565513</c:v>
                </c:pt>
                <c:pt idx="37">
                  <c:v>0.15772644703565569</c:v>
                </c:pt>
                <c:pt idx="38">
                  <c:v>0.13551568628929422</c:v>
                </c:pt>
                <c:pt idx="39">
                  <c:v>0.11474337861210537</c:v>
                </c:pt>
                <c:pt idx="40">
                  <c:v>9.5491502812526274E-2</c:v>
                </c:pt>
                <c:pt idx="41">
                  <c:v>7.7836037248992462E-2</c:v>
                </c:pt>
                <c:pt idx="42">
                  <c:v>6.1846659978068208E-2</c:v>
                </c:pt>
                <c:pt idx="43">
                  <c:v>4.7586473766990212E-2</c:v>
                </c:pt>
                <c:pt idx="44">
                  <c:v>3.5111757055874271E-2</c:v>
                </c:pt>
                <c:pt idx="45">
                  <c:v>2.4471741852423234E-2</c:v>
                </c:pt>
                <c:pt idx="46">
                  <c:v>1.5708419435684462E-2</c:v>
                </c:pt>
                <c:pt idx="47">
                  <c:v>8.8563746356556394E-3</c:v>
                </c:pt>
                <c:pt idx="48">
                  <c:v>3.942649342761062E-3</c:v>
                </c:pt>
                <c:pt idx="49">
                  <c:v>9.8663578586422052E-4</c:v>
                </c:pt>
                <c:pt idx="50">
                  <c:v>0</c:v>
                </c:pt>
              </c:numCache>
            </c:numRef>
          </c:xVal>
          <c:yVal>
            <c:numRef>
              <c:f>Data2!$Y$1:$Y$51</c:f>
              <c:numCache>
                <c:formatCode>0.00000</c:formatCode>
                <c:ptCount val="5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BF-46BD-BF53-648198E5DE05}"/>
            </c:ext>
          </c:extLst>
        </c:ser>
        <c:ser>
          <c:idx val="3"/>
          <c:order val="2"/>
          <c:tx>
            <c:v>Leading-edge Radius</c:v>
          </c:tx>
          <c:spPr>
            <a:ln w="31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Data2!$AD$1:$AD$51</c:f>
              <c:numCache>
                <c:formatCode>0.000</c:formatCode>
                <c:ptCount val="51"/>
                <c:pt idx="0">
                  <c:v>2.6083103318744284E-2</c:v>
                </c:pt>
                <c:pt idx="1">
                  <c:v>2.5977971560660115E-2</c:v>
                </c:pt>
                <c:pt idx="2">
                  <c:v>2.5664234277035253E-2</c:v>
                </c:pt>
                <c:pt idx="3">
                  <c:v>2.5146839292250041E-2</c:v>
                </c:pt>
                <c:pt idx="4">
                  <c:v>2.4433946234291317E-2</c:v>
                </c:pt>
                <c:pt idx="5">
                  <c:v>2.3536797852544762E-2</c:v>
                </c:pt>
                <c:pt idx="6">
                  <c:v>2.2469542712920988E-2</c:v>
                </c:pt>
                <c:pt idx="7">
                  <c:v>2.1249012066519177E-2</c:v>
                </c:pt>
                <c:pt idx="8">
                  <c:v>1.9894454410742751E-2</c:v>
                </c:pt>
                <c:pt idx="9">
                  <c:v>1.842723192899683E-2</c:v>
                </c:pt>
                <c:pt idx="10">
                  <c:v>1.6870483596294766E-2</c:v>
                </c:pt>
                <c:pt idx="11">
                  <c:v>1.5248760263799658E-2</c:v>
                </c:pt>
                <c:pt idx="12">
                  <c:v>1.3587637477235504E-2</c:v>
                </c:pt>
                <c:pt idx="13">
                  <c:v>1.1913312135253082E-2</c:v>
                </c:pt>
                <c:pt idx="14">
                  <c:v>1.025218934868893E-2</c:v>
                </c:pt>
                <c:pt idx="15">
                  <c:v>8.630466016193817E-3</c:v>
                </c:pt>
                <c:pt idx="16">
                  <c:v>7.0737176834917547E-3</c:v>
                </c:pt>
                <c:pt idx="17">
                  <c:v>5.6064952017458288E-3</c:v>
                </c:pt>
                <c:pt idx="18">
                  <c:v>4.2519375459694007E-3</c:v>
                </c:pt>
                <c:pt idx="19">
                  <c:v>3.0314068995675866E-3</c:v>
                </c:pt>
                <c:pt idx="20">
                  <c:v>1.9641517599438096E-3</c:v>
                </c:pt>
                <c:pt idx="21">
                  <c:v>1.067003378197256E-3</c:v>
                </c:pt>
                <c:pt idx="22">
                  <c:v>3.5411032023853126E-4</c:v>
                </c:pt>
                <c:pt idx="23">
                  <c:v>-1.6328466454668177E-4</c:v>
                </c:pt>
                <c:pt idx="24">
                  <c:v>-4.7702194817154085E-4</c:v>
                </c:pt>
                <c:pt idx="25">
                  <c:v>-5.8215370625571035E-4</c:v>
                </c:pt>
                <c:pt idx="26">
                  <c:v>-4.770219481715364E-4</c:v>
                </c:pt>
                <c:pt idx="27">
                  <c:v>-1.6328466454667437E-4</c:v>
                </c:pt>
                <c:pt idx="28">
                  <c:v>3.5411032023854308E-4</c:v>
                </c:pt>
                <c:pt idx="29">
                  <c:v>1.0670033781972708E-3</c:v>
                </c:pt>
                <c:pt idx="30">
                  <c:v>1.9641517599438291E-3</c:v>
                </c:pt>
                <c:pt idx="31">
                  <c:v>3.0314068995676087E-3</c:v>
                </c:pt>
                <c:pt idx="32">
                  <c:v>4.2519375459694215E-3</c:v>
                </c:pt>
                <c:pt idx="33">
                  <c:v>5.6064952017458513E-3</c:v>
                </c:pt>
                <c:pt idx="34">
                  <c:v>7.0737176834917781E-3</c:v>
                </c:pt>
                <c:pt idx="35">
                  <c:v>8.6304660161938447E-3</c:v>
                </c:pt>
                <c:pt idx="36">
                  <c:v>1.0252189348688958E-2</c:v>
                </c:pt>
                <c:pt idx="37">
                  <c:v>1.1913312135253113E-2</c:v>
                </c:pt>
                <c:pt idx="38">
                  <c:v>1.3587637477235539E-2</c:v>
                </c:pt>
                <c:pt idx="39">
                  <c:v>1.5248760263799692E-2</c:v>
                </c:pt>
                <c:pt idx="40">
                  <c:v>1.6870483596294804E-2</c:v>
                </c:pt>
                <c:pt idx="41">
                  <c:v>1.8427231928996868E-2</c:v>
                </c:pt>
                <c:pt idx="42">
                  <c:v>1.9894454410742793E-2</c:v>
                </c:pt>
                <c:pt idx="43">
                  <c:v>2.1249012066519215E-2</c:v>
                </c:pt>
                <c:pt idx="44">
                  <c:v>2.2469542712921023E-2</c:v>
                </c:pt>
                <c:pt idx="45">
                  <c:v>2.3536797852544797E-2</c:v>
                </c:pt>
                <c:pt idx="46">
                  <c:v>2.4433946234291345E-2</c:v>
                </c:pt>
                <c:pt idx="47">
                  <c:v>2.5146839292250065E-2</c:v>
                </c:pt>
                <c:pt idx="48">
                  <c:v>2.5664234277035271E-2</c:v>
                </c:pt>
                <c:pt idx="49">
                  <c:v>2.5977971560660122E-2</c:v>
                </c:pt>
                <c:pt idx="50">
                  <c:v>2.6083103318744284E-2</c:v>
                </c:pt>
              </c:numCache>
            </c:numRef>
          </c:xVal>
          <c:yVal>
            <c:numRef>
              <c:f>Data2!$AE$1:$AE$51</c:f>
              <c:numCache>
                <c:formatCode>0.000</c:formatCode>
                <c:ptCount val="5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A1E-487F-9929-588F98AB7B0D}"/>
            </c:ext>
          </c:extLst>
        </c:ser>
        <c:ser>
          <c:idx val="2"/>
          <c:order val="3"/>
          <c:tx>
            <c:v>Profile</c:v>
          </c:tx>
          <c:spPr>
            <a:ln w="12700" cap="rnd">
              <a:solidFill>
                <a:srgbClr val="0000E6"/>
              </a:solidFill>
              <a:round/>
            </a:ln>
            <a:effectLst/>
          </c:spPr>
          <c:marker>
            <c:symbol val="none"/>
          </c:marker>
          <c:xVal>
            <c:numRef>
              <c:f>Data2!$U$1:$U$102</c:f>
              <c:numCache>
                <c:formatCode>0.00000</c:formatCode>
                <c:ptCount val="102"/>
                <c:pt idx="0">
                  <c:v>1</c:v>
                </c:pt>
                <c:pt idx="1">
                  <c:v>0.99904174120777289</c:v>
                </c:pt>
                <c:pt idx="2">
                  <c:v>0.99609411880381604</c:v>
                </c:pt>
                <c:pt idx="3">
                  <c:v>0.99119427444382602</c:v>
                </c:pt>
                <c:pt idx="4">
                  <c:v>0.98436144686652993</c:v>
                </c:pt>
                <c:pt idx="5">
                  <c:v>0.97562246886441184</c:v>
                </c:pt>
                <c:pt idx="6">
                  <c:v>0.96501166590341292</c:v>
                </c:pt>
                <c:pt idx="7">
                  <c:v>0.95257072589785352</c:v>
                </c:pt>
                <c:pt idx="8">
                  <c:v>0.93834854028692383</c:v>
                </c:pt>
                <c:pt idx="9">
                  <c:v>0.92240101664833363</c:v>
                </c:pt>
                <c:pt idx="10">
                  <c:v>0.90479086320132307</c:v>
                </c:pt>
                <c:pt idx="11">
                  <c:v>0.88558734569472985</c:v>
                </c:pt>
                <c:pt idx="12">
                  <c:v>0.86486601734367641</c:v>
                </c:pt>
                <c:pt idx="13">
                  <c:v>0.84270842266617629</c:v>
                </c:pt>
                <c:pt idx="14">
                  <c:v>0.81920177627244817</c:v>
                </c:pt>
                <c:pt idx="15">
                  <c:v>0.79443861786748904</c:v>
                </c:pt>
                <c:pt idx="16">
                  <c:v>0.76851644493320392</c:v>
                </c:pt>
                <c:pt idx="17">
                  <c:v>0.74153732475149636</c:v>
                </c:pt>
                <c:pt idx="18">
                  <c:v>0.7136074876058196</c:v>
                </c:pt>
                <c:pt idx="19">
                  <c:v>0.68483690314811663</c:v>
                </c:pt>
                <c:pt idx="20">
                  <c:v>0.65533884203456672</c:v>
                </c:pt>
                <c:pt idx="21">
                  <c:v>0.62522942501240897</c:v>
                </c:pt>
                <c:pt idx="22">
                  <c:v>0.59462716167875251</c:v>
                </c:pt>
                <c:pt idx="23">
                  <c:v>0.56365248113029909</c:v>
                </c:pt>
                <c:pt idx="24">
                  <c:v>0.53242725668214874</c:v>
                </c:pt>
                <c:pt idx="25">
                  <c:v>0.50107432675841379</c:v>
                </c:pt>
                <c:pt idx="26">
                  <c:v>0.46971701395319226</c:v>
                </c:pt>
                <c:pt idx="27">
                  <c:v>0.43847864413515703</c:v>
                </c:pt>
                <c:pt idx="28">
                  <c:v>0.40748206733131104</c:v>
                </c:pt>
                <c:pt idx="29">
                  <c:v>0.37684918198463774</c:v>
                </c:pt>
                <c:pt idx="30">
                  <c:v>0.34670046404575416</c:v>
                </c:pt>
                <c:pt idx="31">
                  <c:v>0.31715450223895009</c:v>
                </c:pt>
                <c:pt idx="32">
                  <c:v>0.28832754074575184</c:v>
                </c:pt>
                <c:pt idx="33">
                  <c:v>0.26033303048028478</c:v>
                </c:pt>
                <c:pt idx="34">
                  <c:v>0.23328119009410511</c:v>
                </c:pt>
                <c:pt idx="35">
                  <c:v>0.20727857784536882</c:v>
                </c:pt>
                <c:pt idx="36">
                  <c:v>0.18223979795815151</c:v>
                </c:pt>
                <c:pt idx="37">
                  <c:v>0.15802552114437915</c:v>
                </c:pt>
                <c:pt idx="38">
                  <c:v>0.13485730966698478</c:v>
                </c:pt>
                <c:pt idx="39">
                  <c:v>0.11296305674037874</c:v>
                </c:pt>
                <c:pt idx="40">
                  <c:v>9.256369259646198E-2</c:v>
                </c:pt>
                <c:pt idx="41">
                  <c:v>7.3863872923769586E-2</c:v>
                </c:pt>
                <c:pt idx="42">
                  <c:v>5.7042782219976607E-2</c:v>
                </c:pt>
                <c:pt idx="43">
                  <c:v>4.2246577422280121E-2</c:v>
                </c:pt>
                <c:pt idx="44">
                  <c:v>2.9583775244772584E-2</c:v>
                </c:pt>
                <c:pt idx="45">
                  <c:v>1.9124138859792271E-2</c:v>
                </c:pt>
                <c:pt idx="46">
                  <c:v>1.0900722237755069E-2</c:v>
                </c:pt>
                <c:pt idx="47">
                  <c:v>4.9140759965860788E-3</c:v>
                </c:pt>
                <c:pt idx="48">
                  <c:v>1.1374066678832887E-3</c:v>
                </c:pt>
                <c:pt idx="49">
                  <c:v>-4.783288930669807E-4</c:v>
                </c:pt>
                <c:pt idx="50">
                  <c:v>0</c:v>
                </c:pt>
                <c:pt idx="51">
                  <c:v>0</c:v>
                </c:pt>
                <c:pt idx="52">
                  <c:v>2.4516004647954217E-3</c:v>
                </c:pt>
                <c:pt idx="53">
                  <c:v>6.747892017638835E-3</c:v>
                </c:pt>
                <c:pt idx="54">
                  <c:v>1.2798673274725201E-2</c:v>
                </c:pt>
                <c:pt idx="55">
                  <c:v>2.0516116633613857E-2</c:v>
                </c:pt>
                <c:pt idx="56">
                  <c:v>2.9819344845054198E-2</c:v>
                </c:pt>
                <c:pt idx="57">
                  <c:v>4.0639738866975958E-2</c:v>
                </c:pt>
                <c:pt idx="58">
                  <c:v>5.2926370111700302E-2</c:v>
                </c:pt>
                <c:pt idx="59">
                  <c:v>6.6650537736159809E-2</c:v>
                </c:pt>
                <c:pt idx="60">
                  <c:v>8.1808201574215339E-2</c:v>
                </c:pt>
                <c:pt idx="61">
                  <c:v>9.8419313028590569E-2</c:v>
                </c:pt>
                <c:pt idx="62">
                  <c:v>0.11652370048383201</c:v>
                </c:pt>
                <c:pt idx="63">
                  <c:v>0.13617406291160367</c:v>
                </c:pt>
                <c:pt idx="64">
                  <c:v>0.15742737292693224</c:v>
                </c:pt>
                <c:pt idx="65">
                  <c:v>0.18033621229315874</c:v>
                </c:pt>
                <c:pt idx="66">
                  <c:v>0.20493616986215793</c:v>
                </c:pt>
                <c:pt idx="67">
                  <c:v>0.23089201492689834</c:v>
                </c:pt>
                <c:pt idx="68">
                  <c:v>0.25791329541800001</c:v>
                </c:pt>
                <c:pt idx="69">
                  <c:v>0.2858931676891755</c:v>
                </c:pt>
                <c:pt idx="70">
                  <c:v>0.31472094507637177</c:v>
                </c:pt>
                <c:pt idx="71">
                  <c:v>0.34428254157929838</c:v>
                </c:pt>
                <c:pt idx="72">
                  <c:v>0.37446093085050752</c:v>
                </c:pt>
                <c:pt idx="73">
                  <c:v>0.40513661808296425</c:v>
                </c:pt>
                <c:pt idx="74">
                  <c:v>0.43618812230053849</c:v>
                </c:pt>
                <c:pt idx="75">
                  <c:v>0.46749246651749427</c:v>
                </c:pt>
                <c:pt idx="76">
                  <c:v>0.49892567324158615</c:v>
                </c:pt>
                <c:pt idx="77">
                  <c:v>0.53036326284716473</c:v>
                </c:pt>
                <c:pt idx="78">
                  <c:v>0.56168075243400517</c:v>
                </c:pt>
                <c:pt idx="79">
                  <c:v>0.59275415290697209</c:v>
                </c:pt>
                <c:pt idx="80">
                  <c:v>0.62346046215244588</c:v>
                </c:pt>
                <c:pt idx="81">
                  <c:v>0.65367815234038029</c:v>
                </c:pt>
                <c:pt idx="82">
                  <c:v>0.68328764953656107</c:v>
                </c:pt>
                <c:pt idx="83">
                  <c:v>0.71217180395925306</c:v>
                </c:pt>
                <c:pt idx="84">
                  <c:v>0.74021634935021907</c:v>
                </c:pt>
                <c:pt idx="85">
                  <c:v>0.76731035004579307</c:v>
                </c:pt>
                <c:pt idx="86">
                  <c:v>0.79334663442498388</c:v>
                </c:pt>
                <c:pt idx="87">
                  <c:v>0.81822221347624158</c:v>
                </c:pt>
                <c:pt idx="88">
                  <c:v>0.84183868326251243</c:v>
                </c:pt>
                <c:pt idx="89">
                  <c:v>0.86410261007773492</c:v>
                </c:pt>
                <c:pt idx="90">
                  <c:v>0.88492589708105918</c:v>
                </c:pt>
                <c:pt idx="91">
                  <c:v>0.90422613117362438</c:v>
                </c:pt>
                <c:pt idx="92">
                  <c:v>0.92192690885368123</c:v>
                </c:pt>
                <c:pt idx="93">
                  <c:v>0.93795813975693965</c:v>
                </c:pt>
                <c:pt idx="94">
                  <c:v>0.95225632656816583</c:v>
                </c:pt>
                <c:pt idx="95">
                  <c:v>0.96476481998483843</c:v>
                </c:pt>
                <c:pt idx="96">
                  <c:v>0.9754340474307418</c:v>
                </c:pt>
                <c:pt idx="97">
                  <c:v>0.98422171426210114</c:v>
                </c:pt>
                <c:pt idx="98">
                  <c:v>0.99109297628486281</c:v>
                </c:pt>
                <c:pt idx="99">
                  <c:v>0.99602058251066172</c:v>
                </c:pt>
                <c:pt idx="100">
                  <c:v>0.99898498722049867</c:v>
                </c:pt>
                <c:pt idx="101">
                  <c:v>1</c:v>
                </c:pt>
              </c:numCache>
            </c:numRef>
          </c:xVal>
          <c:yVal>
            <c:numRef>
              <c:f>Data2!$V$1:$V$102</c:f>
              <c:numCache>
                <c:formatCode>0.00000</c:formatCode>
                <c:ptCount val="102"/>
                <c:pt idx="0">
                  <c:v>0</c:v>
                </c:pt>
                <c:pt idx="1">
                  <c:v>1.3033545323267242E-3</c:v>
                </c:pt>
                <c:pt idx="2">
                  <c:v>1.7477559380375594E-3</c:v>
                </c:pt>
                <c:pt idx="3">
                  <c:v>2.4834266919164147E-3</c:v>
                </c:pt>
                <c:pt idx="4">
                  <c:v>3.5030057577757553E-3</c:v>
                </c:pt>
                <c:pt idx="5">
                  <c:v>4.7964514571782997E-3</c:v>
                </c:pt>
                <c:pt idx="6">
                  <c:v>6.3512850636495404E-3</c:v>
                </c:pt>
                <c:pt idx="7">
                  <c:v>8.1528767729851757E-3</c:v>
                </c:pt>
                <c:pt idx="8">
                  <c:v>1.018475632067168E-2</c:v>
                </c:pt>
                <c:pt idx="9">
                  <c:v>1.2428929335526752E-2</c:v>
                </c:pt>
                <c:pt idx="10">
                  <c:v>1.4866180689235297E-2</c:v>
                </c:pt>
                <c:pt idx="11">
                  <c:v>1.7476347623242301E-2</c:v>
                </c:pt>
                <c:pt idx="12">
                  <c:v>2.0238548212533951E-2</c:v>
                </c:pt>
                <c:pt idx="13">
                  <c:v>2.3131354577249921E-2</c:v>
                </c:pt>
                <c:pt idx="14">
                  <c:v>2.6132904918377605E-2</c:v>
                </c:pt>
                <c:pt idx="15">
                  <c:v>2.9220953613797836E-2</c:v>
                </c:pt>
                <c:pt idx="16">
                  <c:v>3.2372863907525279E-2</c:v>
                </c:pt>
                <c:pt idx="17">
                  <c:v>3.5565552784616664E-2</c:v>
                </c:pt>
                <c:pt idx="18">
                  <c:v>3.8775402082916424E-2</c:v>
                </c:pt>
                <c:pt idx="19">
                  <c:v>4.1978153420580457E-2</c:v>
                </c:pt>
                <c:pt idx="20">
                  <c:v>4.514880684172505E-2</c:v>
                </c:pt>
                <c:pt idx="21">
                  <c:v>4.8261544003828698E-2</c:v>
                </c:pt>
                <c:pt idx="22">
                  <c:v>5.1289696141975059E-2</c:v>
                </c:pt>
                <c:pt idx="23">
                  <c:v>5.4205774937788442E-2</c:v>
                </c:pt>
                <c:pt idx="24">
                  <c:v>5.698158088732995E-2</c:v>
                </c:pt>
                <c:pt idx="25">
                  <c:v>5.958839899175853E-2</c:v>
                </c:pt>
                <c:pt idx="26">
                  <c:v>6.1997285863389193E-2</c:v>
                </c:pt>
                <c:pt idx="27">
                  <c:v>6.4179445994567652E-2</c:v>
                </c:pt>
                <c:pt idx="28">
                  <c:v>6.6106688373784805E-2</c:v>
                </c:pt>
                <c:pt idx="29">
                  <c:v>6.7751948274077933E-2</c:v>
                </c:pt>
                <c:pt idx="30">
                  <c:v>6.9089853303159282E-2</c:v>
                </c:pt>
                <c:pt idx="31">
                  <c:v>7.0097308085066048E-2</c:v>
                </c:pt>
                <c:pt idx="32">
                  <c:v>7.0754068578276083E-2</c:v>
                </c:pt>
                <c:pt idx="33">
                  <c:v>7.1043275288299373E-2</c:v>
                </c:pt>
                <c:pt idx="34">
                  <c:v>7.09519146731446E-2</c:v>
                </c:pt>
                <c:pt idx="35">
                  <c:v>7.0471179931070979E-2</c:v>
                </c:pt>
                <c:pt idx="36">
                  <c:v>6.9574481255147314E-2</c:v>
                </c:pt>
                <c:pt idx="37">
                  <c:v>6.8098307959774479E-2</c:v>
                </c:pt>
                <c:pt idx="38">
                  <c:v>6.5872910641565627E-2</c:v>
                </c:pt>
                <c:pt idx="39">
                  <c:v>6.2801849038110244E-2</c:v>
                </c:pt>
                <c:pt idx="40">
                  <c:v>5.8863374397516315E-2</c:v>
                </c:pt>
                <c:pt idx="41">
                  <c:v>5.4106185734228596E-2</c:v>
                </c:pt>
                <c:pt idx="42">
                  <c:v>4.8639796947327077E-2</c:v>
                </c:pt>
                <c:pt idx="43">
                  <c:v>4.2620307195557122E-2</c:v>
                </c:pt>
                <c:pt idx="44">
                  <c:v>3.6233135432419218E-2</c:v>
                </c:pt>
                <c:pt idx="45">
                  <c:v>2.967472394068733E-2</c:v>
                </c:pt>
                <c:pt idx="46">
                  <c:v>2.3135162373155761E-2</c:v>
                </c:pt>
                <c:pt idx="47">
                  <c:v>1.6783216564147156E-2</c:v>
                </c:pt>
                <c:pt idx="48">
                  <c:v>1.0754618948672749E-2</c:v>
                </c:pt>
                <c:pt idx="49">
                  <c:v>5.1439368043517944E-3</c:v>
                </c:pt>
                <c:pt idx="50">
                  <c:v>0</c:v>
                </c:pt>
                <c:pt idx="51">
                  <c:v>0</c:v>
                </c:pt>
                <c:pt idx="52">
                  <c:v>-4.5440221874043776E-3</c:v>
                </c:pt>
                <c:pt idx="53">
                  <c:v>-8.3947155229924242E-3</c:v>
                </c:pt>
                <c:pt idx="54">
                  <c:v>-1.1619947129425575E-2</c:v>
                </c:pt>
                <c:pt idx="55">
                  <c:v>-1.4311196959029476E-2</c:v>
                </c:pt>
                <c:pt idx="56">
                  <c:v>-1.657584849098746E-2</c:v>
                </c:pt>
                <c:pt idx="57">
                  <c:v>-1.8528890978725135E-2</c:v>
                </c:pt>
                <c:pt idx="58">
                  <c:v>-2.0284780656179908E-2</c:v>
                </c:pt>
                <c:pt idx="59">
                  <c:v>-2.1950032744491397E-2</c:v>
                </c:pt>
                <c:pt idx="60">
                  <c:v>-2.3616699946708994E-2</c:v>
                </c:pt>
                <c:pt idx="61">
                  <c:v>-2.5356350678051691E-2</c:v>
                </c:pt>
                <c:pt idx="62">
                  <c:v>-2.7213735016370283E-2</c:v>
                </c:pt>
                <c:pt idx="63">
                  <c:v>-2.9199270057505153E-2</c:v>
                </c:pt>
                <c:pt idx="64">
                  <c:v>-3.127987210880908E-2</c:v>
                </c:pt>
                <c:pt idx="65">
                  <c:v>-3.3368339663325933E-2</c:v>
                </c:pt>
                <c:pt idx="66">
                  <c:v>-3.5312127524166542E-2</c:v>
                </c:pt>
                <c:pt idx="67">
                  <c:v>-3.6943402064382784E-2</c:v>
                </c:pt>
                <c:pt idx="68">
                  <c:v>-3.8232128436641241E-2</c:v>
                </c:pt>
                <c:pt idx="69">
                  <c:v>-3.9182387987063735E-2</c:v>
                </c:pt>
                <c:pt idx="70">
                  <c:v>-3.9802302650569915E-2</c:v>
                </c:pt>
                <c:pt idx="71">
                  <c:v>-4.0103693468063625E-2</c:v>
                </c:pt>
                <c:pt idx="72">
                  <c:v>-4.0101639065440856E-2</c:v>
                </c:pt>
                <c:pt idx="73">
                  <c:v>-3.981396282653387E-2</c:v>
                </c:pt>
                <c:pt idx="74">
                  <c:v>-3.9260679381139918E-2</c:v>
                </c:pt>
                <c:pt idx="75">
                  <c:v>-3.8463431068012047E-2</c:v>
                </c:pt>
                <c:pt idx="76">
                  <c:v>-3.7444943284419545E-2</c:v>
                </c:pt>
                <c:pt idx="77">
                  <c:v>-3.6228524268029125E-2</c:v>
                </c:pt>
                <c:pt idx="78">
                  <c:v>-3.4837630136538206E-2</c:v>
                </c:pt>
                <c:pt idx="79">
                  <c:v>-3.3295510274548017E-2</c:v>
                </c:pt>
                <c:pt idx="80">
                  <c:v>-3.1624941797787805E-2</c:v>
                </c:pt>
                <c:pt idx="81">
                  <c:v>-2.9848055262142723E-2</c:v>
                </c:pt>
                <c:pt idx="82">
                  <c:v>-2.7986247440398605E-2</c:v>
                </c:pt>
                <c:pt idx="83">
                  <c:v>-2.6060171259450798E-2</c:v>
                </c:pt>
                <c:pt idx="84">
                  <c:v>-2.4089788221596835E-2</c:v>
                </c:pt>
                <c:pt idx="85">
                  <c:v>-2.2094465101609121E-2</c:v>
                </c:pt>
                <c:pt idx="86">
                  <c:v>-2.0093094606024296E-2</c:v>
                </c:pt>
                <c:pt idx="87">
                  <c:v>-1.8104219094834031E-2</c:v>
                </c:pt>
                <c:pt idx="88">
                  <c:v>-1.6146137389629944E-2</c:v>
                </c:pt>
                <c:pt idx="89">
                  <c:v>-1.4236977018540681E-2</c:v>
                </c:pt>
                <c:pt idx="90">
                  <c:v>-1.2394717779227129E-2</c:v>
                </c:pt>
                <c:pt idx="91">
                  <c:v>-1.0637156963322472E-2</c:v>
                </c:pt>
                <c:pt idx="92">
                  <c:v>-8.9818116490110438E-3</c:v>
                </c:pt>
                <c:pt idx="93">
                  <c:v>-7.4457587689292608E-3</c:v>
                </c:pt>
                <c:pt idx="94">
                  <c:v>-6.0454188247295784E-3</c:v>
                </c:pt>
                <c:pt idx="95">
                  <c:v>-4.7962937893023406E-3</c:v>
                </c:pt>
                <c:pt idx="96">
                  <c:v>-3.7126735935971667E-3</c:v>
                </c:pt>
                <c:pt idx="97">
                  <c:v>-2.8073283777629915E-3</c:v>
                </c:pt>
                <c:pt idx="98">
                  <c:v>-2.0912052129719353E-3</c:v>
                </c:pt>
                <c:pt idx="99">
                  <c:v>-1.5731481758555594E-3</c:v>
                </c:pt>
                <c:pt idx="100">
                  <c:v>-1.2596594806796042E-3</c:v>
                </c:pt>
                <c:pt idx="10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BF-46BD-BF53-648198E5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2430911"/>
        <c:axId val="682431391"/>
      </c:scatterChart>
      <c:valAx>
        <c:axId val="682430911"/>
        <c:scaling>
          <c:orientation val="minMax"/>
          <c:max val="1.1000000000000001"/>
          <c:min val="-0.1"/>
        </c:scaling>
        <c:delete val="0"/>
        <c:axPos val="b"/>
        <c:majorGridlines>
          <c:spPr>
            <a:ln w="25400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one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Segoe UI "/>
                <a:ea typeface="+mn-ea"/>
                <a:cs typeface="+mn-cs"/>
              </a:defRPr>
            </a:pPr>
            <a:endParaRPr lang="en-US"/>
          </a:p>
        </c:txPr>
        <c:crossAx val="682431391"/>
        <c:crosses val="autoZero"/>
        <c:crossBetween val="midCat"/>
        <c:majorUnit val="0.1"/>
      </c:valAx>
      <c:valAx>
        <c:axId val="682431391"/>
        <c:scaling>
          <c:orientation val="minMax"/>
          <c:max val="0.30000000000000004"/>
          <c:min val="-0.4"/>
        </c:scaling>
        <c:delete val="0"/>
        <c:axPos val="l"/>
        <c:majorGridlines>
          <c:spPr>
            <a:ln w="25400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one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Segoe UI "/>
                <a:ea typeface="+mn-ea"/>
                <a:cs typeface="+mn-cs"/>
              </a:defRPr>
            </a:pPr>
            <a:endParaRPr lang="en-US"/>
          </a:p>
        </c:txPr>
        <c:crossAx val="682430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3615377723802225E-2"/>
          <c:y val="4.0123722655048273E-2"/>
          <c:w val="0.89422200543516128"/>
          <c:h val="0.8865601277137084"/>
        </c:manualLayout>
      </c:layout>
      <c:scatterChart>
        <c:scatterStyle val="smoothMarker"/>
        <c:varyColors val="0"/>
        <c:ser>
          <c:idx val="0"/>
          <c:order val="0"/>
          <c:tx>
            <c:v>Chord Line</c:v>
          </c:tx>
          <c:spPr>
            <a:ln w="3175" cap="rnd">
              <a:solidFill>
                <a:srgbClr val="3333FF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Data3!$J$1:$J$51</c:f>
              <c:numCache>
                <c:formatCode>0.00000</c:formatCode>
                <c:ptCount val="51"/>
                <c:pt idx="0">
                  <c:v>1</c:v>
                </c:pt>
                <c:pt idx="1">
                  <c:v>0.99901336421413578</c:v>
                </c:pt>
                <c:pt idx="2">
                  <c:v>0.99605735065723888</c:v>
                </c:pt>
                <c:pt idx="3">
                  <c:v>0.99114362536434442</c:v>
                </c:pt>
                <c:pt idx="4">
                  <c:v>0.98429158056431554</c:v>
                </c:pt>
                <c:pt idx="5">
                  <c:v>0.97552825814757682</c:v>
                </c:pt>
                <c:pt idx="6">
                  <c:v>0.96488824294412567</c:v>
                </c:pt>
                <c:pt idx="7">
                  <c:v>0.95241352623300968</c:v>
                </c:pt>
                <c:pt idx="8">
                  <c:v>0.93815334002193174</c:v>
                </c:pt>
                <c:pt idx="9">
                  <c:v>0.92216396275100743</c:v>
                </c:pt>
                <c:pt idx="10">
                  <c:v>0.90450849718747373</c:v>
                </c:pt>
                <c:pt idx="11">
                  <c:v>0.88525662138789452</c:v>
                </c:pt>
                <c:pt idx="12">
                  <c:v>0.86448431371070567</c:v>
                </c:pt>
                <c:pt idx="13">
                  <c:v>0.84227355296434436</c:v>
                </c:pt>
                <c:pt idx="14">
                  <c:v>0.81871199487434487</c:v>
                </c:pt>
                <c:pt idx="15">
                  <c:v>0.79389262614623646</c:v>
                </c:pt>
                <c:pt idx="16">
                  <c:v>0.76791339748949849</c:v>
                </c:pt>
                <c:pt idx="17">
                  <c:v>0.74087683705085772</c:v>
                </c:pt>
                <c:pt idx="18">
                  <c:v>0.71288964578253633</c:v>
                </c:pt>
                <c:pt idx="19">
                  <c:v>0.68406227634233885</c:v>
                </c:pt>
                <c:pt idx="20">
                  <c:v>0.6545084971874735</c:v>
                </c:pt>
                <c:pt idx="21">
                  <c:v>0.62434494358242743</c:v>
                </c:pt>
                <c:pt idx="22">
                  <c:v>0.5936906572928623</c:v>
                </c:pt>
                <c:pt idx="23">
                  <c:v>0.56266661678215213</c:v>
                </c:pt>
                <c:pt idx="24">
                  <c:v>0.53139525976465674</c:v>
                </c:pt>
                <c:pt idx="25">
                  <c:v>0.49999999999999994</c:v>
                </c:pt>
                <c:pt idx="26">
                  <c:v>0.46860474023534326</c:v>
                </c:pt>
                <c:pt idx="27">
                  <c:v>0.43733338321784776</c:v>
                </c:pt>
                <c:pt idx="28">
                  <c:v>0.40630934270713764</c:v>
                </c:pt>
                <c:pt idx="29">
                  <c:v>0.37565505641757263</c:v>
                </c:pt>
                <c:pt idx="30">
                  <c:v>0.34549150281252627</c:v>
                </c:pt>
                <c:pt idx="31">
                  <c:v>0.31593772365766093</c:v>
                </c:pt>
                <c:pt idx="32">
                  <c:v>0.28711035421746367</c:v>
                </c:pt>
                <c:pt idx="33">
                  <c:v>0.25912316294914239</c:v>
                </c:pt>
                <c:pt idx="34">
                  <c:v>0.23208660251050173</c:v>
                </c:pt>
                <c:pt idx="35">
                  <c:v>0.20610737385376338</c:v>
                </c:pt>
                <c:pt idx="36">
                  <c:v>0.18128800512565513</c:v>
                </c:pt>
                <c:pt idx="37">
                  <c:v>0.15772644703565569</c:v>
                </c:pt>
                <c:pt idx="38">
                  <c:v>0.13551568628929422</c:v>
                </c:pt>
                <c:pt idx="39">
                  <c:v>0.11474337861210537</c:v>
                </c:pt>
                <c:pt idx="40">
                  <c:v>9.5491502812526274E-2</c:v>
                </c:pt>
                <c:pt idx="41">
                  <c:v>7.7836037248992462E-2</c:v>
                </c:pt>
                <c:pt idx="42">
                  <c:v>6.1846659978068208E-2</c:v>
                </c:pt>
                <c:pt idx="43">
                  <c:v>4.7586473766990212E-2</c:v>
                </c:pt>
                <c:pt idx="44">
                  <c:v>3.5111757055874271E-2</c:v>
                </c:pt>
                <c:pt idx="45">
                  <c:v>2.4471741852423234E-2</c:v>
                </c:pt>
                <c:pt idx="46">
                  <c:v>1.5708419435684462E-2</c:v>
                </c:pt>
                <c:pt idx="47">
                  <c:v>8.8563746356556394E-3</c:v>
                </c:pt>
                <c:pt idx="48">
                  <c:v>3.942649342761062E-3</c:v>
                </c:pt>
                <c:pt idx="49">
                  <c:v>9.8663578586422052E-4</c:v>
                </c:pt>
                <c:pt idx="50">
                  <c:v>0</c:v>
                </c:pt>
              </c:numCache>
            </c:numRef>
          </c:xVal>
          <c:yVal>
            <c:numRef>
              <c:f>Data3!$AC$1:$AC$51</c:f>
              <c:numCache>
                <c:formatCode>0.0000</c:formatCode>
                <c:ptCount val="5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56-4FA9-9E34-EA9F687740BE}"/>
            </c:ext>
          </c:extLst>
        </c:ser>
        <c:ser>
          <c:idx val="1"/>
          <c:order val="1"/>
          <c:tx>
            <c:v>Mean Line</c:v>
          </c:tx>
          <c:spPr>
            <a:ln w="6350" cap="rnd">
              <a:solidFill>
                <a:srgbClr val="FF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Data3!$L$1:$L$51</c:f>
              <c:numCache>
                <c:formatCode>0.00000</c:formatCode>
                <c:ptCount val="51"/>
                <c:pt idx="0">
                  <c:v>1</c:v>
                </c:pt>
                <c:pt idx="1">
                  <c:v>0.99901336421413578</c:v>
                </c:pt>
                <c:pt idx="2">
                  <c:v>0.99605735065723888</c:v>
                </c:pt>
                <c:pt idx="3">
                  <c:v>0.99114362536434442</c:v>
                </c:pt>
                <c:pt idx="4">
                  <c:v>0.98429158056431554</c:v>
                </c:pt>
                <c:pt idx="5">
                  <c:v>0.97552825814757682</c:v>
                </c:pt>
                <c:pt idx="6">
                  <c:v>0.96488824294412567</c:v>
                </c:pt>
                <c:pt idx="7">
                  <c:v>0.95241352623300968</c:v>
                </c:pt>
                <c:pt idx="8">
                  <c:v>0.93815334002193174</c:v>
                </c:pt>
                <c:pt idx="9">
                  <c:v>0.92216396275100743</c:v>
                </c:pt>
                <c:pt idx="10">
                  <c:v>0.90450849718747373</c:v>
                </c:pt>
                <c:pt idx="11">
                  <c:v>0.88525662138789452</c:v>
                </c:pt>
                <c:pt idx="12">
                  <c:v>0.86448431371070567</c:v>
                </c:pt>
                <c:pt idx="13">
                  <c:v>0.84227355296434436</c:v>
                </c:pt>
                <c:pt idx="14">
                  <c:v>0.81871199487434487</c:v>
                </c:pt>
                <c:pt idx="15">
                  <c:v>0.79389262614623646</c:v>
                </c:pt>
                <c:pt idx="16">
                  <c:v>0.76791339748949849</c:v>
                </c:pt>
                <c:pt idx="17">
                  <c:v>0.74087683705085772</c:v>
                </c:pt>
                <c:pt idx="18">
                  <c:v>0.71288964578253633</c:v>
                </c:pt>
                <c:pt idx="19">
                  <c:v>0.68406227634233885</c:v>
                </c:pt>
                <c:pt idx="20">
                  <c:v>0.6545084971874735</c:v>
                </c:pt>
                <c:pt idx="21">
                  <c:v>0.62434494358242743</c:v>
                </c:pt>
                <c:pt idx="22">
                  <c:v>0.5936906572928623</c:v>
                </c:pt>
                <c:pt idx="23">
                  <c:v>0.56266661678215213</c:v>
                </c:pt>
                <c:pt idx="24">
                  <c:v>0.53139525976465674</c:v>
                </c:pt>
                <c:pt idx="25">
                  <c:v>0.49999999999999994</c:v>
                </c:pt>
                <c:pt idx="26">
                  <c:v>0.46860474023534326</c:v>
                </c:pt>
                <c:pt idx="27">
                  <c:v>0.43733338321784776</c:v>
                </c:pt>
                <c:pt idx="28">
                  <c:v>0.40630934270713764</c:v>
                </c:pt>
                <c:pt idx="29">
                  <c:v>0.37565505641757263</c:v>
                </c:pt>
                <c:pt idx="30">
                  <c:v>0.34549150281252627</c:v>
                </c:pt>
                <c:pt idx="31">
                  <c:v>0.31593772365766093</c:v>
                </c:pt>
                <c:pt idx="32">
                  <c:v>0.28711035421746367</c:v>
                </c:pt>
                <c:pt idx="33">
                  <c:v>0.25912316294914239</c:v>
                </c:pt>
                <c:pt idx="34">
                  <c:v>0.23208660251050173</c:v>
                </c:pt>
                <c:pt idx="35">
                  <c:v>0.20610737385376338</c:v>
                </c:pt>
                <c:pt idx="36">
                  <c:v>0.18128800512565513</c:v>
                </c:pt>
                <c:pt idx="37">
                  <c:v>0.15772644703565569</c:v>
                </c:pt>
                <c:pt idx="38">
                  <c:v>0.13551568628929422</c:v>
                </c:pt>
                <c:pt idx="39">
                  <c:v>0.11474337861210537</c:v>
                </c:pt>
                <c:pt idx="40">
                  <c:v>9.5491502812526274E-2</c:v>
                </c:pt>
                <c:pt idx="41">
                  <c:v>7.7836037248992462E-2</c:v>
                </c:pt>
                <c:pt idx="42">
                  <c:v>6.1846659978068208E-2</c:v>
                </c:pt>
                <c:pt idx="43">
                  <c:v>4.7586473766990212E-2</c:v>
                </c:pt>
                <c:pt idx="44">
                  <c:v>3.5111757055874271E-2</c:v>
                </c:pt>
                <c:pt idx="45">
                  <c:v>2.4471741852423234E-2</c:v>
                </c:pt>
                <c:pt idx="46">
                  <c:v>1.5708419435684462E-2</c:v>
                </c:pt>
                <c:pt idx="47">
                  <c:v>8.8563746356556394E-3</c:v>
                </c:pt>
                <c:pt idx="48">
                  <c:v>3.942649342761062E-3</c:v>
                </c:pt>
                <c:pt idx="49">
                  <c:v>9.8663578586422052E-4</c:v>
                </c:pt>
                <c:pt idx="50">
                  <c:v>0</c:v>
                </c:pt>
              </c:numCache>
            </c:numRef>
          </c:xVal>
          <c:yVal>
            <c:numRef>
              <c:f>Data3!$AD$1:$AD$51</c:f>
              <c:numCache>
                <c:formatCode>0.0000</c:formatCode>
                <c:ptCount val="5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56-4FA9-9E34-EA9F687740BE}"/>
            </c:ext>
          </c:extLst>
        </c:ser>
        <c:ser>
          <c:idx val="3"/>
          <c:order val="2"/>
          <c:tx>
            <c:v>Leading-edge Radius</c:v>
          </c:tx>
          <c:spPr>
            <a:ln w="31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Data3!$AH$1:$AH$51</c:f>
              <c:numCache>
                <c:formatCode>0.000</c:formatCode>
                <c:ptCount val="51"/>
                <c:pt idx="0">
                  <c:v>2.1983077896348169E-2</c:v>
                </c:pt>
                <c:pt idx="1">
                  <c:v>2.1896192145865384E-2</c:v>
                </c:pt>
                <c:pt idx="2">
                  <c:v>2.1636905134605169E-2</c:v>
                </c:pt>
                <c:pt idx="3">
                  <c:v>2.120930597362565E-2</c:v>
                </c:pt>
                <c:pt idx="4">
                  <c:v>2.0620138157130839E-2</c:v>
                </c:pt>
                <c:pt idx="5">
                  <c:v>1.9878693213538644E-2</c:v>
                </c:pt>
                <c:pt idx="6">
                  <c:v>1.8996664172527263E-2</c:v>
                </c:pt>
                <c:pt idx="7">
                  <c:v>1.7987961158972048E-2</c:v>
                </c:pt>
                <c:pt idx="8">
                  <c:v>1.6868492021966736E-2</c:v>
                </c:pt>
                <c:pt idx="9">
                  <c:v>1.5655911458540353E-2</c:v>
                </c:pt>
                <c:pt idx="10">
                  <c:v>1.436934258853865E-2</c:v>
                </c:pt>
                <c:pt idx="11">
                  <c:v>1.3029075371600541E-2</c:v>
                </c:pt>
                <c:pt idx="12">
                  <c:v>1.165624662237397E-2</c:v>
                </c:pt>
                <c:pt idx="13">
                  <c:v>1.027250667032238E-2</c:v>
                </c:pt>
                <c:pt idx="14">
                  <c:v>8.8996779210958072E-3</c:v>
                </c:pt>
                <c:pt idx="15">
                  <c:v>7.5594107041576999E-3</c:v>
                </c:pt>
                <c:pt idx="16">
                  <c:v>6.2728418341559929E-3</c:v>
                </c:pt>
                <c:pt idx="17">
                  <c:v>5.0602612707296079E-3</c:v>
                </c:pt>
                <c:pt idx="18">
                  <c:v>3.9407921337242949E-3</c:v>
                </c:pt>
                <c:pt idx="19">
                  <c:v>2.9320891201690766E-3</c:v>
                </c:pt>
                <c:pt idx="20">
                  <c:v>2.0500600791576911E-3</c:v>
                </c:pt>
                <c:pt idx="21">
                  <c:v>1.3086151355654976E-3</c:v>
                </c:pt>
                <c:pt idx="22">
                  <c:v>7.1944731907068362E-4</c:v>
                </c:pt>
                <c:pt idx="23">
                  <c:v>2.9184815809116862E-4</c:v>
                </c:pt>
                <c:pt idx="24">
                  <c:v>3.2561146830954468E-5</c:v>
                </c:pt>
                <c:pt idx="25">
                  <c:v>-5.4324603651830301E-5</c:v>
                </c:pt>
                <c:pt idx="26">
                  <c:v>3.2561146830958134E-5</c:v>
                </c:pt>
                <c:pt idx="27">
                  <c:v>2.9184815809117474E-4</c:v>
                </c:pt>
                <c:pt idx="28">
                  <c:v>7.1944731907069338E-4</c:v>
                </c:pt>
                <c:pt idx="29">
                  <c:v>1.3086151355655097E-3</c:v>
                </c:pt>
                <c:pt idx="30">
                  <c:v>2.0500600791577067E-3</c:v>
                </c:pt>
                <c:pt idx="31">
                  <c:v>2.9320891201690953E-3</c:v>
                </c:pt>
                <c:pt idx="32">
                  <c:v>3.9407921337243123E-3</c:v>
                </c:pt>
                <c:pt idx="33">
                  <c:v>5.0602612707296261E-3</c:v>
                </c:pt>
                <c:pt idx="34">
                  <c:v>6.2728418341560128E-3</c:v>
                </c:pt>
                <c:pt idx="35">
                  <c:v>7.559410704157719E-3</c:v>
                </c:pt>
                <c:pt idx="36">
                  <c:v>8.8996779210958315E-3</c:v>
                </c:pt>
                <c:pt idx="37">
                  <c:v>1.0272506670322406E-2</c:v>
                </c:pt>
                <c:pt idx="38">
                  <c:v>1.1656246622373998E-2</c:v>
                </c:pt>
                <c:pt idx="39">
                  <c:v>1.3029075371600573E-2</c:v>
                </c:pt>
                <c:pt idx="40">
                  <c:v>1.4369342588538682E-2</c:v>
                </c:pt>
                <c:pt idx="41">
                  <c:v>1.5655911458540388E-2</c:v>
                </c:pt>
                <c:pt idx="42">
                  <c:v>1.6868492021966768E-2</c:v>
                </c:pt>
                <c:pt idx="43">
                  <c:v>1.7987961158972079E-2</c:v>
                </c:pt>
                <c:pt idx="44">
                  <c:v>1.8996664172527294E-2</c:v>
                </c:pt>
                <c:pt idx="45">
                  <c:v>1.9878693213538676E-2</c:v>
                </c:pt>
                <c:pt idx="46">
                  <c:v>2.0620138157130864E-2</c:v>
                </c:pt>
                <c:pt idx="47">
                  <c:v>2.1209305973625671E-2</c:v>
                </c:pt>
                <c:pt idx="48">
                  <c:v>2.1636905134605183E-2</c:v>
                </c:pt>
                <c:pt idx="49">
                  <c:v>2.1896192145865391E-2</c:v>
                </c:pt>
                <c:pt idx="50">
                  <c:v>2.1983077896348169E-2</c:v>
                </c:pt>
              </c:numCache>
            </c:numRef>
          </c:xVal>
          <c:yVal>
            <c:numRef>
              <c:f>Data3!$AI$1:$AI$51</c:f>
              <c:numCache>
                <c:formatCode>0.000</c:formatCode>
                <c:ptCount val="5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5A-42A3-9EDF-A390DA658754}"/>
            </c:ext>
          </c:extLst>
        </c:ser>
        <c:ser>
          <c:idx val="2"/>
          <c:order val="3"/>
          <c:tx>
            <c:v>Profile</c:v>
          </c:tx>
          <c:spPr>
            <a:ln w="12700" cap="rnd">
              <a:solidFill>
                <a:srgbClr val="0000E6"/>
              </a:solidFill>
              <a:round/>
            </a:ln>
            <a:effectLst/>
          </c:spPr>
          <c:marker>
            <c:symbol val="none"/>
          </c:marker>
          <c:xVal>
            <c:numRef>
              <c:f>Data3!$N$1:$N$102</c:f>
              <c:numCache>
                <c:formatCode>0.00000</c:formatCode>
                <c:ptCount val="102"/>
                <c:pt idx="0">
                  <c:v>1</c:v>
                </c:pt>
                <c:pt idx="1">
                  <c:v>0.99910543106395311</c:v>
                </c:pt>
                <c:pt idx="2">
                  <c:v>0.99618575042365609</c:v>
                </c:pt>
                <c:pt idx="3">
                  <c:v>0.99133126123265181</c:v>
                </c:pt>
                <c:pt idx="4">
                  <c:v>0.98455941886535747</c:v>
                </c:pt>
                <c:pt idx="5">
                  <c:v>0.97589463499105145</c:v>
                </c:pt>
                <c:pt idx="6">
                  <c:v>0.9653682494690895</c:v>
                </c:pt>
                <c:pt idx="7">
                  <c:v>0.95301849106637926</c:v>
                </c:pt>
                <c:pt idx="8">
                  <c:v>0.93889042475237816</c:v>
                </c:pt>
                <c:pt idx="9">
                  <c:v>0.92303588295711336</c:v>
                </c:pt>
                <c:pt idx="10">
                  <c:v>0.90551337788501429</c:v>
                </c:pt>
                <c:pt idx="11">
                  <c:v>0.88638799177478722</c:v>
                </c:pt>
                <c:pt idx="12">
                  <c:v>0.86573124189516493</c:v>
                </c:pt>
                <c:pt idx="13">
                  <c:v>0.84362091707843656</c:v>
                </c:pt>
                <c:pt idx="14">
                  <c:v>0.82014088272633789</c:v>
                </c:pt>
                <c:pt idx="15">
                  <c:v>0.79538085148126625</c:v>
                </c:pt>
                <c:pt idx="16">
                  <c:v>0.76943611714145876</c:v>
                </c:pt>
                <c:pt idx="17">
                  <c:v>0.74240724990910811</c:v>
                </c:pt>
                <c:pt idx="18">
                  <c:v>0.71439975168812286</c:v>
                </c:pt>
                <c:pt idx="19">
                  <c:v>0.68552367088111554</c:v>
                </c:pt>
                <c:pt idx="20">
                  <c:v>0.65589317695603122</c:v>
                </c:pt>
                <c:pt idx="21">
                  <c:v>0.62562609593947105</c:v>
                </c:pt>
                <c:pt idx="22">
                  <c:v>0.59484340891981602</c:v>
                </c:pt>
                <c:pt idx="23">
                  <c:v>0.5636687165786457</c:v>
                </c:pt>
                <c:pt idx="24">
                  <c:v>0.53222767368101453</c:v>
                </c:pt>
                <c:pt idx="25">
                  <c:v>0.50064739830997962</c:v>
                </c:pt>
                <c:pt idx="26">
                  <c:v>0.46905586139448791</c:v>
                </c:pt>
                <c:pt idx="27">
                  <c:v>0.43758126272020947</c:v>
                </c:pt>
                <c:pt idx="28">
                  <c:v>0.40635140010125309</c:v>
                </c:pt>
                <c:pt idx="29">
                  <c:v>0.37529052423946496</c:v>
                </c:pt>
                <c:pt idx="30">
                  <c:v>0.34468114688857232</c:v>
                </c:pt>
                <c:pt idx="31">
                  <c:v>0.31470374598658973</c:v>
                </c:pt>
                <c:pt idx="32">
                  <c:v>0.285483108750479</c:v>
                </c:pt>
                <c:pt idx="33">
                  <c:v>0.25714030923259951</c:v>
                </c:pt>
                <c:pt idx="34">
                  <c:v>0.22979215875513412</c:v>
                </c:pt>
                <c:pt idx="35">
                  <c:v>0.20355070121704469</c:v>
                </c:pt>
                <c:pt idx="36">
                  <c:v>0.17852275238824689</c:v>
                </c:pt>
                <c:pt idx="37">
                  <c:v>0.15480948138670619</c:v>
                </c:pt>
                <c:pt idx="38">
                  <c:v>0.13250603193626828</c:v>
                </c:pt>
                <c:pt idx="39">
                  <c:v>0.11170118071934435</c:v>
                </c:pt>
                <c:pt idx="40">
                  <c:v>9.2477030140949587E-2</c:v>
                </c:pt>
                <c:pt idx="41">
                  <c:v>7.4908733063490746E-2</c:v>
                </c:pt>
                <c:pt idx="42">
                  <c:v>5.9064247496984572E-2</c:v>
                </c:pt>
                <c:pt idx="43">
                  <c:v>4.5004119771727649E-2</c:v>
                </c:pt>
                <c:pt idx="44">
                  <c:v>3.2781295312734771E-2</c:v>
                </c:pt>
                <c:pt idx="45">
                  <c:v>2.2440956713849887E-2</c:v>
                </c:pt>
                <c:pt idx="46">
                  <c:v>1.4020389318564825E-2</c:v>
                </c:pt>
                <c:pt idx="47">
                  <c:v>7.548874910025918E-3</c:v>
                </c:pt>
                <c:pt idx="48">
                  <c:v>3.0476143642516247E-3</c:v>
                </c:pt>
                <c:pt idx="49">
                  <c:v>5.2968021334087213E-4</c:v>
                </c:pt>
                <c:pt idx="50">
                  <c:v>0</c:v>
                </c:pt>
                <c:pt idx="51">
                  <c:v>0</c:v>
                </c:pt>
                <c:pt idx="52">
                  <c:v>1.4435913583875689E-3</c:v>
                </c:pt>
                <c:pt idx="53">
                  <c:v>4.8376843212704999E-3</c:v>
                </c:pt>
                <c:pt idx="54">
                  <c:v>1.0163874361285361E-2</c:v>
                </c:pt>
                <c:pt idx="55">
                  <c:v>1.7396449552804099E-2</c:v>
                </c:pt>
                <c:pt idx="56">
                  <c:v>2.6502526990996582E-2</c:v>
                </c:pt>
                <c:pt idx="57">
                  <c:v>3.7442218799013771E-2</c:v>
                </c:pt>
                <c:pt idx="58">
                  <c:v>5.0168827762252774E-2</c:v>
                </c:pt>
                <c:pt idx="59">
                  <c:v>6.4629072459151837E-2</c:v>
                </c:pt>
                <c:pt idx="60">
                  <c:v>8.0763341434494179E-2</c:v>
                </c:pt>
                <c:pt idx="61">
                  <c:v>9.8505975484102962E-2</c:v>
                </c:pt>
                <c:pt idx="62">
                  <c:v>0.1177855765048664</c:v>
                </c:pt>
                <c:pt idx="63">
                  <c:v>0.13852534064232017</c:v>
                </c:pt>
                <c:pt idx="64">
                  <c:v>0.16064341268460519</c:v>
                </c:pt>
                <c:pt idx="65">
                  <c:v>0.18405325786306337</c:v>
                </c:pt>
                <c:pt idx="66">
                  <c:v>0.20866404649048206</c:v>
                </c:pt>
                <c:pt idx="67">
                  <c:v>0.23438104626586934</c:v>
                </c:pt>
                <c:pt idx="68">
                  <c:v>0.26110601666568528</c:v>
                </c:pt>
                <c:pt idx="69">
                  <c:v>0.28873759968444834</c:v>
                </c:pt>
                <c:pt idx="70">
                  <c:v>0.31717170132873213</c:v>
                </c:pt>
                <c:pt idx="71">
                  <c:v>0.34630185873648023</c:v>
                </c:pt>
                <c:pt idx="72">
                  <c:v>0.3760195885956803</c:v>
                </c:pt>
                <c:pt idx="73">
                  <c:v>0.4062672853130222</c:v>
                </c:pt>
                <c:pt idx="74">
                  <c:v>0.43708550371548605</c:v>
                </c:pt>
                <c:pt idx="75">
                  <c:v>0.46815361907619862</c:v>
                </c:pt>
                <c:pt idx="76">
                  <c:v>0.49935260169002033</c:v>
                </c:pt>
                <c:pt idx="77">
                  <c:v>0.53056284584829894</c:v>
                </c:pt>
                <c:pt idx="78">
                  <c:v>0.56166451698565856</c:v>
                </c:pt>
                <c:pt idx="79">
                  <c:v>0.59253790566590858</c:v>
                </c:pt>
                <c:pt idx="80">
                  <c:v>0.6230637912253838</c:v>
                </c:pt>
                <c:pt idx="81">
                  <c:v>0.65312381741891579</c:v>
                </c:pt>
                <c:pt idx="82">
                  <c:v>0.68260088180356215</c:v>
                </c:pt>
                <c:pt idx="83">
                  <c:v>0.7113795398769498</c:v>
                </c:pt>
                <c:pt idx="84">
                  <c:v>0.73934642419260732</c:v>
                </c:pt>
                <c:pt idx="85">
                  <c:v>0.76639067783753823</c:v>
                </c:pt>
                <c:pt idx="86">
                  <c:v>0.79240440081120667</c:v>
                </c:pt>
                <c:pt idx="87">
                  <c:v>0.81728310702235185</c:v>
                </c:pt>
                <c:pt idx="88">
                  <c:v>0.84092618885025217</c:v>
                </c:pt>
                <c:pt idx="89">
                  <c:v>0.8632373855262464</c:v>
                </c:pt>
                <c:pt idx="90">
                  <c:v>0.88412525100100181</c:v>
                </c:pt>
                <c:pt idx="91">
                  <c:v>0.90350361648993316</c:v>
                </c:pt>
                <c:pt idx="92">
                  <c:v>0.92129204254490149</c:v>
                </c:pt>
                <c:pt idx="93">
                  <c:v>0.93741625529148531</c:v>
                </c:pt>
                <c:pt idx="94">
                  <c:v>0.9518085613996401</c:v>
                </c:pt>
                <c:pt idx="95">
                  <c:v>0.96440823641916185</c:v>
                </c:pt>
                <c:pt idx="96">
                  <c:v>0.9751618813041022</c:v>
                </c:pt>
                <c:pt idx="97">
                  <c:v>0.9840237422632736</c:v>
                </c:pt>
                <c:pt idx="98">
                  <c:v>0.99095598949603703</c:v>
                </c:pt>
                <c:pt idx="99">
                  <c:v>0.99592895089082167</c:v>
                </c:pt>
                <c:pt idx="100">
                  <c:v>0.99892129736431845</c:v>
                </c:pt>
                <c:pt idx="101">
                  <c:v>1</c:v>
                </c:pt>
              </c:numCache>
            </c:numRef>
          </c:xVal>
          <c:yVal>
            <c:numRef>
              <c:f>Data3!$O$1:$O$102</c:f>
              <c:numCache>
                <c:formatCode>0.00000</c:formatCode>
                <c:ptCount val="102"/>
                <c:pt idx="0">
                  <c:v>0</c:v>
                </c:pt>
                <c:pt idx="1">
                  <c:v>1.4489990373913358E-3</c:v>
                </c:pt>
                <c:pt idx="2">
                  <c:v>2.2007157976291127E-3</c:v>
                </c:pt>
                <c:pt idx="3">
                  <c:v>3.4427722257929982E-3</c:v>
                </c:pt>
                <c:pt idx="4">
                  <c:v>5.1591046030511007E-3</c:v>
                </c:pt>
                <c:pt idx="5">
                  <c:v>7.327509594792515E-3</c:v>
                </c:pt>
                <c:pt idx="6">
                  <c:v>9.9199272829486908E-3</c:v>
                </c:pt>
                <c:pt idx="7">
                  <c:v>1.2902800952545198E-2</c:v>
                </c:pt>
                <c:pt idx="8">
                  <c:v>1.6237510455872045E-2</c:v>
                </c:pt>
                <c:pt idx="9">
                  <c:v>1.9880875179077703E-2</c:v>
                </c:pt>
                <c:pt idx="10">
                  <c:v>2.3785721795470685E-2</c:v>
                </c:pt>
                <c:pt idx="11">
                  <c:v>2.7901511111339782E-2</c:v>
                </c:pt>
                <c:pt idx="12">
                  <c:v>3.2175017402562352E-2</c:v>
                </c:pt>
                <c:pt idx="13">
                  <c:v>3.6551052717530209E-2</c:v>
                </c:pt>
                <c:pt idx="14">
                  <c:v>4.0973227702661319E-2</c:v>
                </c:pt>
                <c:pt idx="15">
                  <c:v>4.5384739614078233E-2</c:v>
                </c:pt>
                <c:pt idx="16">
                  <c:v>4.9729177339739111E-2</c:v>
                </c:pt>
                <c:pt idx="17">
                  <c:v>5.3951332500063641E-2</c:v>
                </c:pt>
                <c:pt idx="18">
                  <c:v>5.7998005053283092E-2</c:v>
                </c:pt>
                <c:pt idx="19">
                  <c:v>6.1818791336198886E-2</c:v>
                </c:pt>
                <c:pt idx="20">
                  <c:v>6.5366842152633955E-2</c:v>
                </c:pt>
                <c:pt idx="21">
                  <c:v>6.8599578409112363E-2</c:v>
                </c:pt>
                <c:pt idx="22">
                  <c:v>7.1479351914863778E-2</c:v>
                </c:pt>
                <c:pt idx="23">
                  <c:v>7.3974039330601857E-2</c:v>
                </c:pt>
                <c:pt idx="24">
                  <c:v>7.6057557880753593E-2</c:v>
                </c:pt>
                <c:pt idx="25">
                  <c:v>7.7710292342612314E-2</c:v>
                </c:pt>
                <c:pt idx="26">
                  <c:v>7.891942399084044E-2</c:v>
                </c:pt>
                <c:pt idx="27">
                  <c:v>7.9679153595925215E-2</c:v>
                </c:pt>
                <c:pt idx="28">
                  <c:v>7.9990812231083702E-2</c:v>
                </c:pt>
                <c:pt idx="29">
                  <c:v>7.9820435552911448E-2</c:v>
                </c:pt>
                <c:pt idx="30">
                  <c:v>7.9094995604027524E-2</c:v>
                </c:pt>
                <c:pt idx="31">
                  <c:v>7.7834001057574764E-2</c:v>
                </c:pt>
                <c:pt idx="32">
                  <c:v>7.6064908349785243E-2</c:v>
                </c:pt>
                <c:pt idx="33">
                  <c:v>7.3819561994944327E-2</c:v>
                </c:pt>
                <c:pt idx="34">
                  <c:v>7.1133425196521868E-2</c:v>
                </c:pt>
                <c:pt idx="35">
                  <c:v>6.8044798372803444E-2</c:v>
                </c:pt>
                <c:pt idx="36">
                  <c:v>6.4594040904756733E-2</c:v>
                </c:pt>
                <c:pt idx="37">
                  <c:v>6.0822809786154036E-2</c:v>
                </c:pt>
                <c:pt idx="38">
                  <c:v>5.6773326995799615E-2</c:v>
                </c:pt>
                <c:pt idx="39">
                  <c:v>5.2487685416561652E-2</c:v>
                </c:pt>
                <c:pt idx="40">
                  <c:v>4.800720109029144E-2</c:v>
                </c:pt>
                <c:pt idx="41">
                  <c:v>4.3371817608771721E-2</c:v>
                </c:pt>
                <c:pt idx="42">
                  <c:v>3.8619566574834285E-2</c:v>
                </c:pt>
                <c:pt idx="43">
                  <c:v>3.3786086387578844E-2</c:v>
                </c:pt>
                <c:pt idx="44">
                  <c:v>2.8904200159098892E-2</c:v>
                </c:pt>
                <c:pt idx="45">
                  <c:v>2.4003552389605814E-2</c:v>
                </c:pt>
                <c:pt idx="46">
                  <c:v>1.9110303130318418E-2</c:v>
                </c:pt>
                <c:pt idx="47">
                  <c:v>1.4246877751441877E-2</c:v>
                </c:pt>
                <c:pt idx="48">
                  <c:v>9.4317700953647117E-3</c:v>
                </c:pt>
                <c:pt idx="49">
                  <c:v>4.6793967107701725E-3</c:v>
                </c:pt>
                <c:pt idx="50">
                  <c:v>0</c:v>
                </c:pt>
                <c:pt idx="51">
                  <c:v>0</c:v>
                </c:pt>
                <c:pt idx="52">
                  <c:v>-4.4823129161408147E-3</c:v>
                </c:pt>
                <c:pt idx="53">
                  <c:v>-8.6471263477724929E-3</c:v>
                </c:pt>
                <c:pt idx="54">
                  <c:v>-1.249521166723252E-2</c:v>
                </c:pt>
                <c:pt idx="55">
                  <c:v>-1.6030307853473376E-2</c:v>
                </c:pt>
                <c:pt idx="56">
                  <c:v>-1.9258920556444081E-2</c:v>
                </c:pt>
                <c:pt idx="57">
                  <c:v>-2.2190057618811723E-2</c:v>
                </c:pt>
                <c:pt idx="58">
                  <c:v>-2.4834909755574914E-2</c:v>
                </c:pt>
                <c:pt idx="59">
                  <c:v>-2.7206486916831338E-2</c:v>
                </c:pt>
                <c:pt idx="60">
                  <c:v>-2.9319222332629871E-2</c:v>
                </c:pt>
                <c:pt idx="61">
                  <c:v>-3.1188557305134867E-2</c:v>
                </c:pt>
                <c:pt idx="62">
                  <c:v>-3.2830520427970813E-2</c:v>
                </c:pt>
                <c:pt idx="63">
                  <c:v>-3.4261315045555372E-2</c:v>
                </c:pt>
                <c:pt idx="64">
                  <c:v>-3.5496928402645789E-2</c:v>
                </c:pt>
                <c:pt idx="65">
                  <c:v>-3.6552775080235592E-2</c:v>
                </c:pt>
                <c:pt idx="66">
                  <c:v>-3.7443385991274523E-2</c:v>
                </c:pt>
                <c:pt idx="67">
                  <c:v>-3.8182152460638441E-2</c:v>
                </c:pt>
                <c:pt idx="68">
                  <c:v>-3.8781132799307796E-2</c:v>
                </c:pt>
                <c:pt idx="69">
                  <c:v>-3.9250926381011866E-2</c:v>
                </c:pt>
                <c:pt idx="70">
                  <c:v>-3.9600617633538712E-2</c:v>
                </c:pt>
                <c:pt idx="71">
                  <c:v>-3.9837789670436746E-2</c:v>
                </c:pt>
                <c:pt idx="72">
                  <c:v>-3.9968604622419343E-2</c:v>
                </c:pt>
                <c:pt idx="73">
                  <c:v>-3.9995235320572156E-2</c:v>
                </c:pt>
                <c:pt idx="74">
                  <c:v>-3.9834018207313068E-2</c:v>
                </c:pt>
                <c:pt idx="75">
                  <c:v>-3.9442380700035876E-2</c:v>
                </c:pt>
                <c:pt idx="76">
                  <c:v>-3.8821403453723438E-2</c:v>
                </c:pt>
                <c:pt idx="77">
                  <c:v>-3.7975859468378212E-2</c:v>
                </c:pt>
                <c:pt idx="78">
                  <c:v>-3.6914086910085367E-2</c:v>
                </c:pt>
                <c:pt idx="79">
                  <c:v>-3.5647804217368337E-2</c:v>
                </c:pt>
                <c:pt idx="80">
                  <c:v>-3.4191873265890432E-2</c:v>
                </c:pt>
                <c:pt idx="81">
                  <c:v>-3.2564017168259088E-2</c:v>
                </c:pt>
                <c:pt idx="82">
                  <c:v>-3.0784499874064581E-2</c:v>
                </c:pt>
                <c:pt idx="83">
                  <c:v>-2.887577510194099E-2</c:v>
                </c:pt>
                <c:pt idx="84">
                  <c:v>-2.6862112282041085E-2</c:v>
                </c:pt>
                <c:pt idx="85">
                  <c:v>-2.4769207123324186E-2</c:v>
                </c:pt>
                <c:pt idx="86">
                  <c:v>-2.2623784162120318E-2</c:v>
                </c:pt>
                <c:pt idx="87">
                  <c:v>-2.0453198219511692E-2</c:v>
                </c:pt>
                <c:pt idx="88">
                  <c:v>-1.8285041123275184E-2</c:v>
                </c:pt>
                <c:pt idx="89">
                  <c:v>-1.6146759367374038E-2</c:v>
                </c:pt>
                <c:pt idx="90">
                  <c:v>-1.406528762253916E-2</c:v>
                </c:pt>
                <c:pt idx="91">
                  <c:v>-1.2066702210399925E-2</c:v>
                </c:pt>
                <c:pt idx="92">
                  <c:v>-1.0175897845281643E-2</c:v>
                </c:pt>
                <c:pt idx="93">
                  <c:v>-8.4162901644010395E-3</c:v>
                </c:pt>
                <c:pt idx="94">
                  <c:v>-6.8095458375661035E-3</c:v>
                </c:pt>
                <c:pt idx="95">
                  <c:v>-5.3753413958932969E-3</c:v>
                </c:pt>
                <c:pt idx="96">
                  <c:v>-4.1311513643907151E-3</c:v>
                </c:pt>
                <c:pt idx="97">
                  <c:v>-3.0920658384228856E-3</c:v>
                </c:pt>
                <c:pt idx="98">
                  <c:v>-2.2706373156708131E-3</c:v>
                </c:pt>
                <c:pt idx="99">
                  <c:v>-1.6767563834654033E-3</c:v>
                </c:pt>
                <c:pt idx="100">
                  <c:v>-1.3175557604065463E-3</c:v>
                </c:pt>
                <c:pt idx="10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56-4FA9-9E34-EA9F687740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2430911"/>
        <c:axId val="682431391"/>
      </c:scatterChart>
      <c:valAx>
        <c:axId val="682430911"/>
        <c:scaling>
          <c:orientation val="minMax"/>
          <c:max val="1.1000000000000001"/>
          <c:min val="-0.1"/>
        </c:scaling>
        <c:delete val="0"/>
        <c:axPos val="b"/>
        <c:majorGridlines>
          <c:spPr>
            <a:ln w="25400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one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Segoe UI "/>
                <a:ea typeface="+mn-ea"/>
                <a:cs typeface="+mn-cs"/>
              </a:defRPr>
            </a:pPr>
            <a:endParaRPr lang="en-US"/>
          </a:p>
        </c:txPr>
        <c:crossAx val="682431391"/>
        <c:crosses val="autoZero"/>
        <c:crossBetween val="midCat"/>
        <c:majorUnit val="0.1"/>
      </c:valAx>
      <c:valAx>
        <c:axId val="682431391"/>
        <c:scaling>
          <c:orientation val="minMax"/>
          <c:max val="0.30000000000000004"/>
          <c:min val="-0.4"/>
        </c:scaling>
        <c:delete val="0"/>
        <c:axPos val="l"/>
        <c:majorGridlines>
          <c:spPr>
            <a:ln w="25400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one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Segoe UI "/>
                <a:ea typeface="+mn-ea"/>
                <a:cs typeface="+mn-cs"/>
              </a:defRPr>
            </a:pPr>
            <a:endParaRPr lang="en-US"/>
          </a:p>
        </c:txPr>
        <c:crossAx val="682430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676269448619806E-2"/>
          <c:y val="4.1646636036220631E-2"/>
          <c:w val="0.894934681460272"/>
          <c:h val="0.88865984514740515"/>
        </c:manualLayout>
      </c:layout>
      <c:scatterChart>
        <c:scatterStyle val="smoothMarker"/>
        <c:varyColors val="0"/>
        <c:ser>
          <c:idx val="0"/>
          <c:order val="0"/>
          <c:tx>
            <c:v>Chord Line</c:v>
          </c:tx>
          <c:spPr>
            <a:ln w="3175" cap="rnd">
              <a:solidFill>
                <a:srgbClr val="3333FF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Data4!$L$1:$L$51</c:f>
              <c:numCache>
                <c:formatCode>0.00000</c:formatCode>
                <c:ptCount val="51"/>
                <c:pt idx="0">
                  <c:v>1</c:v>
                </c:pt>
                <c:pt idx="1">
                  <c:v>0.99901336421413578</c:v>
                </c:pt>
                <c:pt idx="2">
                  <c:v>0.99605735065723888</c:v>
                </c:pt>
                <c:pt idx="3">
                  <c:v>0.99114362536434442</c:v>
                </c:pt>
                <c:pt idx="4">
                  <c:v>0.98429158056431554</c:v>
                </c:pt>
                <c:pt idx="5">
                  <c:v>0.97552825814757682</c:v>
                </c:pt>
                <c:pt idx="6">
                  <c:v>0.96488824294412567</c:v>
                </c:pt>
                <c:pt idx="7">
                  <c:v>0.95241352623300968</c:v>
                </c:pt>
                <c:pt idx="8">
                  <c:v>0.93815334002193174</c:v>
                </c:pt>
                <c:pt idx="9">
                  <c:v>0.92216396275100743</c:v>
                </c:pt>
                <c:pt idx="10">
                  <c:v>0.90450849718747373</c:v>
                </c:pt>
                <c:pt idx="11">
                  <c:v>0.88525662138789452</c:v>
                </c:pt>
                <c:pt idx="12">
                  <c:v>0.86448431371070567</c:v>
                </c:pt>
                <c:pt idx="13">
                  <c:v>0.84227355296434436</c:v>
                </c:pt>
                <c:pt idx="14">
                  <c:v>0.81871199487434487</c:v>
                </c:pt>
                <c:pt idx="15">
                  <c:v>0.79389262614623646</c:v>
                </c:pt>
                <c:pt idx="16">
                  <c:v>0.76791339748949849</c:v>
                </c:pt>
                <c:pt idx="17">
                  <c:v>0.74087683705085772</c:v>
                </c:pt>
                <c:pt idx="18">
                  <c:v>0.71288964578253633</c:v>
                </c:pt>
                <c:pt idx="19">
                  <c:v>0.68406227634233885</c:v>
                </c:pt>
                <c:pt idx="20">
                  <c:v>0.6545084971874735</c:v>
                </c:pt>
                <c:pt idx="21">
                  <c:v>0.62434494358242743</c:v>
                </c:pt>
                <c:pt idx="22">
                  <c:v>0.5936906572928623</c:v>
                </c:pt>
                <c:pt idx="23">
                  <c:v>0.56266661678215213</c:v>
                </c:pt>
                <c:pt idx="24">
                  <c:v>0.53139525976465674</c:v>
                </c:pt>
                <c:pt idx="25">
                  <c:v>0.49999999999999994</c:v>
                </c:pt>
                <c:pt idx="26">
                  <c:v>0.46860474023534326</c:v>
                </c:pt>
                <c:pt idx="27">
                  <c:v>0.43733338321784776</c:v>
                </c:pt>
                <c:pt idx="28">
                  <c:v>0.40630934270713764</c:v>
                </c:pt>
                <c:pt idx="29">
                  <c:v>0.37565505641757263</c:v>
                </c:pt>
                <c:pt idx="30">
                  <c:v>0.34549150281252627</c:v>
                </c:pt>
                <c:pt idx="31">
                  <c:v>0.31593772365766093</c:v>
                </c:pt>
                <c:pt idx="32">
                  <c:v>0.28711035421746367</c:v>
                </c:pt>
                <c:pt idx="33">
                  <c:v>0.25912316294914239</c:v>
                </c:pt>
                <c:pt idx="34">
                  <c:v>0.23208660251050173</c:v>
                </c:pt>
                <c:pt idx="35">
                  <c:v>0.20610737385376338</c:v>
                </c:pt>
                <c:pt idx="36">
                  <c:v>0.18128800512565513</c:v>
                </c:pt>
                <c:pt idx="37">
                  <c:v>0.15772644703565569</c:v>
                </c:pt>
                <c:pt idx="38">
                  <c:v>0.13551568628929422</c:v>
                </c:pt>
                <c:pt idx="39">
                  <c:v>0.11474337861210537</c:v>
                </c:pt>
                <c:pt idx="40">
                  <c:v>9.5491502812526274E-2</c:v>
                </c:pt>
                <c:pt idx="41">
                  <c:v>7.7836037248992462E-2</c:v>
                </c:pt>
                <c:pt idx="42">
                  <c:v>6.1846659978068208E-2</c:v>
                </c:pt>
                <c:pt idx="43">
                  <c:v>4.7586473766990212E-2</c:v>
                </c:pt>
                <c:pt idx="44">
                  <c:v>3.5111757055874271E-2</c:v>
                </c:pt>
                <c:pt idx="45">
                  <c:v>2.4471741852423234E-2</c:v>
                </c:pt>
                <c:pt idx="46">
                  <c:v>1.5708419435684462E-2</c:v>
                </c:pt>
                <c:pt idx="47">
                  <c:v>8.8563746356556394E-3</c:v>
                </c:pt>
                <c:pt idx="48">
                  <c:v>3.942649342761062E-3</c:v>
                </c:pt>
                <c:pt idx="49">
                  <c:v>9.8663578586422052E-4</c:v>
                </c:pt>
                <c:pt idx="50">
                  <c:v>0</c:v>
                </c:pt>
              </c:numCache>
            </c:numRef>
          </c:xVal>
          <c:yVal>
            <c:numRef>
              <c:f>Data4!$AE$1:$AE$51</c:f>
              <c:numCache>
                <c:formatCode>0.0000</c:formatCode>
                <c:ptCount val="5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98-4D81-8416-2B846FE1DB38}"/>
            </c:ext>
          </c:extLst>
        </c:ser>
        <c:ser>
          <c:idx val="1"/>
          <c:order val="1"/>
          <c:tx>
            <c:v>Mean Line</c:v>
          </c:tx>
          <c:spPr>
            <a:ln w="6350" cap="rnd">
              <a:solidFill>
                <a:srgbClr val="FF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Data4!$N$1:$N$51</c:f>
              <c:numCache>
                <c:formatCode>0.00000</c:formatCode>
                <c:ptCount val="51"/>
                <c:pt idx="0">
                  <c:v>1</c:v>
                </c:pt>
                <c:pt idx="1">
                  <c:v>0.99901336421413578</c:v>
                </c:pt>
                <c:pt idx="2">
                  <c:v>0.99605735065723888</c:v>
                </c:pt>
                <c:pt idx="3">
                  <c:v>0.99114362536434442</c:v>
                </c:pt>
                <c:pt idx="4">
                  <c:v>0.98429158056431554</c:v>
                </c:pt>
                <c:pt idx="5">
                  <c:v>0.97552825814757682</c:v>
                </c:pt>
                <c:pt idx="6">
                  <c:v>0.96488824294412567</c:v>
                </c:pt>
                <c:pt idx="7">
                  <c:v>0.95241352623300968</c:v>
                </c:pt>
                <c:pt idx="8">
                  <c:v>0.93815334002193174</c:v>
                </c:pt>
                <c:pt idx="9">
                  <c:v>0.92216396275100743</c:v>
                </c:pt>
                <c:pt idx="10">
                  <c:v>0.90450849718747373</c:v>
                </c:pt>
                <c:pt idx="11">
                  <c:v>0.88525662138789452</c:v>
                </c:pt>
                <c:pt idx="12">
                  <c:v>0.86448431371070567</c:v>
                </c:pt>
                <c:pt idx="13">
                  <c:v>0.84227355296434436</c:v>
                </c:pt>
                <c:pt idx="14">
                  <c:v>0.81871199487434487</c:v>
                </c:pt>
                <c:pt idx="15">
                  <c:v>0.79389262614623646</c:v>
                </c:pt>
                <c:pt idx="16">
                  <c:v>0.76791339748949849</c:v>
                </c:pt>
                <c:pt idx="17">
                  <c:v>0.74087683705085772</c:v>
                </c:pt>
                <c:pt idx="18">
                  <c:v>0.71288964578253633</c:v>
                </c:pt>
                <c:pt idx="19">
                  <c:v>0.68406227634233885</c:v>
                </c:pt>
                <c:pt idx="20">
                  <c:v>0.6545084971874735</c:v>
                </c:pt>
                <c:pt idx="21">
                  <c:v>0.62434494358242743</c:v>
                </c:pt>
                <c:pt idx="22">
                  <c:v>0.5936906572928623</c:v>
                </c:pt>
                <c:pt idx="23">
                  <c:v>0.56266661678215213</c:v>
                </c:pt>
                <c:pt idx="24">
                  <c:v>0.53139525976465674</c:v>
                </c:pt>
                <c:pt idx="25">
                  <c:v>0.49999999999999994</c:v>
                </c:pt>
                <c:pt idx="26">
                  <c:v>0.46860474023534326</c:v>
                </c:pt>
                <c:pt idx="27">
                  <c:v>0.43733338321784776</c:v>
                </c:pt>
                <c:pt idx="28">
                  <c:v>0.40630934270713764</c:v>
                </c:pt>
                <c:pt idx="29">
                  <c:v>0.37565505641757263</c:v>
                </c:pt>
                <c:pt idx="30">
                  <c:v>0.34549150281252627</c:v>
                </c:pt>
                <c:pt idx="31">
                  <c:v>0.31593772365766093</c:v>
                </c:pt>
                <c:pt idx="32">
                  <c:v>0.28711035421746367</c:v>
                </c:pt>
                <c:pt idx="33">
                  <c:v>0.25912316294914239</c:v>
                </c:pt>
                <c:pt idx="34">
                  <c:v>0.23208660251050173</c:v>
                </c:pt>
                <c:pt idx="35">
                  <c:v>0.20610737385376338</c:v>
                </c:pt>
                <c:pt idx="36">
                  <c:v>0.18128800512565513</c:v>
                </c:pt>
                <c:pt idx="37">
                  <c:v>0.15772644703565569</c:v>
                </c:pt>
                <c:pt idx="38">
                  <c:v>0.13551568628929422</c:v>
                </c:pt>
                <c:pt idx="39">
                  <c:v>0.11474337861210537</c:v>
                </c:pt>
                <c:pt idx="40">
                  <c:v>9.5491502812526274E-2</c:v>
                </c:pt>
                <c:pt idx="41">
                  <c:v>7.7836037248992462E-2</c:v>
                </c:pt>
                <c:pt idx="42">
                  <c:v>6.1846659978068208E-2</c:v>
                </c:pt>
                <c:pt idx="43">
                  <c:v>4.7586473766990212E-2</c:v>
                </c:pt>
                <c:pt idx="44">
                  <c:v>3.5111757055874271E-2</c:v>
                </c:pt>
                <c:pt idx="45">
                  <c:v>2.4471741852423234E-2</c:v>
                </c:pt>
                <c:pt idx="46">
                  <c:v>1.5708419435684462E-2</c:v>
                </c:pt>
                <c:pt idx="47">
                  <c:v>8.8563746356556394E-3</c:v>
                </c:pt>
                <c:pt idx="48">
                  <c:v>3.942649342761062E-3</c:v>
                </c:pt>
                <c:pt idx="49">
                  <c:v>9.8663578586422052E-4</c:v>
                </c:pt>
                <c:pt idx="50">
                  <c:v>0</c:v>
                </c:pt>
              </c:numCache>
            </c:numRef>
          </c:xVal>
          <c:yVal>
            <c:numRef>
              <c:f>Data4!$AF$1:$AF$51</c:f>
              <c:numCache>
                <c:formatCode>0.00000</c:formatCode>
                <c:ptCount val="5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98-4D81-8416-2B846FE1DB38}"/>
            </c:ext>
          </c:extLst>
        </c:ser>
        <c:ser>
          <c:idx val="3"/>
          <c:order val="2"/>
          <c:tx>
            <c:v>Leading-edge Radius</c:v>
          </c:tx>
          <c:spPr>
            <a:ln w="31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Data4!$AJ$1:$AJ$51</c:f>
              <c:numCache>
                <c:formatCode>0.000</c:formatCode>
                <c:ptCount val="51"/>
                <c:pt idx="0">
                  <c:v>2.1582541155753712E-2</c:v>
                </c:pt>
                <c:pt idx="1">
                  <c:v>2.1495655405270927E-2</c:v>
                </c:pt>
                <c:pt idx="2">
                  <c:v>2.1236368394010711E-2</c:v>
                </c:pt>
                <c:pt idx="3">
                  <c:v>2.0808769233031196E-2</c:v>
                </c:pt>
                <c:pt idx="4">
                  <c:v>2.0219601416536385E-2</c:v>
                </c:pt>
                <c:pt idx="5">
                  <c:v>1.9478156472944191E-2</c:v>
                </c:pt>
                <c:pt idx="6">
                  <c:v>1.8596127431932806E-2</c:v>
                </c:pt>
                <c:pt idx="7">
                  <c:v>1.758742441837759E-2</c:v>
                </c:pt>
                <c:pt idx="8">
                  <c:v>1.6467955281372279E-2</c:v>
                </c:pt>
                <c:pt idx="9">
                  <c:v>1.5255374717945896E-2</c:v>
                </c:pt>
                <c:pt idx="10">
                  <c:v>1.3968805847944191E-2</c:v>
                </c:pt>
                <c:pt idx="11">
                  <c:v>1.2628538631006084E-2</c:v>
                </c:pt>
                <c:pt idx="12">
                  <c:v>1.1255709881779511E-2</c:v>
                </c:pt>
                <c:pt idx="13">
                  <c:v>9.8719699297279227E-3</c:v>
                </c:pt>
                <c:pt idx="14">
                  <c:v>8.4991411805013517E-3</c:v>
                </c:pt>
                <c:pt idx="15">
                  <c:v>7.158873963563241E-3</c:v>
                </c:pt>
                <c:pt idx="16">
                  <c:v>5.8723050935615357E-3</c:v>
                </c:pt>
                <c:pt idx="17">
                  <c:v>4.6597245301351507E-3</c:v>
                </c:pt>
                <c:pt idx="18">
                  <c:v>3.5402553931298377E-3</c:v>
                </c:pt>
                <c:pt idx="19">
                  <c:v>2.5315523795746198E-3</c:v>
                </c:pt>
                <c:pt idx="20">
                  <c:v>1.6495233385632338E-3</c:v>
                </c:pt>
                <c:pt idx="21">
                  <c:v>9.0807839497104045E-4</c:v>
                </c:pt>
                <c:pt idx="22">
                  <c:v>3.1891057847622644E-4</c:v>
                </c:pt>
                <c:pt idx="23">
                  <c:v>-1.0868858250328851E-4</c:v>
                </c:pt>
                <c:pt idx="24">
                  <c:v>-3.6797559376350265E-4</c:v>
                </c:pt>
                <c:pt idx="25">
                  <c:v>-4.5486134424628744E-4</c:v>
                </c:pt>
                <c:pt idx="26">
                  <c:v>-3.6797559376349897E-4</c:v>
                </c:pt>
                <c:pt idx="27">
                  <c:v>-1.0868858250328239E-4</c:v>
                </c:pt>
                <c:pt idx="28">
                  <c:v>3.1891057847623625E-4</c:v>
                </c:pt>
                <c:pt idx="29">
                  <c:v>9.0807839497105271E-4</c:v>
                </c:pt>
                <c:pt idx="30">
                  <c:v>1.6495233385632497E-3</c:v>
                </c:pt>
                <c:pt idx="31">
                  <c:v>2.5315523795746381E-3</c:v>
                </c:pt>
                <c:pt idx="32">
                  <c:v>3.540255393129855E-3</c:v>
                </c:pt>
                <c:pt idx="33">
                  <c:v>4.6597245301351698E-3</c:v>
                </c:pt>
                <c:pt idx="34">
                  <c:v>5.8723050935615556E-3</c:v>
                </c:pt>
                <c:pt idx="35">
                  <c:v>7.1588739635632635E-3</c:v>
                </c:pt>
                <c:pt idx="36">
                  <c:v>8.4991411805013743E-3</c:v>
                </c:pt>
                <c:pt idx="37">
                  <c:v>9.8719699297279487E-3</c:v>
                </c:pt>
                <c:pt idx="38">
                  <c:v>1.1255709881779541E-2</c:v>
                </c:pt>
                <c:pt idx="39">
                  <c:v>1.2628538631006114E-2</c:v>
                </c:pt>
                <c:pt idx="40">
                  <c:v>1.3968805847944224E-2</c:v>
                </c:pt>
                <c:pt idx="41">
                  <c:v>1.5255374717945929E-2</c:v>
                </c:pt>
                <c:pt idx="42">
                  <c:v>1.6467955281372314E-2</c:v>
                </c:pt>
                <c:pt idx="43">
                  <c:v>1.7587424418377622E-2</c:v>
                </c:pt>
                <c:pt idx="44">
                  <c:v>1.8596127431932834E-2</c:v>
                </c:pt>
                <c:pt idx="45">
                  <c:v>1.9478156472944215E-2</c:v>
                </c:pt>
                <c:pt idx="46">
                  <c:v>2.0219601416536406E-2</c:v>
                </c:pt>
                <c:pt idx="47">
                  <c:v>2.0808769233031217E-2</c:v>
                </c:pt>
                <c:pt idx="48">
                  <c:v>2.1236368394010725E-2</c:v>
                </c:pt>
                <c:pt idx="49">
                  <c:v>2.1495655405270934E-2</c:v>
                </c:pt>
                <c:pt idx="50">
                  <c:v>2.1582541155753712E-2</c:v>
                </c:pt>
              </c:numCache>
            </c:numRef>
          </c:xVal>
          <c:yVal>
            <c:numRef>
              <c:f>Data4!$AK$1:$AK$51</c:f>
              <c:numCache>
                <c:formatCode>0.000</c:formatCode>
                <c:ptCount val="5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F81-4ADF-864E-D55A61B5251A}"/>
            </c:ext>
          </c:extLst>
        </c:ser>
        <c:ser>
          <c:idx val="2"/>
          <c:order val="3"/>
          <c:tx>
            <c:v>Profile</c:v>
          </c:tx>
          <c:spPr>
            <a:ln w="12700" cap="rnd">
              <a:solidFill>
                <a:srgbClr val="0000E6"/>
              </a:solidFill>
              <a:round/>
            </a:ln>
            <a:effectLst/>
          </c:spPr>
          <c:marker>
            <c:symbol val="none"/>
          </c:marker>
          <c:xVal>
            <c:numRef>
              <c:f>Data4!$P$1:$P$102</c:f>
              <c:numCache>
                <c:formatCode>0.00000</c:formatCode>
                <c:ptCount val="102"/>
                <c:pt idx="0">
                  <c:v>1</c:v>
                </c:pt>
                <c:pt idx="1">
                  <c:v>0.99904299560182752</c:v>
                </c:pt>
                <c:pt idx="2">
                  <c:v>0.99609615651810368</c:v>
                </c:pt>
                <c:pt idx="3">
                  <c:v>0.99119764589205284</c:v>
                </c:pt>
                <c:pt idx="4">
                  <c:v>0.98436674119968715</c:v>
                </c:pt>
                <c:pt idx="5">
                  <c:v>0.97563032260769034</c:v>
                </c:pt>
                <c:pt idx="6">
                  <c:v>0.96502276534312537</c:v>
                </c:pt>
                <c:pt idx="7">
                  <c:v>0.95258580225730671</c:v>
                </c:pt>
                <c:pt idx="8">
                  <c:v>0.93836835727477363</c:v>
                </c:pt>
                <c:pt idx="9">
                  <c:v>0.92242635055221989</c:v>
                </c:pt>
                <c:pt idx="10">
                  <c:v>0.90482247629534895</c:v>
                </c:pt>
                <c:pt idx="11">
                  <c:v>0.88562595429281221</c:v>
                </c:pt>
                <c:pt idx="12">
                  <c:v>0.86491225632490343</c:v>
                </c:pt>
                <c:pt idx="13">
                  <c:v>0.84276280869013387</c:v>
                </c:pt>
                <c:pt idx="14">
                  <c:v>0.81926467216523857</c:v>
                </c:pt>
                <c:pt idx="15">
                  <c:v>0.79451020077392287</c:v>
                </c:pt>
                <c:pt idx="16">
                  <c:v>0.76859668078752219</c:v>
                </c:pt>
                <c:pt idx="17">
                  <c:v>0.74162595141774967</c:v>
                </c:pt>
                <c:pt idx="18">
                  <c:v>0.71370400868920503</c:v>
                </c:pt>
                <c:pt idx="19">
                  <c:v>0.68494059399879814</c:v>
                </c:pt>
                <c:pt idx="20">
                  <c:v>0.65544876888245307</c:v>
                </c:pt>
                <c:pt idx="21">
                  <c:v>0.62534447751809341</c:v>
                </c:pt>
                <c:pt idx="22">
                  <c:v>0.59474609849976867</c:v>
                </c:pt>
                <c:pt idx="23">
                  <c:v>0.56377398742253837</c:v>
                </c:pt>
                <c:pt idx="24">
                  <c:v>0.53255001182290895</c:v>
                </c:pt>
                <c:pt idx="25">
                  <c:v>0.50119708002659791</c:v>
                </c:pt>
                <c:pt idx="26">
                  <c:v>0.46983866546520953</c:v>
                </c:pt>
                <c:pt idx="27">
                  <c:v>0.43859832803682824</c:v>
                </c:pt>
                <c:pt idx="28">
                  <c:v>0.40759923410298543</c:v>
                </c:pt>
                <c:pt idx="29">
                  <c:v>0.37696367673595493</c:v>
                </c:pt>
                <c:pt idx="30">
                  <c:v>0.34681259785556418</c:v>
                </c:pt>
                <c:pt idx="31">
                  <c:v>0.31726511392294077</c:v>
                </c:pt>
                <c:pt idx="32">
                  <c:v>0.28843801376890743</c:v>
                </c:pt>
                <c:pt idx="33">
                  <c:v>0.26044438686660726</c:v>
                </c:pt>
                <c:pt idx="34">
                  <c:v>0.23339318694171957</c:v>
                </c:pt>
                <c:pt idx="35">
                  <c:v>0.20738993393682228</c:v>
                </c:pt>
                <c:pt idx="36">
                  <c:v>0.18233057670952654</c:v>
                </c:pt>
                <c:pt idx="37">
                  <c:v>0.15805368459012073</c:v>
                </c:pt>
                <c:pt idx="38">
                  <c:v>0.13479732445042292</c:v>
                </c:pt>
                <c:pt idx="39">
                  <c:v>0.11280999318672238</c:v>
                </c:pt>
                <c:pt idx="40">
                  <c:v>9.2333461473571549E-2</c:v>
                </c:pt>
                <c:pt idx="41">
                  <c:v>7.3589572484573387E-2</c:v>
                </c:pt>
                <c:pt idx="42">
                  <c:v>5.6767636646189654E-2</c:v>
                </c:pt>
                <c:pt idx="43">
                  <c:v>4.2014783336065384E-2</c:v>
                </c:pt>
                <c:pt idx="44">
                  <c:v>2.9431048576041195E-2</c:v>
                </c:pt>
                <c:pt idx="45">
                  <c:v>1.9069760674505783E-2</c:v>
                </c:pt>
                <c:pt idx="46">
                  <c:v>1.0942476072772262E-2</c:v>
                </c:pt>
                <c:pt idx="47">
                  <c:v>5.0268339973617172E-3</c:v>
                </c:pt>
                <c:pt idx="48">
                  <c:v>1.2754648865222003E-3</c:v>
                </c:pt>
                <c:pt idx="49">
                  <c:v>-3.7560141608614203E-4</c:v>
                </c:pt>
                <c:pt idx="50">
                  <c:v>0</c:v>
                </c:pt>
                <c:pt idx="51">
                  <c:v>0</c:v>
                </c:pt>
                <c:pt idx="52">
                  <c:v>2.3488729878145828E-3</c:v>
                </c:pt>
                <c:pt idx="53">
                  <c:v>6.6098337989999242E-3</c:v>
                </c:pt>
                <c:pt idx="54">
                  <c:v>1.2685915273949562E-2</c:v>
                </c:pt>
                <c:pt idx="55">
                  <c:v>2.0474362798596664E-2</c:v>
                </c:pt>
                <c:pt idx="56">
                  <c:v>2.9873723030340686E-2</c:v>
                </c:pt>
                <c:pt idx="57">
                  <c:v>4.0792465535707347E-2</c:v>
                </c:pt>
                <c:pt idx="58">
                  <c:v>5.3158164197915039E-2</c:v>
                </c:pt>
                <c:pt idx="59">
                  <c:v>6.6925683309946762E-2</c:v>
                </c:pt>
                <c:pt idx="60">
                  <c:v>8.2082502013411537E-2</c:v>
                </c:pt>
                <c:pt idx="61">
                  <c:v>9.8649544151481E-2</c:v>
                </c:pt>
                <c:pt idx="62">
                  <c:v>0.11667676403748836</c:v>
                </c:pt>
                <c:pt idx="63">
                  <c:v>0.13623404812816553</c:v>
                </c:pt>
                <c:pt idx="64">
                  <c:v>0.15739920948119066</c:v>
                </c:pt>
                <c:pt idx="65">
                  <c:v>0.18024543354178371</c:v>
                </c:pt>
                <c:pt idx="66">
                  <c:v>0.20482481377070447</c:v>
                </c:pt>
                <c:pt idx="67">
                  <c:v>0.23078001807928389</c:v>
                </c:pt>
                <c:pt idx="68">
                  <c:v>0.25780193903167753</c:v>
                </c:pt>
                <c:pt idx="69">
                  <c:v>0.28578269466601991</c:v>
                </c:pt>
                <c:pt idx="70">
                  <c:v>0.31461033339238109</c:v>
                </c:pt>
                <c:pt idx="71">
                  <c:v>0.34417040776948837</c:v>
                </c:pt>
                <c:pt idx="72">
                  <c:v>0.37434643609919033</c:v>
                </c:pt>
                <c:pt idx="73">
                  <c:v>0.40501945131128986</c:v>
                </c:pt>
                <c:pt idx="74">
                  <c:v>0.43606843839886728</c:v>
                </c:pt>
                <c:pt idx="75">
                  <c:v>0.467370815005477</c:v>
                </c:pt>
                <c:pt idx="76">
                  <c:v>0.49880291997340198</c:v>
                </c:pt>
                <c:pt idx="77">
                  <c:v>0.53024050770640452</c:v>
                </c:pt>
                <c:pt idx="78">
                  <c:v>0.56155924614176589</c:v>
                </c:pt>
                <c:pt idx="79">
                  <c:v>0.59263521608595593</c:v>
                </c:pt>
                <c:pt idx="80">
                  <c:v>0.62334540964676144</c:v>
                </c:pt>
                <c:pt idx="81">
                  <c:v>0.65356822549249394</c:v>
                </c:pt>
                <c:pt idx="82">
                  <c:v>0.68318395868587956</c:v>
                </c:pt>
                <c:pt idx="83">
                  <c:v>0.71207528287586763</c:v>
                </c:pt>
                <c:pt idx="84">
                  <c:v>0.74012772268396576</c:v>
                </c:pt>
                <c:pt idx="85">
                  <c:v>0.7672301141914748</c:v>
                </c:pt>
                <c:pt idx="86">
                  <c:v>0.79327505151855005</c:v>
                </c:pt>
                <c:pt idx="87">
                  <c:v>0.81815931758345117</c:v>
                </c:pt>
                <c:pt idx="88">
                  <c:v>0.84178429723855486</c:v>
                </c:pt>
                <c:pt idx="89">
                  <c:v>0.8640563710965079</c:v>
                </c:pt>
                <c:pt idx="90">
                  <c:v>0.88488728848297682</c:v>
                </c:pt>
                <c:pt idx="91">
                  <c:v>0.9041945180795985</c:v>
                </c:pt>
                <c:pt idx="92">
                  <c:v>0.92190157494979497</c:v>
                </c:pt>
                <c:pt idx="93">
                  <c:v>0.93793832276908984</c:v>
                </c:pt>
                <c:pt idx="94">
                  <c:v>0.95224125020871264</c:v>
                </c:pt>
                <c:pt idx="95">
                  <c:v>0.96475372054512598</c:v>
                </c:pt>
                <c:pt idx="96">
                  <c:v>0.97542619368746331</c:v>
                </c:pt>
                <c:pt idx="97">
                  <c:v>0.98421641992894393</c:v>
                </c:pt>
                <c:pt idx="98">
                  <c:v>0.991089604836636</c:v>
                </c:pt>
                <c:pt idx="99">
                  <c:v>0.99601854479637408</c:v>
                </c:pt>
                <c:pt idx="100">
                  <c:v>0.99898373282644404</c:v>
                </c:pt>
                <c:pt idx="101">
                  <c:v>1</c:v>
                </c:pt>
              </c:numCache>
            </c:numRef>
          </c:xVal>
          <c:yVal>
            <c:numRef>
              <c:f>Data4!$Q$1:$Q$102</c:f>
              <c:numCache>
                <c:formatCode>0.00000</c:formatCode>
                <c:ptCount val="102"/>
                <c:pt idx="0">
                  <c:v>0</c:v>
                </c:pt>
                <c:pt idx="1">
                  <c:v>1.3600030550847888E-3</c:v>
                </c:pt>
                <c:pt idx="2">
                  <c:v>1.839779257007697E-3</c:v>
                </c:pt>
                <c:pt idx="3">
                  <c:v>2.6356815283482878E-3</c:v>
                </c:pt>
                <c:pt idx="4">
                  <c:v>3.7420982114184835E-3</c:v>
                </c:pt>
                <c:pt idx="5">
                  <c:v>5.1511270499248543E-3</c:v>
                </c:pt>
                <c:pt idx="6">
                  <c:v>6.8525365331195947E-3</c:v>
                </c:pt>
                <c:pt idx="7">
                  <c:v>8.8337262145749707E-3</c:v>
                </c:pt>
                <c:pt idx="8">
                  <c:v>1.1079692870404088E-2</c:v>
                </c:pt>
                <c:pt idx="9">
                  <c:v>1.3573010197206813E-2</c:v>
                </c:pt>
                <c:pt idx="10">
                  <c:v>1.6293830214389935E-2</c:v>
                </c:pt>
                <c:pt idx="11">
                  <c:v>1.9219914598184916E-2</c:v>
                </c:pt>
                <c:pt idx="12">
                  <c:v>2.2326703821039195E-2</c:v>
                </c:pt>
                <c:pt idx="13">
                  <c:v>2.5587431202161739E-2</c:v>
                </c:pt>
                <c:pt idx="14">
                  <c:v>2.8973287811710272E-2</c:v>
                </c:pt>
                <c:pt idx="15">
                  <c:v>3.2453642647520826E-2</c:v>
                </c:pt>
                <c:pt idx="16">
                  <c:v>3.5996320669591797E-2</c:v>
                </c:pt>
                <c:pt idx="17">
                  <c:v>3.9567939197316687E-2</c:v>
                </c:pt>
                <c:pt idx="18">
                  <c:v>4.3134300922420848E-2</c:v>
                </c:pt>
                <c:pt idx="19">
                  <c:v>4.6660839449894215E-2</c:v>
                </c:pt>
                <c:pt idx="20">
                  <c:v>5.0113110938577669E-2</c:v>
                </c:pt>
                <c:pt idx="21">
                  <c:v>5.3457323163371907E-2</c:v>
                </c:pt>
                <c:pt idx="22">
                  <c:v>5.66608912520839E-2</c:v>
                </c:pt>
                <c:pt idx="23">
                  <c:v>5.9693007547061014E-2</c:v>
                </c:pt>
                <c:pt idx="24">
                  <c:v>6.2525211582673546E-2</c:v>
                </c:pt>
                <c:pt idx="25">
                  <c:v>6.5131945121438675E-2</c:v>
                </c:pt>
                <c:pt idx="26">
                  <c:v>6.7491076607936643E-2</c:v>
                </c:pt>
                <c:pt idx="27">
                  <c:v>6.9584379319022158E-2</c:v>
                </c:pt>
                <c:pt idx="28">
                  <c:v>7.1397947932498484E-2</c:v>
                </c:pt>
                <c:pt idx="29">
                  <c:v>7.292253920759828E-2</c:v>
                </c:pt>
                <c:pt idx="30">
                  <c:v>7.415382395399174E-2</c:v>
                </c:pt>
                <c:pt idx="31">
                  <c:v>7.509253942802184E-2</c:v>
                </c:pt>
                <c:pt idx="32">
                  <c:v>7.5743037988275391E-2</c:v>
                </c:pt>
                <c:pt idx="33">
                  <c:v>7.6072137440359719E-2</c:v>
                </c:pt>
                <c:pt idx="34">
                  <c:v>7.6009700101701189E-2</c:v>
                </c:pt>
                <c:pt idx="35">
                  <c:v>7.5500028766827404E-2</c:v>
                </c:pt>
                <c:pt idx="36">
                  <c:v>7.4483648684729939E-2</c:v>
                </c:pt>
                <c:pt idx="37">
                  <c:v>7.2777469245594917E-2</c:v>
                </c:pt>
                <c:pt idx="38">
                  <c:v>7.0203961559075129E-2</c:v>
                </c:pt>
                <c:pt idx="39">
                  <c:v>6.6671403582893002E-2</c:v>
                </c:pt>
                <c:pt idx="40">
                  <c:v>6.2174723228680867E-2</c:v>
                </c:pt>
                <c:pt idx="41">
                  <c:v>5.678978841683921E-2</c:v>
                </c:pt>
                <c:pt idx="42">
                  <c:v>5.0661338727960803E-2</c:v>
                </c:pt>
                <c:pt idx="43">
                  <c:v>4.3985598431153461E-2</c:v>
                </c:pt>
                <c:pt idx="44">
                  <c:v>3.6989616020864521E-2</c:v>
                </c:pt>
                <c:pt idx="45">
                  <c:v>2.9909878102352048E-2</c:v>
                </c:pt>
                <c:pt idx="46">
                  <c:v>2.2972555511161213E-2</c:v>
                </c:pt>
                <c:pt idx="47">
                  <c:v>1.637702156891636E-2</c:v>
                </c:pt>
                <c:pt idx="48">
                  <c:v>1.0283407842953706E-2</c:v>
                </c:pt>
                <c:pt idx="49">
                  <c:v>4.8042632277018014E-3</c:v>
                </c:pt>
                <c:pt idx="50">
                  <c:v>0</c:v>
                </c:pt>
                <c:pt idx="51">
                  <c:v>0</c:v>
                </c:pt>
                <c:pt idx="52">
                  <c:v>-4.2043486107543847E-3</c:v>
                </c:pt>
                <c:pt idx="53">
                  <c:v>-7.9235044172733821E-3</c:v>
                </c:pt>
                <c:pt idx="54">
                  <c:v>-1.1213752134194779E-2</c:v>
                </c:pt>
                <c:pt idx="55">
                  <c:v>-1.4148590097034928E-2</c:v>
                </c:pt>
                <c:pt idx="56">
                  <c:v>-1.6811002652652177E-2</c:v>
                </c:pt>
                <c:pt idx="57">
                  <c:v>-1.9285371567170438E-2</c:v>
                </c:pt>
                <c:pt idx="58">
                  <c:v>-2.1650071891776246E-2</c:v>
                </c:pt>
                <c:pt idx="59">
                  <c:v>-2.3971574525125123E-2</c:v>
                </c:pt>
                <c:pt idx="60">
                  <c:v>-2.6300302629319608E-2</c:v>
                </c:pt>
                <c:pt idx="61">
                  <c:v>-2.8667699509216243E-2</c:v>
                </c:pt>
                <c:pt idx="62">
                  <c:v>-3.1083289561153041E-2</c:v>
                </c:pt>
                <c:pt idx="63">
                  <c:v>-3.3530320975014662E-2</c:v>
                </c:pt>
                <c:pt idx="64">
                  <c:v>-3.5959033394629518E-2</c:v>
                </c:pt>
                <c:pt idx="65">
                  <c:v>-3.8277507092908558E-2</c:v>
                </c:pt>
                <c:pt idx="66">
                  <c:v>-4.0340976359922953E-2</c:v>
                </c:pt>
                <c:pt idx="67">
                  <c:v>-4.2001187492939386E-2</c:v>
                </c:pt>
                <c:pt idx="68">
                  <c:v>-4.3260990588701587E-2</c:v>
                </c:pt>
                <c:pt idx="69">
                  <c:v>-4.4171357397063037E-2</c:v>
                </c:pt>
                <c:pt idx="70">
                  <c:v>-4.4797533993525707E-2</c:v>
                </c:pt>
                <c:pt idx="71">
                  <c:v>-4.5167664118896077E-2</c:v>
                </c:pt>
                <c:pt idx="72">
                  <c:v>-4.5272229998961203E-2</c:v>
                </c:pt>
                <c:pt idx="73">
                  <c:v>-4.510522238524755E-2</c:v>
                </c:pt>
                <c:pt idx="74">
                  <c:v>-4.4665612705594424E-2</c:v>
                </c:pt>
                <c:pt idx="75">
                  <c:v>-4.3957221812559497E-2</c:v>
                </c:pt>
                <c:pt idx="76">
                  <c:v>-4.298848941409969E-2</c:v>
                </c:pt>
                <c:pt idx="77">
                  <c:v>-4.1772154963372707E-2</c:v>
                </c:pt>
                <c:pt idx="78">
                  <c:v>-4.0324862745810777E-2</c:v>
                </c:pt>
                <c:pt idx="79">
                  <c:v>-3.8666705384656858E-2</c:v>
                </c:pt>
                <c:pt idx="80">
                  <c:v>-3.6820720957331014E-2</c:v>
                </c:pt>
                <c:pt idx="81">
                  <c:v>-3.4812359358995341E-2</c:v>
                </c:pt>
                <c:pt idx="82">
                  <c:v>-3.2668933469712363E-2</c:v>
                </c:pt>
                <c:pt idx="83">
                  <c:v>-3.0419070098955222E-2</c:v>
                </c:pt>
                <c:pt idx="84">
                  <c:v>-2.8092174634296852E-2</c:v>
                </c:pt>
                <c:pt idx="85">
                  <c:v>-2.5717921863675639E-2</c:v>
                </c:pt>
                <c:pt idx="86">
                  <c:v>-2.3325783639747282E-2</c:v>
                </c:pt>
                <c:pt idx="87">
                  <c:v>-2.0944601988166698E-2</c:v>
                </c:pt>
                <c:pt idx="88">
                  <c:v>-1.8602214014541762E-2</c:v>
                </c:pt>
                <c:pt idx="89">
                  <c:v>-1.6325132627045925E-2</c:v>
                </c:pt>
                <c:pt idx="90">
                  <c:v>-1.4138284754169747E-2</c:v>
                </c:pt>
                <c:pt idx="91">
                  <c:v>-1.2064806488477112E-2</c:v>
                </c:pt>
                <c:pt idx="92">
                  <c:v>-1.0125892510691105E-2</c:v>
                </c:pt>
                <c:pt idx="93">
                  <c:v>-8.3406953186616686E-3</c:v>
                </c:pt>
                <c:pt idx="94">
                  <c:v>-6.7262682663193733E-3</c:v>
                </c:pt>
                <c:pt idx="95">
                  <c:v>-5.2975452587723949E-3</c:v>
                </c:pt>
                <c:pt idx="96">
                  <c:v>-4.0673491863437213E-3</c:v>
                </c:pt>
                <c:pt idx="97">
                  <c:v>-3.0464208314057196E-3</c:v>
                </c:pt>
                <c:pt idx="98">
                  <c:v>-2.2434600494038084E-3</c:v>
                </c:pt>
                <c:pt idx="99">
                  <c:v>-1.6651714948256969E-3</c:v>
                </c:pt>
                <c:pt idx="100">
                  <c:v>-1.3163080034376687E-3</c:v>
                </c:pt>
                <c:pt idx="10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98-4D81-8416-2B846FE1D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2430911"/>
        <c:axId val="682431391"/>
      </c:scatterChart>
      <c:valAx>
        <c:axId val="682430911"/>
        <c:scaling>
          <c:orientation val="minMax"/>
          <c:max val="1.1000000000000001"/>
          <c:min val="-0.1"/>
        </c:scaling>
        <c:delete val="0"/>
        <c:axPos val="b"/>
        <c:majorGridlines>
          <c:spPr>
            <a:ln w="25400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one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Segoe UI "/>
                <a:ea typeface="+mn-ea"/>
                <a:cs typeface="+mn-cs"/>
              </a:defRPr>
            </a:pPr>
            <a:endParaRPr lang="en-US"/>
          </a:p>
        </c:txPr>
        <c:crossAx val="682431391"/>
        <c:crosses val="autoZero"/>
        <c:crossBetween val="midCat"/>
        <c:majorUnit val="0.1"/>
      </c:valAx>
      <c:valAx>
        <c:axId val="682431391"/>
        <c:scaling>
          <c:orientation val="minMax"/>
          <c:max val="0.30000000000000004"/>
          <c:min val="-0.4"/>
        </c:scaling>
        <c:delete val="0"/>
        <c:axPos val="l"/>
        <c:majorGridlines>
          <c:spPr>
            <a:ln w="25400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one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Segoe UI "/>
                <a:ea typeface="+mn-ea"/>
                <a:cs typeface="+mn-cs"/>
              </a:defRPr>
            </a:pPr>
            <a:endParaRPr lang="en-US"/>
          </a:p>
        </c:txPr>
        <c:crossAx val="682430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3227426117189898E-2"/>
          <c:y val="4.167123598051433E-2"/>
          <c:w val="0.89622640351774208"/>
          <c:h val="0.89324880480344393"/>
        </c:manualLayout>
      </c:layout>
      <c:scatterChart>
        <c:scatterStyle val="smoothMarker"/>
        <c:varyColors val="0"/>
        <c:ser>
          <c:idx val="0"/>
          <c:order val="0"/>
          <c:tx>
            <c:v>Chord Line</c:v>
          </c:tx>
          <c:spPr>
            <a:ln w="3175" cap="rnd">
              <a:solidFill>
                <a:srgbClr val="3333FF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Data5!$J$1:$J$51</c:f>
              <c:numCache>
                <c:formatCode>0.00000</c:formatCode>
                <c:ptCount val="51"/>
                <c:pt idx="0">
                  <c:v>1</c:v>
                </c:pt>
                <c:pt idx="1">
                  <c:v>0.99901336421413578</c:v>
                </c:pt>
                <c:pt idx="2">
                  <c:v>0.99605735065723888</c:v>
                </c:pt>
                <c:pt idx="3">
                  <c:v>0.99114362536434442</c:v>
                </c:pt>
                <c:pt idx="4">
                  <c:v>0.98429158056431554</c:v>
                </c:pt>
                <c:pt idx="5">
                  <c:v>0.97552825814757682</c:v>
                </c:pt>
                <c:pt idx="6">
                  <c:v>0.96488824294412567</c:v>
                </c:pt>
                <c:pt idx="7">
                  <c:v>0.95241352623300968</c:v>
                </c:pt>
                <c:pt idx="8">
                  <c:v>0.93815334002193174</c:v>
                </c:pt>
                <c:pt idx="9">
                  <c:v>0.92216396275100743</c:v>
                </c:pt>
                <c:pt idx="10">
                  <c:v>0.90450849718747373</c:v>
                </c:pt>
                <c:pt idx="11">
                  <c:v>0.88525662138789452</c:v>
                </c:pt>
                <c:pt idx="12">
                  <c:v>0.86448431371070567</c:v>
                </c:pt>
                <c:pt idx="13">
                  <c:v>0.84227355296434436</c:v>
                </c:pt>
                <c:pt idx="14">
                  <c:v>0.81871199487434487</c:v>
                </c:pt>
                <c:pt idx="15">
                  <c:v>0.79389262614623646</c:v>
                </c:pt>
                <c:pt idx="16">
                  <c:v>0.76791339748949849</c:v>
                </c:pt>
                <c:pt idx="17">
                  <c:v>0.74087683705085772</c:v>
                </c:pt>
                <c:pt idx="18">
                  <c:v>0.71288964578253633</c:v>
                </c:pt>
                <c:pt idx="19">
                  <c:v>0.68406227634233885</c:v>
                </c:pt>
                <c:pt idx="20">
                  <c:v>0.6545084971874735</c:v>
                </c:pt>
                <c:pt idx="21">
                  <c:v>0.62434494358242743</c:v>
                </c:pt>
                <c:pt idx="22">
                  <c:v>0.5936906572928623</c:v>
                </c:pt>
                <c:pt idx="23">
                  <c:v>0.56266661678215213</c:v>
                </c:pt>
                <c:pt idx="24">
                  <c:v>0.53139525976465674</c:v>
                </c:pt>
                <c:pt idx="25">
                  <c:v>0.49999999999999994</c:v>
                </c:pt>
                <c:pt idx="26">
                  <c:v>0.46860474023534326</c:v>
                </c:pt>
                <c:pt idx="27">
                  <c:v>0.43733338321784776</c:v>
                </c:pt>
                <c:pt idx="28">
                  <c:v>0.40630934270713764</c:v>
                </c:pt>
                <c:pt idx="29">
                  <c:v>0.37565505641757263</c:v>
                </c:pt>
                <c:pt idx="30">
                  <c:v>0.34549150281252627</c:v>
                </c:pt>
                <c:pt idx="31">
                  <c:v>0.31593772365766093</c:v>
                </c:pt>
                <c:pt idx="32">
                  <c:v>0.28711035421746367</c:v>
                </c:pt>
                <c:pt idx="33">
                  <c:v>0.25912316294914239</c:v>
                </c:pt>
                <c:pt idx="34">
                  <c:v>0.23208660251050173</c:v>
                </c:pt>
                <c:pt idx="35">
                  <c:v>0.20610737385376338</c:v>
                </c:pt>
                <c:pt idx="36">
                  <c:v>0.18128800512565513</c:v>
                </c:pt>
                <c:pt idx="37">
                  <c:v>0.15772644703565569</c:v>
                </c:pt>
                <c:pt idx="38">
                  <c:v>0.13551568628929422</c:v>
                </c:pt>
                <c:pt idx="39">
                  <c:v>0.11474337861210537</c:v>
                </c:pt>
                <c:pt idx="40">
                  <c:v>9.5491502812526274E-2</c:v>
                </c:pt>
                <c:pt idx="41">
                  <c:v>7.7836037248992462E-2</c:v>
                </c:pt>
                <c:pt idx="42">
                  <c:v>6.1846659978068208E-2</c:v>
                </c:pt>
                <c:pt idx="43">
                  <c:v>4.7586473766990212E-2</c:v>
                </c:pt>
                <c:pt idx="44">
                  <c:v>3.5111757055874271E-2</c:v>
                </c:pt>
                <c:pt idx="45">
                  <c:v>2.4471741852423234E-2</c:v>
                </c:pt>
                <c:pt idx="46">
                  <c:v>1.5708419435684462E-2</c:v>
                </c:pt>
                <c:pt idx="47">
                  <c:v>8.8563746356556394E-3</c:v>
                </c:pt>
                <c:pt idx="48">
                  <c:v>3.942649342761062E-3</c:v>
                </c:pt>
                <c:pt idx="49">
                  <c:v>9.8663578586422052E-4</c:v>
                </c:pt>
                <c:pt idx="50">
                  <c:v>0</c:v>
                </c:pt>
              </c:numCache>
            </c:numRef>
          </c:xVal>
          <c:yVal>
            <c:numRef>
              <c:f>Data5!$AD$1:$AD$51</c:f>
              <c:numCache>
                <c:formatCode>0.0000</c:formatCode>
                <c:ptCount val="5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8C-4AB2-B8A6-F75DC9BDBC18}"/>
            </c:ext>
          </c:extLst>
        </c:ser>
        <c:ser>
          <c:idx val="1"/>
          <c:order val="1"/>
          <c:tx>
            <c:v>Mean Line</c:v>
          </c:tx>
          <c:spPr>
            <a:ln w="6350" cap="rnd">
              <a:solidFill>
                <a:srgbClr val="FF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Data5!$L$1:$L$51</c:f>
              <c:numCache>
                <c:formatCode>0.00000</c:formatCode>
                <c:ptCount val="51"/>
                <c:pt idx="0">
                  <c:v>1</c:v>
                </c:pt>
                <c:pt idx="1">
                  <c:v>0.99901336421413578</c:v>
                </c:pt>
                <c:pt idx="2">
                  <c:v>0.99605735065723888</c:v>
                </c:pt>
                <c:pt idx="3">
                  <c:v>0.99114362536434442</c:v>
                </c:pt>
                <c:pt idx="4">
                  <c:v>0.98429158056431554</c:v>
                </c:pt>
                <c:pt idx="5">
                  <c:v>0.97552825814757682</c:v>
                </c:pt>
                <c:pt idx="6">
                  <c:v>0.96488824294412567</c:v>
                </c:pt>
                <c:pt idx="7">
                  <c:v>0.95241352623300968</c:v>
                </c:pt>
                <c:pt idx="8">
                  <c:v>0.93815334002193174</c:v>
                </c:pt>
                <c:pt idx="9">
                  <c:v>0.92216396275100743</c:v>
                </c:pt>
                <c:pt idx="10">
                  <c:v>0.90450849718747373</c:v>
                </c:pt>
                <c:pt idx="11">
                  <c:v>0.88525662138789452</c:v>
                </c:pt>
                <c:pt idx="12">
                  <c:v>0.86448431371070567</c:v>
                </c:pt>
                <c:pt idx="13">
                  <c:v>0.84227355296434436</c:v>
                </c:pt>
                <c:pt idx="14">
                  <c:v>0.81871199487434487</c:v>
                </c:pt>
                <c:pt idx="15">
                  <c:v>0.79389262614623646</c:v>
                </c:pt>
                <c:pt idx="16">
                  <c:v>0.76791339748949849</c:v>
                </c:pt>
                <c:pt idx="17">
                  <c:v>0.74087683705085772</c:v>
                </c:pt>
                <c:pt idx="18">
                  <c:v>0.71288964578253633</c:v>
                </c:pt>
                <c:pt idx="19">
                  <c:v>0.68406227634233885</c:v>
                </c:pt>
                <c:pt idx="20">
                  <c:v>0.6545084971874735</c:v>
                </c:pt>
                <c:pt idx="21">
                  <c:v>0.62434494358242743</c:v>
                </c:pt>
                <c:pt idx="22">
                  <c:v>0.5936906572928623</c:v>
                </c:pt>
                <c:pt idx="23">
                  <c:v>0.56266661678215213</c:v>
                </c:pt>
                <c:pt idx="24">
                  <c:v>0.53139525976465674</c:v>
                </c:pt>
                <c:pt idx="25">
                  <c:v>0.49999999999999994</c:v>
                </c:pt>
                <c:pt idx="26">
                  <c:v>0.46860474023534326</c:v>
                </c:pt>
                <c:pt idx="27">
                  <c:v>0.43733338321784776</c:v>
                </c:pt>
                <c:pt idx="28">
                  <c:v>0.40630934270713764</c:v>
                </c:pt>
                <c:pt idx="29">
                  <c:v>0.37565505641757263</c:v>
                </c:pt>
                <c:pt idx="30">
                  <c:v>0.34549150281252627</c:v>
                </c:pt>
                <c:pt idx="31">
                  <c:v>0.31593772365766093</c:v>
                </c:pt>
                <c:pt idx="32">
                  <c:v>0.28711035421746367</c:v>
                </c:pt>
                <c:pt idx="33">
                  <c:v>0.25912316294914239</c:v>
                </c:pt>
                <c:pt idx="34">
                  <c:v>0.23208660251050173</c:v>
                </c:pt>
                <c:pt idx="35">
                  <c:v>0.20610737385376338</c:v>
                </c:pt>
                <c:pt idx="36">
                  <c:v>0.18128800512565513</c:v>
                </c:pt>
                <c:pt idx="37">
                  <c:v>0.15772644703565569</c:v>
                </c:pt>
                <c:pt idx="38">
                  <c:v>0.13551568628929422</c:v>
                </c:pt>
                <c:pt idx="39">
                  <c:v>0.11474337861210537</c:v>
                </c:pt>
                <c:pt idx="40">
                  <c:v>9.5491502812526274E-2</c:v>
                </c:pt>
                <c:pt idx="41">
                  <c:v>7.7836037248992462E-2</c:v>
                </c:pt>
                <c:pt idx="42">
                  <c:v>6.1846659978068208E-2</c:v>
                </c:pt>
                <c:pt idx="43">
                  <c:v>4.7586473766990212E-2</c:v>
                </c:pt>
                <c:pt idx="44">
                  <c:v>3.5111757055874271E-2</c:v>
                </c:pt>
                <c:pt idx="45">
                  <c:v>2.4471741852423234E-2</c:v>
                </c:pt>
                <c:pt idx="46">
                  <c:v>1.5708419435684462E-2</c:v>
                </c:pt>
                <c:pt idx="47">
                  <c:v>8.8563746356556394E-3</c:v>
                </c:pt>
                <c:pt idx="48">
                  <c:v>3.942649342761062E-3</c:v>
                </c:pt>
                <c:pt idx="49">
                  <c:v>9.8663578586422052E-4</c:v>
                </c:pt>
                <c:pt idx="50">
                  <c:v>0</c:v>
                </c:pt>
              </c:numCache>
            </c:numRef>
          </c:xVal>
          <c:yVal>
            <c:numRef>
              <c:f>Data5!$AE$1:$AE$51</c:f>
              <c:numCache>
                <c:formatCode>0.0000</c:formatCode>
                <c:ptCount val="5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8C-4AB2-B8A6-F75DC9BDBC18}"/>
            </c:ext>
          </c:extLst>
        </c:ser>
        <c:ser>
          <c:idx val="3"/>
          <c:order val="2"/>
          <c:tx>
            <c:v>Leading-edge Radius</c:v>
          </c:tx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Data5!$AI$1:$AI$51</c:f>
              <c:numCache>
                <c:formatCode>0.0000</c:formatCode>
                <c:ptCount val="51"/>
                <c:pt idx="0">
                  <c:v>1.1771977886457619E-2</c:v>
                </c:pt>
                <c:pt idx="1">
                  <c:v>1.1725252660642432E-2</c:v>
                </c:pt>
                <c:pt idx="2">
                  <c:v>1.1585813867920271E-2</c:v>
                </c:pt>
                <c:pt idx="3">
                  <c:v>1.1355860541349065E-2</c:v>
                </c:pt>
                <c:pt idx="4">
                  <c:v>1.1039019182256299E-2</c:v>
                </c:pt>
                <c:pt idx="5">
                  <c:v>1.0640286568146719E-2</c:v>
                </c:pt>
                <c:pt idx="6">
                  <c:v>1.0165950950536155E-2</c:v>
                </c:pt>
                <c:pt idx="7">
                  <c:v>9.6234928854686819E-3</c:v>
                </c:pt>
                <c:pt idx="8">
                  <c:v>9.0214672606791606E-3</c:v>
                </c:pt>
                <c:pt idx="9">
                  <c:v>8.3693683799031943E-3</c:v>
                </c:pt>
                <c:pt idx="10">
                  <c:v>7.6774802320356125E-3</c:v>
                </c:pt>
                <c:pt idx="11">
                  <c:v>6.9567143064822295E-3</c:v>
                </c:pt>
                <c:pt idx="12">
                  <c:v>6.2184375124537178E-3</c:v>
                </c:pt>
                <c:pt idx="13">
                  <c:v>5.4742929160170855E-3</c:v>
                </c:pt>
                <c:pt idx="14">
                  <c:v>4.7360161219885738E-3</c:v>
                </c:pt>
                <c:pt idx="15">
                  <c:v>4.0152501964351916E-3</c:v>
                </c:pt>
                <c:pt idx="16">
                  <c:v>3.3233620485676072E-3</c:v>
                </c:pt>
                <c:pt idx="17">
                  <c:v>2.6712631677916405E-3</c:v>
                </c:pt>
                <c:pt idx="18">
                  <c:v>2.069237543002117E-3</c:v>
                </c:pt>
                <c:pt idx="19">
                  <c:v>1.5267794779346444E-3</c:v>
                </c:pt>
                <c:pt idx="20">
                  <c:v>1.0524438603240769E-3</c:v>
                </c:pt>
                <c:pt idx="21">
                  <c:v>6.5371124621449754E-4</c:v>
                </c:pt>
                <c:pt idx="22">
                  <c:v>3.3686988712173106E-4</c:v>
                </c:pt>
                <c:pt idx="23">
                  <c:v>1.0691656055052535E-4</c:v>
                </c:pt>
                <c:pt idx="24">
                  <c:v>-3.2522232171634204E-5</c:v>
                </c:pt>
                <c:pt idx="25">
                  <c:v>-7.924745798682065E-5</c:v>
                </c:pt>
                <c:pt idx="26">
                  <c:v>-3.2522232171632225E-5</c:v>
                </c:pt>
                <c:pt idx="27">
                  <c:v>1.0691656055052863E-4</c:v>
                </c:pt>
                <c:pt idx="28">
                  <c:v>3.3686988712173632E-4</c:v>
                </c:pt>
                <c:pt idx="29">
                  <c:v>6.5371124621450415E-4</c:v>
                </c:pt>
                <c:pt idx="30">
                  <c:v>1.0524438603240855E-3</c:v>
                </c:pt>
                <c:pt idx="31">
                  <c:v>1.5267794779346541E-3</c:v>
                </c:pt>
                <c:pt idx="32">
                  <c:v>2.0692375430021261E-3</c:v>
                </c:pt>
                <c:pt idx="33">
                  <c:v>2.6712631677916505E-3</c:v>
                </c:pt>
                <c:pt idx="34">
                  <c:v>3.3233620485676181E-3</c:v>
                </c:pt>
                <c:pt idx="35">
                  <c:v>4.015250196435202E-3</c:v>
                </c:pt>
                <c:pt idx="36">
                  <c:v>4.7360161219885868E-3</c:v>
                </c:pt>
                <c:pt idx="37">
                  <c:v>5.4742929160170994E-3</c:v>
                </c:pt>
                <c:pt idx="38">
                  <c:v>6.2184375124537334E-3</c:v>
                </c:pt>
                <c:pt idx="39">
                  <c:v>6.956714306482246E-3</c:v>
                </c:pt>
                <c:pt idx="40">
                  <c:v>7.6774802320356298E-3</c:v>
                </c:pt>
                <c:pt idx="41">
                  <c:v>8.3693683799032116E-3</c:v>
                </c:pt>
                <c:pt idx="42">
                  <c:v>9.0214672606791779E-3</c:v>
                </c:pt>
                <c:pt idx="43">
                  <c:v>9.6234928854686992E-3</c:v>
                </c:pt>
                <c:pt idx="44">
                  <c:v>1.0165950950536171E-2</c:v>
                </c:pt>
                <c:pt idx="45">
                  <c:v>1.0640286568146735E-2</c:v>
                </c:pt>
                <c:pt idx="46">
                  <c:v>1.1039019182256311E-2</c:v>
                </c:pt>
                <c:pt idx="47">
                  <c:v>1.1355860541349076E-2</c:v>
                </c:pt>
                <c:pt idx="48">
                  <c:v>1.1585813867920279E-2</c:v>
                </c:pt>
                <c:pt idx="49">
                  <c:v>1.1725252660642435E-2</c:v>
                </c:pt>
                <c:pt idx="50">
                  <c:v>1.1771977886457619E-2</c:v>
                </c:pt>
              </c:numCache>
            </c:numRef>
          </c:xVal>
          <c:yVal>
            <c:numRef>
              <c:f>Data5!$AJ$1:$AJ$51</c:f>
              <c:numCache>
                <c:formatCode>0.0000</c:formatCode>
                <c:ptCount val="5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9C-4D07-ACC2-BCE38EDB4A64}"/>
            </c:ext>
          </c:extLst>
        </c:ser>
        <c:ser>
          <c:idx val="2"/>
          <c:order val="3"/>
          <c:tx>
            <c:v>Profile</c:v>
          </c:tx>
          <c:spPr>
            <a:ln w="12700" cap="rnd">
              <a:solidFill>
                <a:srgbClr val="0000E6"/>
              </a:solidFill>
              <a:round/>
            </a:ln>
            <a:effectLst/>
          </c:spPr>
          <c:marker>
            <c:symbol val="none"/>
          </c:marker>
          <c:xVal>
            <c:numRef>
              <c:f>Data5!$N$1:$N$102</c:f>
              <c:numCache>
                <c:formatCode>0.00000</c:formatCode>
                <c:ptCount val="102"/>
                <c:pt idx="0">
                  <c:v>1</c:v>
                </c:pt>
                <c:pt idx="1">
                  <c:v>0.9992337329156743</c:v>
                </c:pt>
                <c:pt idx="2">
                  <c:v>0.99633262769373565</c:v>
                </c:pt>
                <c:pt idx="3">
                  <c:v>0.9915169471982116</c:v>
                </c:pt>
                <c:pt idx="4">
                  <c:v>0.9847855723193637</c:v>
                </c:pt>
                <c:pt idx="5">
                  <c:v>0.9761536693876397</c:v>
                </c:pt>
                <c:pt idx="6">
                  <c:v>0.96564708396901111</c:v>
                </c:pt>
                <c:pt idx="7">
                  <c:v>0.95330084309637431</c:v>
                </c:pt>
                <c:pt idx="8">
                  <c:v>0.9391585031390749</c:v>
                </c:pt>
                <c:pt idx="9">
                  <c:v>0.9232717474883736</c:v>
                </c:pt>
                <c:pt idx="10">
                  <c:v>0.90570006185986385</c:v>
                </c:pt>
                <c:pt idx="11">
                  <c:v>0.88651042348054532</c:v>
                </c:pt>
                <c:pt idx="12">
                  <c:v>0.86577697693537892</c:v>
                </c:pt>
                <c:pt idx="13">
                  <c:v>0.84358068433303823</c:v>
                </c:pt>
                <c:pt idx="14">
                  <c:v>0.82000894451331652</c:v>
                </c:pt>
                <c:pt idx="15">
                  <c:v>0.79515517982446549</c:v>
                </c:pt>
                <c:pt idx="16">
                  <c:v>0.76911839127616066</c:v>
                </c:pt>
                <c:pt idx="17">
                  <c:v>0.74200268434647632</c:v>
                </c:pt>
                <c:pt idx="18">
                  <c:v>0.71391676871634369</c:v>
                </c:pt>
                <c:pt idx="19">
                  <c:v>0.68497343587976356</c:v>
                </c:pt>
                <c:pt idx="20">
                  <c:v>0.65528901901292436</c:v>
                </c:pt>
                <c:pt idx="21">
                  <c:v>0.62498283972444102</c:v>
                </c:pt>
                <c:pt idx="22">
                  <c:v>0.5941766463795044</c:v>
                </c:pt>
                <c:pt idx="23">
                  <c:v>0.56299404861249691</c:v>
                </c:pt>
                <c:pt idx="24">
                  <c:v>0.5315599524324609</c:v>
                </c:pt>
                <c:pt idx="25">
                  <c:v>0.49999999999999994</c:v>
                </c:pt>
                <c:pt idx="26">
                  <c:v>0.46844003065442374</c:v>
                </c:pt>
                <c:pt idx="27">
                  <c:v>0.4370056844034913</c:v>
                </c:pt>
                <c:pt idx="28">
                  <c:v>0.40582202496011155</c:v>
                </c:pt>
                <c:pt idx="29">
                  <c:v>0.37501304781031114</c:v>
                </c:pt>
                <c:pt idx="30">
                  <c:v>0.3447011864291058</c:v>
                </c:pt>
                <c:pt idx="31">
                  <c:v>0.31500683119804607</c:v>
                </c:pt>
                <c:pt idx="32">
                  <c:v>0.28604786277431188</c:v>
                </c:pt>
                <c:pt idx="33">
                  <c:v>0.25793920152964306</c:v>
                </c:pt>
                <c:pt idx="34">
                  <c:v>0.23079237459060198</c:v>
                </c:pt>
                <c:pt idx="35">
                  <c:v>0.20471510198998227</c:v>
                </c:pt>
                <c:pt idx="36">
                  <c:v>0.17981090351030485</c:v>
                </c:pt>
                <c:pt idx="37">
                  <c:v>0.15617872800541968</c:v>
                </c:pt>
                <c:pt idx="38">
                  <c:v>0.13391260739135027</c:v>
                </c:pt>
                <c:pt idx="39">
                  <c:v>0.11310133821575287</c:v>
                </c:pt>
                <c:pt idx="40">
                  <c:v>9.3828194951161223E-2</c:v>
                </c:pt>
                <c:pt idx="41">
                  <c:v>7.6170681299925158E-2</c:v>
                </c:pt>
                <c:pt idx="42">
                  <c:v>6.0200329631906337E-2</c:v>
                </c:pt>
                <c:pt idx="43">
                  <c:v>4.5982565878125069E-2</c:v>
                </c:pt>
                <c:pt idx="44">
                  <c:v>3.3576671651816277E-2</c:v>
                </c:pt>
                <c:pt idx="45">
                  <c:v>2.3035906896476797E-2</c:v>
                </c:pt>
                <c:pt idx="46">
                  <c:v>1.4407933102599205E-2</c:v>
                </c:pt>
                <c:pt idx="47">
                  <c:v>7.7358937939712834E-3</c:v>
                </c:pt>
                <c:pt idx="48">
                  <c:v>3.0612694808810248E-3</c:v>
                </c:pt>
                <c:pt idx="49">
                  <c:v>4.3349813267696126E-4</c:v>
                </c:pt>
                <c:pt idx="50">
                  <c:v>0</c:v>
                </c:pt>
                <c:pt idx="51">
                  <c:v>0</c:v>
                </c:pt>
                <c:pt idx="52">
                  <c:v>1.5397734390514798E-3</c:v>
                </c:pt>
                <c:pt idx="53">
                  <c:v>4.8240292046410988E-3</c:v>
                </c:pt>
                <c:pt idx="54">
                  <c:v>9.9768554773399954E-3</c:v>
                </c:pt>
                <c:pt idx="55">
                  <c:v>1.7008905768769719E-2</c:v>
                </c:pt>
                <c:pt idx="56">
                  <c:v>2.5907576808369671E-2</c:v>
                </c:pt>
                <c:pt idx="57">
                  <c:v>3.6646842459932265E-2</c:v>
                </c:pt>
                <c:pt idx="58">
                  <c:v>4.9190381655855354E-2</c:v>
                </c:pt>
                <c:pt idx="59">
                  <c:v>6.3492990324230072E-2</c:v>
                </c:pt>
                <c:pt idx="60">
                  <c:v>7.9501393198059767E-2</c:v>
                </c:pt>
                <c:pt idx="61">
                  <c:v>9.7154810673891326E-2</c:v>
                </c:pt>
                <c:pt idx="62">
                  <c:v>0.11638541900845788</c:v>
                </c:pt>
                <c:pt idx="63">
                  <c:v>0.13711876518723817</c:v>
                </c:pt>
                <c:pt idx="64">
                  <c:v>0.1592741660658917</c:v>
                </c:pt>
                <c:pt idx="65">
                  <c:v>0.18276510674100541</c:v>
                </c:pt>
                <c:pt idx="66">
                  <c:v>0.20749964571754448</c:v>
                </c:pt>
                <c:pt idx="67">
                  <c:v>0.23338083043040148</c:v>
                </c:pt>
                <c:pt idx="68">
                  <c:v>0.26030712436864173</c:v>
                </c:pt>
                <c:pt idx="69">
                  <c:v>0.28817284566061546</c:v>
                </c:pt>
                <c:pt idx="70">
                  <c:v>0.31686861611727579</c:v>
                </c:pt>
                <c:pt idx="71">
                  <c:v>0.34628181919594675</c:v>
                </c:pt>
                <c:pt idx="72">
                  <c:v>0.37629706502483412</c:v>
                </c:pt>
                <c:pt idx="73">
                  <c:v>0.40679666045416374</c:v>
                </c:pt>
                <c:pt idx="74">
                  <c:v>0.43766108203220422</c:v>
                </c:pt>
                <c:pt idx="75">
                  <c:v>0.46876944981626278</c:v>
                </c:pt>
                <c:pt idx="76">
                  <c:v>0.49999999999999994</c:v>
                </c:pt>
                <c:pt idx="77">
                  <c:v>0.53123056709685257</c:v>
                </c:pt>
                <c:pt idx="78">
                  <c:v>0.56233918495180735</c:v>
                </c:pt>
                <c:pt idx="79">
                  <c:v>0.5932046682062202</c:v>
                </c:pt>
                <c:pt idx="80">
                  <c:v>0.62370704744041383</c:v>
                </c:pt>
                <c:pt idx="81">
                  <c:v>0.65372797536202265</c:v>
                </c:pt>
                <c:pt idx="82">
                  <c:v>0.68315111680491414</c:v>
                </c:pt>
                <c:pt idx="83">
                  <c:v>0.71186252284872897</c:v>
                </c:pt>
                <c:pt idx="84">
                  <c:v>0.73975098975523912</c:v>
                </c:pt>
                <c:pt idx="85">
                  <c:v>0.76670840370283633</c:v>
                </c:pt>
                <c:pt idx="86">
                  <c:v>0.79263007246800743</c:v>
                </c:pt>
                <c:pt idx="87">
                  <c:v>0.81741504523537323</c:v>
                </c:pt>
                <c:pt idx="88">
                  <c:v>0.84096642159565049</c:v>
                </c:pt>
                <c:pt idx="89">
                  <c:v>0.86319165048603241</c:v>
                </c:pt>
                <c:pt idx="90">
                  <c:v>0.88400281929524371</c:v>
                </c:pt>
                <c:pt idx="91">
                  <c:v>0.9033169325150836</c:v>
                </c:pt>
                <c:pt idx="92">
                  <c:v>0.92105617801364126</c:v>
                </c:pt>
                <c:pt idx="93">
                  <c:v>0.93714817690478858</c:v>
                </c:pt>
                <c:pt idx="94">
                  <c:v>0.95152620936964505</c:v>
                </c:pt>
                <c:pt idx="95">
                  <c:v>0.96412940191924024</c:v>
                </c:pt>
                <c:pt idx="96">
                  <c:v>0.97490284690751394</c:v>
                </c:pt>
                <c:pt idx="97">
                  <c:v>0.98379758880926738</c:v>
                </c:pt>
                <c:pt idx="98">
                  <c:v>0.99077030353047724</c:v>
                </c:pt>
                <c:pt idx="99">
                  <c:v>0.99578207362074211</c:v>
                </c:pt>
                <c:pt idx="100">
                  <c:v>0.99879299551259726</c:v>
                </c:pt>
                <c:pt idx="101">
                  <c:v>1</c:v>
                </c:pt>
              </c:numCache>
            </c:numRef>
          </c:xVal>
          <c:yVal>
            <c:numRef>
              <c:f>Data5!$O$1:$O$102</c:f>
              <c:numCache>
                <c:formatCode>0.00000</c:formatCode>
                <c:ptCount val="102"/>
                <c:pt idx="0">
                  <c:v>0</c:v>
                </c:pt>
                <c:pt idx="1">
                  <c:v>1.5204513221426866E-3</c:v>
                </c:pt>
                <c:pt idx="2">
                  <c:v>2.6993941385717118E-3</c:v>
                </c:pt>
                <c:pt idx="3">
                  <c:v>4.524507006959777E-3</c:v>
                </c:pt>
                <c:pt idx="4">
                  <c:v>6.9305620849980315E-3</c:v>
                </c:pt>
                <c:pt idx="5">
                  <c:v>9.8528539615626541E-3</c:v>
                </c:pt>
                <c:pt idx="6">
                  <c:v>1.3223785560573275E-2</c:v>
                </c:pt>
                <c:pt idx="7">
                  <c:v>1.6972016393553026E-2</c:v>
                </c:pt>
                <c:pt idx="8">
                  <c:v>2.1022754040453402E-2</c:v>
                </c:pt>
                <c:pt idx="9">
                  <c:v>2.5298639765835813E-2</c:v>
                </c:pt>
                <c:pt idx="10">
                  <c:v>2.9720970003612339E-2</c:v>
                </c:pt>
                <c:pt idx="11">
                  <c:v>3.4211104347734694E-2</c:v>
                </c:pt>
                <c:pt idx="12">
                  <c:v>3.8691957757974633E-2</c:v>
                </c:pt>
                <c:pt idx="13">
                  <c:v>4.3089498278946266E-2</c:v>
                </c:pt>
                <c:pt idx="14">
                  <c:v>4.7334185662165219E-2</c:v>
                </c:pt>
                <c:pt idx="15">
                  <c:v>5.136229653560772E-2</c:v>
                </c:pt>
                <c:pt idx="16">
                  <c:v>5.5117090629453386E-2</c:v>
                </c:pt>
                <c:pt idx="17">
                  <c:v>5.8549781110303858E-2</c:v>
                </c:pt>
                <c:pt idx="18">
                  <c:v>6.1620280723974838E-2</c:v>
                </c:pt>
                <c:pt idx="19">
                  <c:v>6.4297704297949052E-2</c:v>
                </c:pt>
                <c:pt idx="20">
                  <c:v>6.6560617133870792E-2</c:v>
                </c:pt>
                <c:pt idx="21">
                  <c:v>6.8397027758631088E-2</c:v>
                </c:pt>
                <c:pt idx="22">
                  <c:v>6.9804132181326264E-2</c:v>
                </c:pt>
                <c:pt idx="23">
                  <c:v>7.0787824984641007E-2</c:v>
                </c:pt>
                <c:pt idx="24">
                  <c:v>7.1362000025668462E-2</c:v>
                </c:pt>
                <c:pt idx="25">
                  <c:v>7.1547670011448877E-2</c:v>
                </c:pt>
                <c:pt idx="26">
                  <c:v>7.1367634020107318E-2</c:v>
                </c:pt>
                <c:pt idx="27">
                  <c:v>7.0832205053004055E-2</c:v>
                </c:pt>
                <c:pt idx="28">
                  <c:v>6.9950884281912984E-2</c:v>
                </c:pt>
                <c:pt idx="29">
                  <c:v>6.8736106096940974E-2</c:v>
                </c:pt>
                <c:pt idx="30">
                  <c:v>6.7202756556874133E-2</c:v>
                </c:pt>
                <c:pt idx="31">
                  <c:v>6.5367693423094134E-2</c:v>
                </c:pt>
                <c:pt idx="32">
                  <c:v>6.3249283300583825E-2</c:v>
                </c:pt>
                <c:pt idx="33">
                  <c:v>6.0866970148834132E-2</c:v>
                </c:pt>
                <c:pt idx="34">
                  <c:v>5.8240887781308204E-2</c:v>
                </c:pt>
                <c:pt idx="35">
                  <c:v>5.5391527043408217E-2</c:v>
                </c:pt>
                <c:pt idx="36">
                  <c:v>5.2339466266778871E-2</c:v>
                </c:pt>
                <c:pt idx="37">
                  <c:v>4.910517148953053E-2</c:v>
                </c:pt>
                <c:pt idx="38">
                  <c:v>4.5708870990056452E-2</c:v>
                </c:pt>
                <c:pt idx="39">
                  <c:v>4.2170507143679342E-2</c:v>
                </c:pt>
                <c:pt idx="40">
                  <c:v>3.8509767808619894E-2</c:v>
                </c:pt>
                <c:pt idx="41">
                  <c:v>3.4746199892634402E-2</c:v>
                </c:pt>
                <c:pt idx="42">
                  <c:v>3.0899410318361478E-2</c:v>
                </c:pt>
                <c:pt idx="43">
                  <c:v>2.69893659460523E-2</c:v>
                </c:pt>
                <c:pt idx="44">
                  <c:v>2.3036817572036898E-2</c:v>
                </c:pt>
                <c:pt idx="45">
                  <c:v>1.9063901860313488E-2</c:v>
                </c:pt>
                <c:pt idx="46">
                  <c:v>1.5095039700080635E-2</c:v>
                </c:pt>
                <c:pt idx="47">
                  <c:v>1.1158412867755979E-2</c:v>
                </c:pt>
                <c:pt idx="48">
                  <c:v>7.2888005829833012E-3</c:v>
                </c:pt>
                <c:pt idx="49">
                  <c:v>3.534691948281789E-3</c:v>
                </c:pt>
                <c:pt idx="50">
                  <c:v>0</c:v>
                </c:pt>
                <c:pt idx="51">
                  <c:v>0</c:v>
                </c:pt>
                <c:pt idx="52">
                  <c:v>-3.1615597745833063E-3</c:v>
                </c:pt>
                <c:pt idx="53">
                  <c:v>-6.0588039774439615E-3</c:v>
                </c:pt>
                <c:pt idx="54">
                  <c:v>-8.7387290920944907E-3</c:v>
                </c:pt>
                <c:pt idx="55">
                  <c:v>-1.1235680541184749E-2</c:v>
                </c:pt>
                <c:pt idx="56">
                  <c:v>-1.3574690260609187E-2</c:v>
                </c:pt>
                <c:pt idx="57">
                  <c:v>-1.5775295248433525E-2</c:v>
                </c:pt>
                <c:pt idx="58">
                  <c:v>-1.785324413701473E-2</c:v>
                </c:pt>
                <c:pt idx="59">
                  <c:v>-1.9821332143214763E-2</c:v>
                </c:pt>
                <c:pt idx="60">
                  <c:v>-2.1689821663544995E-2</c:v>
                </c:pt>
                <c:pt idx="61">
                  <c:v>-2.3466649965552967E-2</c:v>
                </c:pt>
                <c:pt idx="62">
                  <c:v>-2.5157527195881949E-2</c:v>
                </c:pt>
                <c:pt idx="63">
                  <c:v>-2.6765984499898709E-2</c:v>
                </c:pt>
                <c:pt idx="64">
                  <c:v>-2.8293410366425104E-2</c:v>
                </c:pt>
                <c:pt idx="65">
                  <c:v>-2.9739101118084539E-2</c:v>
                </c:pt>
                <c:pt idx="66">
                  <c:v>-3.1100343696605821E-2</c:v>
                </c:pt>
                <c:pt idx="67">
                  <c:v>-3.2372543275822896E-2</c:v>
                </c:pt>
                <c:pt idx="68">
                  <c:v>-3.3549403706796099E-2</c:v>
                </c:pt>
                <c:pt idx="69">
                  <c:v>-3.4623164851637675E-2</c:v>
                </c:pt>
                <c:pt idx="70">
                  <c:v>-3.5584897264883009E-2</c:v>
                </c:pt>
                <c:pt idx="71">
                  <c:v>-3.6424851348255446E-2</c:v>
                </c:pt>
                <c:pt idx="72">
                  <c:v>-3.7132855029049908E-2</c:v>
                </c:pt>
                <c:pt idx="73">
                  <c:v>-3.7698751228273965E-2</c:v>
                </c:pt>
                <c:pt idx="74">
                  <c:v>-3.8112863946501797E-2</c:v>
                </c:pt>
                <c:pt idx="75">
                  <c:v>-3.8366479764259304E-2</c:v>
                </c:pt>
                <c:pt idx="76">
                  <c:v>-3.8452329988551151E-2</c:v>
                </c:pt>
                <c:pt idx="77">
                  <c:v>-3.8360845769820462E-2</c:v>
                </c:pt>
                <c:pt idx="78">
                  <c:v>-3.8068483878138756E-2</c:v>
                </c:pt>
                <c:pt idx="79">
                  <c:v>-3.7551999127687252E-2</c:v>
                </c:pt>
                <c:pt idx="80">
                  <c:v>-3.6793776690740007E-2</c:v>
                </c:pt>
                <c:pt idx="81">
                  <c:v>-3.5782711925252092E-2</c:v>
                </c:pt>
                <c:pt idx="82">
                  <c:v>-3.4514908139737913E-2</c:v>
                </c:pt>
                <c:pt idx="83">
                  <c:v>-3.2994162275028688E-2</c:v>
                </c:pt>
                <c:pt idx="84">
                  <c:v>-3.1232214668265826E-2</c:v>
                </c:pt>
                <c:pt idx="85">
                  <c:v>-2.9248746123968106E-2</c:v>
                </c:pt>
                <c:pt idx="86">
                  <c:v>-2.7071113188805319E-2</c:v>
                </c:pt>
                <c:pt idx="87">
                  <c:v>-2.4733820513470887E-2</c:v>
                </c:pt>
                <c:pt idx="88">
                  <c:v>-2.2277737155840853E-2</c:v>
                </c:pt>
                <c:pt idx="89">
                  <c:v>-1.974907126781688E-2</c:v>
                </c:pt>
                <c:pt idx="90">
                  <c:v>-1.7198124399937287E-2</c:v>
                </c:pt>
                <c:pt idx="91">
                  <c:v>-1.4677852160545408E-2</c:v>
                </c:pt>
                <c:pt idx="92">
                  <c:v>-1.2242261536746391E-2</c:v>
                </c:pt>
                <c:pt idx="93">
                  <c:v>-9.944675865306684E-3</c:v>
                </c:pt>
                <c:pt idx="94">
                  <c:v>-7.8358945845154425E-3</c:v>
                </c:pt>
                <c:pt idx="95">
                  <c:v>-5.9622632369698957E-3</c:v>
                </c:pt>
                <c:pt idx="96">
                  <c:v>-4.363642361858361E-3</c:v>
                </c:pt>
                <c:pt idx="97">
                  <c:v>-3.0712029261021458E-3</c:v>
                </c:pt>
                <c:pt idx="98">
                  <c:v>-2.1048232312982995E-3</c:v>
                </c:pt>
                <c:pt idx="99">
                  <c:v>-1.4693975330323547E-3</c:v>
                </c:pt>
                <c:pt idx="100">
                  <c:v>-1.1473191484442039E-3</c:v>
                </c:pt>
                <c:pt idx="10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8C-4AB2-B8A6-F75DC9BDB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2430911"/>
        <c:axId val="682431391"/>
      </c:scatterChart>
      <c:valAx>
        <c:axId val="682430911"/>
        <c:scaling>
          <c:orientation val="minMax"/>
          <c:max val="1.1000000000000001"/>
          <c:min val="-0.1"/>
        </c:scaling>
        <c:delete val="0"/>
        <c:axPos val="b"/>
        <c:majorGridlines>
          <c:spPr>
            <a:ln w="25400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one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Segoe UI "/>
                <a:ea typeface="+mn-ea"/>
                <a:cs typeface="+mn-cs"/>
              </a:defRPr>
            </a:pPr>
            <a:endParaRPr lang="en-US"/>
          </a:p>
        </c:txPr>
        <c:crossAx val="682431391"/>
        <c:crosses val="autoZero"/>
        <c:crossBetween val="midCat"/>
        <c:majorUnit val="0.1"/>
      </c:valAx>
      <c:valAx>
        <c:axId val="682431391"/>
        <c:scaling>
          <c:orientation val="minMax"/>
          <c:max val="0.30000000000000004"/>
          <c:min val="-0.4"/>
        </c:scaling>
        <c:delete val="0"/>
        <c:axPos val="l"/>
        <c:majorGridlines>
          <c:spPr>
            <a:ln w="25400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one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Segoe UI "/>
                <a:ea typeface="+mn-ea"/>
                <a:cs typeface="+mn-cs"/>
              </a:defRPr>
            </a:pPr>
            <a:endParaRPr lang="en-US"/>
          </a:p>
        </c:txPr>
        <c:crossAx val="682430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9919601182262756E-2"/>
          <c:y val="3.8889277786684794E-2"/>
          <c:w val="0.88159565596126221"/>
          <c:h val="0.89534764364645503"/>
        </c:manualLayout>
      </c:layout>
      <c:scatterChart>
        <c:scatterStyle val="smoothMarker"/>
        <c:varyColors val="0"/>
        <c:ser>
          <c:idx val="0"/>
          <c:order val="0"/>
          <c:tx>
            <c:v>Chord Line</c:v>
          </c:tx>
          <c:spPr>
            <a:ln w="3175" cap="rnd">
              <a:solidFill>
                <a:srgbClr val="3333FF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Data6!$AR$1:$AR$26</c:f>
              <c:numCache>
                <c:formatCode>0.00000</c:formatCode>
                <c:ptCount val="26"/>
                <c:pt idx="0">
                  <c:v>1</c:v>
                </c:pt>
                <c:pt idx="1">
                  <c:v>0.95</c:v>
                </c:pt>
                <c:pt idx="2">
                  <c:v>0.9</c:v>
                </c:pt>
                <c:pt idx="3">
                  <c:v>0.85</c:v>
                </c:pt>
                <c:pt idx="4">
                  <c:v>0.8</c:v>
                </c:pt>
                <c:pt idx="5">
                  <c:v>0.75</c:v>
                </c:pt>
                <c:pt idx="6">
                  <c:v>0.7</c:v>
                </c:pt>
                <c:pt idx="7">
                  <c:v>0.65</c:v>
                </c:pt>
                <c:pt idx="8">
                  <c:v>0.6</c:v>
                </c:pt>
                <c:pt idx="9">
                  <c:v>0.55000000000000004</c:v>
                </c:pt>
                <c:pt idx="10">
                  <c:v>0.5</c:v>
                </c:pt>
                <c:pt idx="11">
                  <c:v>0.45</c:v>
                </c:pt>
                <c:pt idx="12">
                  <c:v>0.4</c:v>
                </c:pt>
                <c:pt idx="13">
                  <c:v>0.35</c:v>
                </c:pt>
                <c:pt idx="14">
                  <c:v>0.3</c:v>
                </c:pt>
                <c:pt idx="15">
                  <c:v>0.25</c:v>
                </c:pt>
                <c:pt idx="16">
                  <c:v>0.2</c:v>
                </c:pt>
                <c:pt idx="17">
                  <c:v>0.15</c:v>
                </c:pt>
                <c:pt idx="18">
                  <c:v>0.1</c:v>
                </c:pt>
                <c:pt idx="19">
                  <c:v>7.4999999999999997E-2</c:v>
                </c:pt>
                <c:pt idx="20">
                  <c:v>0.05</c:v>
                </c:pt>
                <c:pt idx="21">
                  <c:v>2.5000000000000001E-2</c:v>
                </c:pt>
                <c:pt idx="22">
                  <c:v>1.2500000000000001E-2</c:v>
                </c:pt>
                <c:pt idx="23">
                  <c:v>7.4999999999999997E-3</c:v>
                </c:pt>
                <c:pt idx="24">
                  <c:v>5.0000000000000001E-3</c:v>
                </c:pt>
                <c:pt idx="25">
                  <c:v>0</c:v>
                </c:pt>
              </c:numCache>
            </c:numRef>
          </c:xVal>
          <c:yVal>
            <c:numRef>
              <c:f>Data6!$AZ$1:$AZ$26</c:f>
              <c:numCache>
                <c:formatCode>0.00000</c:formatCode>
                <c:ptCount val="26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E7A-40F5-BEB1-D839AD595656}"/>
            </c:ext>
          </c:extLst>
        </c:ser>
        <c:ser>
          <c:idx val="1"/>
          <c:order val="1"/>
          <c:tx>
            <c:v>Mean Line</c:v>
          </c:tx>
          <c:spPr>
            <a:ln w="6350" cap="rnd">
              <a:solidFill>
                <a:srgbClr val="FF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Data6!$AT$1:$AT$26</c:f>
              <c:numCache>
                <c:formatCode>0.00000</c:formatCode>
                <c:ptCount val="26"/>
                <c:pt idx="0">
                  <c:v>1</c:v>
                </c:pt>
                <c:pt idx="1">
                  <c:v>0.95</c:v>
                </c:pt>
                <c:pt idx="2">
                  <c:v>0.9</c:v>
                </c:pt>
                <c:pt idx="3">
                  <c:v>0.85</c:v>
                </c:pt>
                <c:pt idx="4">
                  <c:v>0.8</c:v>
                </c:pt>
                <c:pt idx="5">
                  <c:v>0.75</c:v>
                </c:pt>
                <c:pt idx="6">
                  <c:v>0.7</c:v>
                </c:pt>
                <c:pt idx="7">
                  <c:v>0.65</c:v>
                </c:pt>
                <c:pt idx="8">
                  <c:v>0.6</c:v>
                </c:pt>
                <c:pt idx="9">
                  <c:v>0.55000000000000004</c:v>
                </c:pt>
                <c:pt idx="10">
                  <c:v>0.5</c:v>
                </c:pt>
                <c:pt idx="11">
                  <c:v>0.45</c:v>
                </c:pt>
                <c:pt idx="12">
                  <c:v>0.4</c:v>
                </c:pt>
                <c:pt idx="13">
                  <c:v>0.35</c:v>
                </c:pt>
                <c:pt idx="14">
                  <c:v>0.3</c:v>
                </c:pt>
                <c:pt idx="15">
                  <c:v>0.25</c:v>
                </c:pt>
                <c:pt idx="16">
                  <c:v>0.2</c:v>
                </c:pt>
                <c:pt idx="17">
                  <c:v>0.15</c:v>
                </c:pt>
                <c:pt idx="18">
                  <c:v>0.1</c:v>
                </c:pt>
                <c:pt idx="19">
                  <c:v>7.4999999999999997E-2</c:v>
                </c:pt>
                <c:pt idx="20">
                  <c:v>0.05</c:v>
                </c:pt>
                <c:pt idx="21">
                  <c:v>2.5000000000000001E-2</c:v>
                </c:pt>
                <c:pt idx="22">
                  <c:v>1.2500000000000001E-2</c:v>
                </c:pt>
                <c:pt idx="23">
                  <c:v>7.4999999999999997E-3</c:v>
                </c:pt>
                <c:pt idx="24">
                  <c:v>5.0000000000000001E-3</c:v>
                </c:pt>
                <c:pt idx="25">
                  <c:v>0</c:v>
                </c:pt>
              </c:numCache>
            </c:numRef>
          </c:xVal>
          <c:yVal>
            <c:numRef>
              <c:f>Data6!$BA$1:$BA$26</c:f>
              <c:numCache>
                <c:formatCode>0.00000</c:formatCode>
                <c:ptCount val="26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E7A-40F5-BEB1-D839AD595656}"/>
            </c:ext>
          </c:extLst>
        </c:ser>
        <c:ser>
          <c:idx val="2"/>
          <c:order val="2"/>
          <c:tx>
            <c:v>Profile</c:v>
          </c:tx>
          <c:spPr>
            <a:ln w="12700" cap="rnd">
              <a:solidFill>
                <a:srgbClr val="0000E6"/>
              </a:solidFill>
              <a:round/>
            </a:ln>
            <a:effectLst/>
          </c:spPr>
          <c:marker>
            <c:symbol val="none"/>
          </c:marker>
          <c:xVal>
            <c:numRef>
              <c:f>Data6!$AV$1:$AV$51</c:f>
              <c:numCache>
                <c:formatCode>0.00000</c:formatCode>
                <c:ptCount val="51"/>
                <c:pt idx="0">
                  <c:v>1</c:v>
                </c:pt>
                <c:pt idx="1">
                  <c:v>0.94978486511349369</c:v>
                </c:pt>
                <c:pt idx="2">
                  <c:v>0.89957531780679634</c:v>
                </c:pt>
                <c:pt idx="3">
                  <c:v>0.84942677960213875</c:v>
                </c:pt>
                <c:pt idx="4">
                  <c:v>0.79934253300308578</c:v>
                </c:pt>
                <c:pt idx="5">
                  <c:v>0.74932227889299019</c:v>
                </c:pt>
                <c:pt idx="6">
                  <c:v>0.69936165697238362</c:v>
                </c:pt>
                <c:pt idx="7">
                  <c:v>0.64945592216001813</c:v>
                </c:pt>
                <c:pt idx="8">
                  <c:v>0.59959868959675278</c:v>
                </c:pt>
                <c:pt idx="9">
                  <c:v>0.54978299301713873</c:v>
                </c:pt>
                <c:pt idx="10">
                  <c:v>0.5</c:v>
                </c:pt>
                <c:pt idx="11">
                  <c:v>0.45023775054052051</c:v>
                </c:pt>
                <c:pt idx="12">
                  <c:v>0.40048358841791082</c:v>
                </c:pt>
                <c:pt idx="13">
                  <c:v>0.350727626468405</c:v>
                </c:pt>
                <c:pt idx="14">
                  <c:v>0.3009627960800772</c:v>
                </c:pt>
                <c:pt idx="15">
                  <c:v>0.25118076333797612</c:v>
                </c:pt>
                <c:pt idx="16">
                  <c:v>0.20137067157440772</c:v>
                </c:pt>
                <c:pt idx="17">
                  <c:v>0.15151779503968005</c:v>
                </c:pt>
                <c:pt idx="18">
                  <c:v>0.10159337676107945</c:v>
                </c:pt>
                <c:pt idx="19">
                  <c:v>7.6586410011182535E-2</c:v>
                </c:pt>
                <c:pt idx="20">
                  <c:v>5.15289167144369E-2</c:v>
                </c:pt>
                <c:pt idx="21">
                  <c:v>2.637395862606759E-2</c:v>
                </c:pt>
                <c:pt idx="22">
                  <c:v>1.3716343345674115E-2</c:v>
                </c:pt>
                <c:pt idx="23">
                  <c:v>8.5831338779924701E-3</c:v>
                </c:pt>
                <c:pt idx="24">
                  <c:v>5.9716455801578812E-3</c:v>
                </c:pt>
                <c:pt idx="25">
                  <c:v>0</c:v>
                </c:pt>
                <c:pt idx="26">
                  <c:v>4.0281004460225632E-3</c:v>
                </c:pt>
                <c:pt idx="27">
                  <c:v>6.4161759895788786E-3</c:v>
                </c:pt>
                <c:pt idx="28">
                  <c:v>1.1283766899064344E-2</c:v>
                </c:pt>
                <c:pt idx="29">
                  <c:v>2.3625931121852597E-2</c:v>
                </c:pt>
                <c:pt idx="30">
                  <c:v>4.847115804589857E-2</c:v>
                </c:pt>
                <c:pt idx="31">
                  <c:v>7.3413633123085464E-2</c:v>
                </c:pt>
                <c:pt idx="32">
                  <c:v>9.8406218684592373E-2</c:v>
                </c:pt>
                <c:pt idx="33">
                  <c:v>0.14848240173650956</c:v>
                </c:pt>
                <c:pt idx="34">
                  <c:v>0.19862905360691085</c:v>
                </c:pt>
                <c:pt idx="35">
                  <c:v>0.24881924496069752</c:v>
                </c:pt>
                <c:pt idx="36">
                  <c:v>0.29903711462158133</c:v>
                </c:pt>
                <c:pt idx="37">
                  <c:v>0.34927224249681854</c:v>
                </c:pt>
                <c:pt idx="38">
                  <c:v>0.39951638615612473</c:v>
                </c:pt>
                <c:pt idx="39">
                  <c:v>0.44976222963214907</c:v>
                </c:pt>
                <c:pt idx="40">
                  <c:v>0.5</c:v>
                </c:pt>
                <c:pt idx="41">
                  <c:v>0.5502170268101918</c:v>
                </c:pt>
                <c:pt idx="42">
                  <c:v>0.60040133582921174</c:v>
                </c:pt>
                <c:pt idx="43">
                  <c:v>0.65054420887475839</c:v>
                </c:pt>
                <c:pt idx="44">
                  <c:v>0.70063843232595779</c:v>
                </c:pt>
                <c:pt idx="45">
                  <c:v>0.75067771280833617</c:v>
                </c:pt>
                <c:pt idx="46">
                  <c:v>0.80065774181559579</c:v>
                </c:pt>
                <c:pt idx="47">
                  <c:v>0.85057302362167164</c:v>
                </c:pt>
                <c:pt idx="48">
                  <c:v>0.90042508674753186</c:v>
                </c:pt>
                <c:pt idx="49">
                  <c:v>0.95021506012617074</c:v>
                </c:pt>
                <c:pt idx="50">
                  <c:v>1</c:v>
                </c:pt>
              </c:numCache>
            </c:numRef>
          </c:xVal>
          <c:yVal>
            <c:numRef>
              <c:f>Data6!$AW$1:$AW$51</c:f>
              <c:numCache>
                <c:formatCode>0.00000</c:formatCode>
                <c:ptCount val="51"/>
                <c:pt idx="0">
                  <c:v>0</c:v>
                </c:pt>
                <c:pt idx="1">
                  <c:v>7.7502658871206939E-3</c:v>
                </c:pt>
                <c:pt idx="2">
                  <c:v>1.7318071893486997E-2</c:v>
                </c:pt>
                <c:pt idx="3">
                  <c:v>2.7491187959290529E-2</c:v>
                </c:pt>
                <c:pt idx="4">
                  <c:v>3.7762924037936657E-2</c:v>
                </c:pt>
                <c:pt idx="5">
                  <c:v>4.7710079102981043E-2</c:v>
                </c:pt>
                <c:pt idx="6">
                  <c:v>5.7058896338479145E-2</c:v>
                </c:pt>
                <c:pt idx="7">
                  <c:v>6.5527783350470215E-2</c:v>
                </c:pt>
                <c:pt idx="8">
                  <c:v>7.2899343321848012E-2</c:v>
                </c:pt>
                <c:pt idx="9">
                  <c:v>7.8898965313204478E-2</c:v>
                </c:pt>
                <c:pt idx="10">
                  <c:v>8.3209109996183708E-2</c:v>
                </c:pt>
                <c:pt idx="11">
                  <c:v>8.5393965313204465E-2</c:v>
                </c:pt>
                <c:pt idx="12">
                  <c:v>8.5649343321848009E-2</c:v>
                </c:pt>
                <c:pt idx="13">
                  <c:v>8.4157783350470208E-2</c:v>
                </c:pt>
                <c:pt idx="14">
                  <c:v>8.1118896338479157E-2</c:v>
                </c:pt>
                <c:pt idx="15">
                  <c:v>7.6480079102981047E-2</c:v>
                </c:pt>
                <c:pt idx="16">
                  <c:v>7.0087924037936664E-2</c:v>
                </c:pt>
                <c:pt idx="17">
                  <c:v>6.1706187959290532E-2</c:v>
                </c:pt>
                <c:pt idx="18">
                  <c:v>5.0738071893486988E-2</c:v>
                </c:pt>
                <c:pt idx="19">
                  <c:v>4.3915179795401445E-2</c:v>
                </c:pt>
                <c:pt idx="20">
                  <c:v>3.5785265887120693E-2</c:v>
                </c:pt>
                <c:pt idx="21">
                  <c:v>2.5424684853923168E-2</c:v>
                </c:pt>
                <c:pt idx="22">
                  <c:v>1.8560264216496095E-2</c:v>
                </c:pt>
                <c:pt idx="23">
                  <c:v>1.4633520661085191E-2</c:v>
                </c:pt>
                <c:pt idx="24">
                  <c:v>1.2034497552529631E-2</c:v>
                </c:pt>
                <c:pt idx="25">
                  <c:v>0</c:v>
                </c:pt>
                <c:pt idx="26">
                  <c:v>-1.1035502447470371E-2</c:v>
                </c:pt>
                <c:pt idx="27">
                  <c:v>-1.3236479338914812E-2</c:v>
                </c:pt>
                <c:pt idx="28">
                  <c:v>-1.6419735783503905E-2</c:v>
                </c:pt>
                <c:pt idx="29">
                  <c:v>-2.1705315146076827E-2</c:v>
                </c:pt>
                <c:pt idx="30">
                  <c:v>-2.9464734112879302E-2</c:v>
                </c:pt>
                <c:pt idx="31">
                  <c:v>-3.5434820204598545E-2</c:v>
                </c:pt>
                <c:pt idx="32">
                  <c:v>-4.0401928106513003E-2</c:v>
                </c:pt>
                <c:pt idx="33">
                  <c:v>-4.8243812040709468E-2</c:v>
                </c:pt>
                <c:pt idx="34">
                  <c:v>-5.4172075962063332E-2</c:v>
                </c:pt>
                <c:pt idx="35">
                  <c:v>-5.8579920897018953E-2</c:v>
                </c:pt>
                <c:pt idx="36">
                  <c:v>-6.1681103661520846E-2</c:v>
                </c:pt>
                <c:pt idx="37">
                  <c:v>-6.3562216649529796E-2</c:v>
                </c:pt>
                <c:pt idx="38">
                  <c:v>-6.423065667815199E-2</c:v>
                </c:pt>
                <c:pt idx="39">
                  <c:v>-6.349603468679553E-2</c:v>
                </c:pt>
                <c:pt idx="40">
                  <c:v>-6.115089000381628E-2</c:v>
                </c:pt>
                <c:pt idx="41">
                  <c:v>-5.7001034686795529E-2</c:v>
                </c:pt>
                <c:pt idx="42">
                  <c:v>-5.1480656678151993E-2</c:v>
                </c:pt>
                <c:pt idx="43">
                  <c:v>-4.4932216649529795E-2</c:v>
                </c:pt>
                <c:pt idx="44">
                  <c:v>-3.7621103661520841E-2</c:v>
                </c:pt>
                <c:pt idx="45">
                  <c:v>-2.9809920897018956E-2</c:v>
                </c:pt>
                <c:pt idx="46">
                  <c:v>-2.1847075962063339E-2</c:v>
                </c:pt>
                <c:pt idx="47">
                  <c:v>-1.4028812040709474E-2</c:v>
                </c:pt>
                <c:pt idx="48">
                  <c:v>-6.9819281065130042E-3</c:v>
                </c:pt>
                <c:pt idx="49">
                  <c:v>-1.4297341128793059E-3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E7A-40F5-BEB1-D839AD59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2430911"/>
        <c:axId val="682431391"/>
      </c:scatterChart>
      <c:valAx>
        <c:axId val="682430911"/>
        <c:scaling>
          <c:orientation val="minMax"/>
          <c:max val="1.1000000000000001"/>
          <c:min val="-0.1"/>
        </c:scaling>
        <c:delete val="0"/>
        <c:axPos val="b"/>
        <c:majorGridlines>
          <c:spPr>
            <a:ln w="25400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one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Segoe UI "/>
                <a:ea typeface="+mn-ea"/>
                <a:cs typeface="+mn-cs"/>
              </a:defRPr>
            </a:pPr>
            <a:endParaRPr lang="en-US"/>
          </a:p>
        </c:txPr>
        <c:crossAx val="682431391"/>
        <c:crosses val="autoZero"/>
        <c:crossBetween val="midCat"/>
        <c:majorUnit val="0.1"/>
      </c:valAx>
      <c:valAx>
        <c:axId val="682431391"/>
        <c:scaling>
          <c:orientation val="minMax"/>
          <c:max val="0.30000000000000004"/>
          <c:min val="-0.4"/>
        </c:scaling>
        <c:delete val="0"/>
        <c:axPos val="l"/>
        <c:majorGridlines>
          <c:spPr>
            <a:ln w="25400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one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Segoe UI "/>
                <a:ea typeface="+mn-ea"/>
                <a:cs typeface="+mn-cs"/>
              </a:defRPr>
            </a:pPr>
            <a:endParaRPr lang="en-US"/>
          </a:p>
        </c:txPr>
        <c:crossAx val="682430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Data1!$A$1" max="9" min="1" noThreeD="1" page="10" val="2"/>
</file>

<file path=xl/ctrlProps/ctrlProp2.xml><?xml version="1.0" encoding="utf-8"?>
<formControlPr xmlns="http://schemas.microsoft.com/office/spreadsheetml/2009/9/main" objectType="Spin" dx="26" fmlaLink="Data1!$A$2" max="9" min="1" noThreeD="1" page="10" val="4"/>
</file>

<file path=xl/ctrlProps/ctrlProp3.xml><?xml version="1.0" encoding="utf-8"?>
<formControlPr xmlns="http://schemas.microsoft.com/office/spreadsheetml/2009/9/main" objectType="Spin" dx="26" fmlaLink="Data1!A3" max="30" noThreeD="1" page="10" val="12"/>
</file>

<file path=xl/ctrlProps/ctrlProp4.xml><?xml version="1.0" encoding="utf-8"?>
<formControlPr xmlns="http://schemas.microsoft.com/office/spreadsheetml/2009/9/main" objectType="CheckBox" fmlaLink="Data1!T2" lockText="1" noThreeD="1"/>
</file>

<file path=xl/ctrlProps/ctrlProp5.xml><?xml version="1.0" encoding="utf-8"?>
<formControlPr xmlns="http://schemas.microsoft.com/office/spreadsheetml/2009/9/main" objectType="CheckBox" fmlaLink="Data1!T3" lockText="1" noThreeD="1"/>
</file>

<file path=xl/ctrlProps/ctrlProp6.xml><?xml version="1.0" encoding="utf-8"?>
<formControlPr xmlns="http://schemas.microsoft.com/office/spreadsheetml/2009/9/main" objectType="CheckBox" fmlaLink="Data1!T4" lockText="1" noThreeD="1"/>
</file>

<file path=xl/ctrlProps/ctrlProp7.xml><?xml version="1.0" encoding="utf-8"?>
<formControlPr xmlns="http://schemas.microsoft.com/office/spreadsheetml/2009/9/main" objectType="CheckBox" fmlaLink="Data1!$T$1" lockText="1" noThreeD="1"/>
</file>

<file path=xl/ctrlProps/ctrlProp8.xml><?xml version="1.0" encoding="utf-8"?>
<formControlPr xmlns="http://schemas.microsoft.com/office/spreadsheetml/2009/9/main" objectType="CheckBox" fmlaLink="Data1!$T$5" lockText="1" noThreeD="1"/>
</file>

<file path=xl/ctrlProps/ctrlProp9.xml><?xml version="1.0" encoding="utf-8"?>
<formControlPr xmlns="http://schemas.microsoft.com/office/spreadsheetml/2009/9/main" objectType="Spin" dx="26" fmlaLink="Data2!A3" max="30" min="1" noThreeD="1" page="10" val="11"/>
</file>

<file path=xl/ctrlProps/ctrlProp10.xml><?xml version="1.0" encoding="utf-8"?>
<formControlPr xmlns="http://schemas.microsoft.com/office/spreadsheetml/2009/9/main" objectType="CheckBox" fmlaLink="Data2!AA2" lockText="1" noThreeD="1"/>
</file>

<file path=xl/ctrlProps/ctrlProp11.xml><?xml version="1.0" encoding="utf-8"?>
<formControlPr xmlns="http://schemas.microsoft.com/office/spreadsheetml/2009/9/main" objectType="CheckBox" fmlaLink="Data2!AA3" lockText="1" noThreeD="1"/>
</file>

<file path=xl/ctrlProps/ctrlProp12.xml><?xml version="1.0" encoding="utf-8"?>
<formControlPr xmlns="http://schemas.microsoft.com/office/spreadsheetml/2009/9/main" objectType="CheckBox" fmlaLink="Data2!AA4" lockText="1" noThreeD="1"/>
</file>

<file path=xl/ctrlProps/ctrlProp13.xml><?xml version="1.0" encoding="utf-8"?>
<formControlPr xmlns="http://schemas.microsoft.com/office/spreadsheetml/2009/9/main" objectType="CheckBox" fmlaLink="Data2!$AA$1" lockText="1" noThreeD="1"/>
</file>

<file path=xl/ctrlProps/ctrlProp14.xml><?xml version="1.0" encoding="utf-8"?>
<formControlPr xmlns="http://schemas.microsoft.com/office/spreadsheetml/2009/9/main" objectType="CheckBox" fmlaLink="Data2!AA5" lockText="1" noThreeD="1"/>
</file>

<file path=xl/ctrlProps/ctrlProp15.xml><?xml version="1.0" encoding="utf-8"?>
<formControlPr xmlns="http://schemas.microsoft.com/office/spreadsheetml/2009/9/main" objectType="Spin" dx="26" fmlaLink="Data3!A3" max="25" min="1" noThreeD="1" page="10" val="12"/>
</file>

<file path=xl/ctrlProps/ctrlProp16.xml><?xml version="1.0" encoding="utf-8"?>
<formControlPr xmlns="http://schemas.microsoft.com/office/spreadsheetml/2009/9/main" objectType="Spin" dx="26" fmlaLink="Data3!A2" max="9" min="1" noThreeD="1" page="10" val="4"/>
</file>

<file path=xl/ctrlProps/ctrlProp17.xml><?xml version="1.0" encoding="utf-8"?>
<formControlPr xmlns="http://schemas.microsoft.com/office/spreadsheetml/2009/9/main" objectType="Spin" dx="26" fmlaLink="Data3!A1" max="9" min="1" noThreeD="1" page="10" val="2"/>
</file>

<file path=xl/ctrlProps/ctrlProp18.xml><?xml version="1.0" encoding="utf-8"?>
<formControlPr xmlns="http://schemas.microsoft.com/office/spreadsheetml/2009/9/main" objectType="Spin" dx="26" fmlaLink="Data3!$Q$1" max="9" noThreeD="1" page="10" val="5"/>
</file>

<file path=xl/ctrlProps/ctrlProp19.xml><?xml version="1.0" encoding="utf-8"?>
<formControlPr xmlns="http://schemas.microsoft.com/office/spreadsheetml/2009/9/main" objectType="Spin" dx="26" fmlaLink="Data3!$R$2" max="6" min="2" noThreeD="1" page="10" val="4"/>
</file>

<file path=xl/ctrlProps/ctrlProp20.xml><?xml version="1.0" encoding="utf-8"?>
<formControlPr xmlns="http://schemas.microsoft.com/office/spreadsheetml/2009/9/main" objectType="CheckBox" fmlaLink="Data3!AE2" lockText="1" noThreeD="1"/>
</file>

<file path=xl/ctrlProps/ctrlProp21.xml><?xml version="1.0" encoding="utf-8"?>
<formControlPr xmlns="http://schemas.microsoft.com/office/spreadsheetml/2009/9/main" objectType="CheckBox" fmlaLink="Data3!AE3" lockText="1" noThreeD="1"/>
</file>

<file path=xl/ctrlProps/ctrlProp22.xml><?xml version="1.0" encoding="utf-8"?>
<formControlPr xmlns="http://schemas.microsoft.com/office/spreadsheetml/2009/9/main" objectType="CheckBox" fmlaLink="Data3!AE4" lockText="1" noThreeD="1"/>
</file>

<file path=xl/ctrlProps/ctrlProp23.xml><?xml version="1.0" encoding="utf-8"?>
<formControlPr xmlns="http://schemas.microsoft.com/office/spreadsheetml/2009/9/main" objectType="CheckBox" fmlaLink="Data3!$AE$1" lockText="1" noThreeD="1"/>
</file>

<file path=xl/ctrlProps/ctrlProp24.xml><?xml version="1.0" encoding="utf-8"?>
<formControlPr xmlns="http://schemas.microsoft.com/office/spreadsheetml/2009/9/main" objectType="CheckBox" fmlaLink="Data3!$AE$5" lockText="1" noThreeD="1"/>
</file>

<file path=xl/ctrlProps/ctrlProp25.xml><?xml version="1.0" encoding="utf-8"?>
<formControlPr xmlns="http://schemas.microsoft.com/office/spreadsheetml/2009/9/main" objectType="Spin" dx="26" fmlaLink="Data4!T2" max="6" min="2" noThreeD="1" page="10" val="3"/>
</file>

<file path=xl/ctrlProps/ctrlProp26.xml><?xml version="1.0" encoding="utf-8"?>
<formControlPr xmlns="http://schemas.microsoft.com/office/spreadsheetml/2009/9/main" objectType="Spin" dx="26" fmlaLink="Data4!S1" max="9" noThreeD="1" page="10" val="5"/>
</file>

<file path=xl/ctrlProps/ctrlProp27.xml><?xml version="1.0" encoding="utf-8"?>
<formControlPr xmlns="http://schemas.microsoft.com/office/spreadsheetml/2009/9/main" objectType="Spin" dx="26" fmlaLink="Data4!A1" max="5" min="1" noThreeD="1" page="10" val="2"/>
</file>

<file path=xl/ctrlProps/ctrlProp28.xml><?xml version="1.0" encoding="utf-8"?>
<formControlPr xmlns="http://schemas.microsoft.com/office/spreadsheetml/2009/9/main" objectType="Spin" dx="26" fmlaLink="Data4!A2" max="5" min="1" noThreeD="1" page="10" val="3"/>
</file>

<file path=xl/ctrlProps/ctrlProp29.xml><?xml version="1.0" encoding="utf-8"?>
<formControlPr xmlns="http://schemas.microsoft.com/office/spreadsheetml/2009/9/main" objectType="Spin" dx="26" fmlaLink="Data4!A3" max="25" min="1" noThreeD="1" page="10" val="12"/>
</file>

<file path=xl/ctrlProps/ctrlProp30.xml><?xml version="1.0" encoding="utf-8"?>
<formControlPr xmlns="http://schemas.microsoft.com/office/spreadsheetml/2009/9/main" objectType="CheckBox" fmlaLink="Data4!AG2" lockText="1" noThreeD="1"/>
</file>

<file path=xl/ctrlProps/ctrlProp31.xml><?xml version="1.0" encoding="utf-8"?>
<formControlPr xmlns="http://schemas.microsoft.com/office/spreadsheetml/2009/9/main" objectType="CheckBox" fmlaLink="Data4!AG3" lockText="1" noThreeD="1"/>
</file>

<file path=xl/ctrlProps/ctrlProp32.xml><?xml version="1.0" encoding="utf-8"?>
<formControlPr xmlns="http://schemas.microsoft.com/office/spreadsheetml/2009/9/main" objectType="CheckBox" fmlaLink="Data4!AG4" lockText="1" noThreeD="1"/>
</file>

<file path=xl/ctrlProps/ctrlProp33.xml><?xml version="1.0" encoding="utf-8"?>
<formControlPr xmlns="http://schemas.microsoft.com/office/spreadsheetml/2009/9/main" objectType="CheckBox" fmlaLink="Data4!$AG$1" lockText="1" noThreeD="1"/>
</file>

<file path=xl/ctrlProps/ctrlProp34.xml><?xml version="1.0" encoding="utf-8"?>
<formControlPr xmlns="http://schemas.microsoft.com/office/spreadsheetml/2009/9/main" objectType="CheckBox" fmlaLink="Data4!$AG$5" lockText="1" noThreeD="1"/>
</file>

<file path=xl/ctrlProps/ctrlProp35.xml><?xml version="1.0" encoding="utf-8"?>
<formControlPr xmlns="http://schemas.microsoft.com/office/spreadsheetml/2009/9/main" objectType="Spin" dx="26" fmlaLink="Data5!A5" max="25" min="1" noThreeD="1" page="10" val="11"/>
</file>

<file path=xl/ctrlProps/ctrlProp36.xml><?xml version="1.0" encoding="utf-8"?>
<formControlPr xmlns="http://schemas.microsoft.com/office/spreadsheetml/2009/9/main" objectType="Spin" dx="26" fmlaLink="Data5!A4" max="10" noThreeD="1" page="10" val="3"/>
</file>

<file path=xl/ctrlProps/ctrlProp37.xml><?xml version="1.0" encoding="utf-8"?>
<formControlPr xmlns="http://schemas.microsoft.com/office/spreadsheetml/2009/9/main" objectType="CheckBox" fmlaLink="Data5!AF2" lockText="1" noThreeD="1"/>
</file>

<file path=xl/ctrlProps/ctrlProp38.xml><?xml version="1.0" encoding="utf-8"?>
<formControlPr xmlns="http://schemas.microsoft.com/office/spreadsheetml/2009/9/main" objectType="CheckBox" fmlaLink="Data5!AF3" lockText="1" noThreeD="1"/>
</file>

<file path=xl/ctrlProps/ctrlProp39.xml><?xml version="1.0" encoding="utf-8"?>
<formControlPr xmlns="http://schemas.microsoft.com/office/spreadsheetml/2009/9/main" objectType="CheckBox" fmlaLink="Data5!AF4" lockText="1" noThreeD="1"/>
</file>

<file path=xl/ctrlProps/ctrlProp40.xml><?xml version="1.0" encoding="utf-8"?>
<formControlPr xmlns="http://schemas.microsoft.com/office/spreadsheetml/2009/9/main" objectType="CheckBox" fmlaLink="Data5!$AF$1" lockText="1" noThreeD="1"/>
</file>

<file path=xl/ctrlProps/ctrlProp41.xml><?xml version="1.0" encoding="utf-8"?>
<formControlPr xmlns="http://schemas.microsoft.com/office/spreadsheetml/2009/9/main" objectType="CheckBox" fmlaLink="Data5!$AF$5" lockText="1" noThreeD="1"/>
</file>

<file path=xl/ctrlProps/ctrlProp42.xml><?xml version="1.0" encoding="utf-8"?>
<formControlPr xmlns="http://schemas.microsoft.com/office/spreadsheetml/2009/9/main" objectType="CheckBox" fmlaLink="Data6!$AY$1" lockText="1" noThreeD="1"/>
</file>

<file path=xl/ctrlProps/ctrlProp43.xml><?xml version="1.0" encoding="utf-8"?>
<formControlPr xmlns="http://schemas.microsoft.com/office/spreadsheetml/2009/9/main" objectType="CheckBox" fmlaLink="Data6!$AY$2" lockText="1" noThreeD="1"/>
</file>

<file path=xl/ctrlProps/ctrlProp44.xml><?xml version="1.0" encoding="utf-8"?>
<formControlPr xmlns="http://schemas.microsoft.com/office/spreadsheetml/2009/9/main" objectType="Spin" dx="26" fmlaLink="Data6!$A$2" max="10" noThreeD="1" page="10" val="2"/>
</file>

<file path=xl/ctrlProps/ctrlProp45.xml><?xml version="1.0" encoding="utf-8"?>
<formControlPr xmlns="http://schemas.microsoft.com/office/spreadsheetml/2009/9/main" objectType="Spin" dx="26" fmlaLink="Data6!$A$3" max="30" min="1" noThreeD="1" page="10" val="15"/>
</file>

<file path=xl/ctrlProps/ctrlProp46.xml><?xml version="1.0" encoding="utf-8"?>
<formControlPr xmlns="http://schemas.microsoft.com/office/spreadsheetml/2009/9/main" objectType="Spin" dx="26" fmlaLink="Data6!$A$4" max="10" min="1" noThreeD="1" page="10" val="10"/>
</file>

<file path=xl/ctrlProps/ctrlProp47.xml><?xml version="1.0" encoding="utf-8"?>
<formControlPr xmlns="http://schemas.microsoft.com/office/spreadsheetml/2009/9/main" objectType="CheckBox" fmlaLink="Data6!$AY$3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NACA_4-digit_mod_plot'!A1"/><Relationship Id="rId2" Type="http://schemas.openxmlformats.org/officeDocument/2006/relationships/hyperlink" Target="#'NACA_5-digit_plot'!A1"/><Relationship Id="rId1" Type="http://schemas.openxmlformats.org/officeDocument/2006/relationships/hyperlink" Target="#'NACA_4-digit_plot'!A1"/><Relationship Id="rId6" Type="http://schemas.openxmlformats.org/officeDocument/2006/relationships/hyperlink" Target="#'NACA_16-series_plot'!A1"/><Relationship Id="rId5" Type="http://schemas.openxmlformats.org/officeDocument/2006/relationships/hyperlink" Target="#'naca_6-series_plot'!A1"/><Relationship Id="rId4" Type="http://schemas.openxmlformats.org/officeDocument/2006/relationships/hyperlink" Target="#naca_5_mod_plot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Start_page!A1"/><Relationship Id="rId5" Type="http://schemas.openxmlformats.org/officeDocument/2006/relationships/chart" Target="../charts/chart1.xml"/><Relationship Id="rId4" Type="http://schemas.openxmlformats.org/officeDocument/2006/relationships/hyperlink" Target="#'NACA_4-digit_data'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'NACA_4-digit_plot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Start_page!A1"/><Relationship Id="rId5" Type="http://schemas.openxmlformats.org/officeDocument/2006/relationships/chart" Target="../charts/chart2.xml"/><Relationship Id="rId4" Type="http://schemas.openxmlformats.org/officeDocument/2006/relationships/hyperlink" Target="#'NACA_5-digit_data'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'NACA_5-digit_plot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Start_page!A1"/><Relationship Id="rId5" Type="http://schemas.openxmlformats.org/officeDocument/2006/relationships/chart" Target="../charts/chart3.xml"/><Relationship Id="rId4" Type="http://schemas.openxmlformats.org/officeDocument/2006/relationships/hyperlink" Target="#'NACA_4-digit_mod_data'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'NACA_4-digit_mod_plot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Start_page!A1"/><Relationship Id="rId5" Type="http://schemas.openxmlformats.org/officeDocument/2006/relationships/chart" Target="../charts/chart4.xml"/><Relationship Id="rId4" Type="http://schemas.openxmlformats.org/officeDocument/2006/relationships/hyperlink" Target="#'NACA_5-digit_mod_data'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NACA_5_mod_plot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hyperlink" Target="#Start_page!A1"/><Relationship Id="rId5" Type="http://schemas.openxmlformats.org/officeDocument/2006/relationships/chart" Target="../charts/chart5.xml"/><Relationship Id="rId4" Type="http://schemas.openxmlformats.org/officeDocument/2006/relationships/hyperlink" Target="#'NACA_16-series_data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'NACA_16-series_plot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Start_page!A1"/><Relationship Id="rId2" Type="http://schemas.openxmlformats.org/officeDocument/2006/relationships/hyperlink" Target="#'naca_6-series_data'!A1"/><Relationship Id="rId1" Type="http://schemas.openxmlformats.org/officeDocument/2006/relationships/chart" Target="../charts/chart6.xml"/><Relationship Id="rId5" Type="http://schemas.openxmlformats.org/officeDocument/2006/relationships/image" Target="../media/image2.svg"/><Relationship Id="rId4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'naca_6-series_plot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505691</xdr:colOff>
      <xdr:row>0</xdr:row>
      <xdr:rowOff>169021</xdr:rowOff>
    </xdr:from>
    <xdr:to>
      <xdr:col>15</xdr:col>
      <xdr:colOff>360218</xdr:colOff>
      <xdr:row>5</xdr:row>
      <xdr:rowOff>173180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3553691" y="169021"/>
          <a:ext cx="5950527" cy="90470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120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800" b="1" baseline="0">
              <a:solidFill>
                <a:schemeClr val="bg1"/>
              </a:solidFill>
              <a:effectLst/>
              <a:latin typeface="Segoe UI Semibold" panose="020B0702040204020203" pitchFamily="34" charset="0"/>
              <a:ea typeface="Cambria Math" panose="02040503050406030204" pitchFamily="18" charset="0"/>
              <a:cs typeface="Segoe UI Semibold" panose="020B0702040204020203" pitchFamily="34" charset="0"/>
            </a:rPr>
            <a:t>NACA Airfoil Modeling Framework</a:t>
          </a:r>
          <a:endParaRPr lang="en-GB" sz="1800" b="1" baseline="0">
            <a:solidFill>
              <a:schemeClr val="bg1"/>
            </a:solidFill>
            <a:effectLst/>
            <a:latin typeface="Segoe UI Semibold" panose="020B0702040204020203" pitchFamily="34" charset="0"/>
            <a:ea typeface="Cambria Math" panose="02040503050406030204" pitchFamily="18" charset="0"/>
            <a:cs typeface="Segoe UI Semibold" panose="020B0702040204020203" pitchFamily="34" charset="0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120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i="0">
              <a:solidFill>
                <a:schemeClr val="bg1"/>
              </a:solidFill>
              <a:latin typeface="Segoe UI Semibold" panose="020B0702040204020203" pitchFamily="34" charset="0"/>
              <a:ea typeface="Cambria Math" panose="02040503050406030204" pitchFamily="18" charset="0"/>
              <a:cs typeface="Segoe UI Semibold" panose="020B0702040204020203" pitchFamily="34" charset="0"/>
            </a:rPr>
            <a:t>Nghia</a:t>
          </a:r>
          <a:r>
            <a:rPr lang="en-GB" sz="1200" b="0" i="0" baseline="0">
              <a:solidFill>
                <a:schemeClr val="bg1"/>
              </a:solidFill>
              <a:latin typeface="Segoe UI Semibold" panose="020B0702040204020203" pitchFamily="34" charset="0"/>
              <a:ea typeface="Cambria Math" panose="02040503050406030204" pitchFamily="18" charset="0"/>
              <a:cs typeface="Segoe UI Semibold" panose="020B0702040204020203" pitchFamily="34" charset="0"/>
            </a:rPr>
            <a:t> T. Tran</a:t>
          </a:r>
          <a:endParaRPr lang="en-GB" sz="1200" b="0" i="0">
            <a:solidFill>
              <a:schemeClr val="bg1"/>
            </a:solidFill>
            <a:latin typeface="Segoe UI Semibold" panose="020B0702040204020203" pitchFamily="34" charset="0"/>
            <a:ea typeface="Cambria Math" panose="02040503050406030204" pitchFamily="18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7</xdr:col>
      <xdr:colOff>558342</xdr:colOff>
      <xdr:row>6</xdr:row>
      <xdr:rowOff>166255</xdr:rowOff>
    </xdr:from>
    <xdr:to>
      <xdr:col>13</xdr:col>
      <xdr:colOff>320742</xdr:colOff>
      <xdr:row>9</xdr:row>
      <xdr:rowOff>165928</xdr:rowOff>
    </xdr:to>
    <xdr:sp macro="" textlink="">
      <xdr:nvSpPr>
        <xdr:cNvPr id="7" name="Rectangle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825542" y="1246910"/>
          <a:ext cx="3420000" cy="540000"/>
        </a:xfrm>
        <a:prstGeom prst="rect">
          <a:avLst/>
        </a:prstGeom>
        <a:ln w="12700">
          <a:solidFill>
            <a:srgbClr val="155A79"/>
          </a:solidFill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200" b="0">
              <a:solidFill>
                <a:schemeClr val="tx1"/>
              </a:solidFill>
              <a:latin typeface="Segoe UI Symbol" panose="020B0502040204020203" pitchFamily="34" charset="0"/>
              <a:ea typeface="Segoe UI Symbol" panose="020B0502040204020203" pitchFamily="34" charset="0"/>
              <a:cs typeface="Segoe UI Semibold" panose="020B0702040204020203" pitchFamily="34" charset="0"/>
            </a:rPr>
            <a:t>NACA 4-Digit</a:t>
          </a:r>
          <a:r>
            <a:rPr lang="en-GB" sz="1200" b="0" baseline="0">
              <a:solidFill>
                <a:schemeClr val="tx1"/>
              </a:solidFill>
              <a:latin typeface="Segoe UI Symbol" panose="020B0502040204020203" pitchFamily="34" charset="0"/>
              <a:ea typeface="Segoe UI Symbol" panose="020B0502040204020203" pitchFamily="34" charset="0"/>
              <a:cs typeface="Segoe UI Semibold" panose="020B0702040204020203" pitchFamily="34" charset="0"/>
            </a:rPr>
            <a:t> Series</a:t>
          </a:r>
          <a:endParaRPr lang="en-GB" sz="1200" b="0">
            <a:solidFill>
              <a:schemeClr val="tx1"/>
            </a:solidFill>
            <a:latin typeface="Segoe UI Symbol" panose="020B0502040204020203" pitchFamily="34" charset="0"/>
            <a:ea typeface="Segoe UI Symbol" panose="020B05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7</xdr:col>
      <xdr:colOff>565271</xdr:colOff>
      <xdr:row>10</xdr:row>
      <xdr:rowOff>129536</xdr:rowOff>
    </xdr:from>
    <xdr:to>
      <xdr:col>13</xdr:col>
      <xdr:colOff>327671</xdr:colOff>
      <xdr:row>13</xdr:row>
      <xdr:rowOff>129209</xdr:rowOff>
    </xdr:to>
    <xdr:sp macro="" textlink="">
      <xdr:nvSpPr>
        <xdr:cNvPr id="8" name="Rectangle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832471" y="1930627"/>
          <a:ext cx="3420000" cy="540000"/>
        </a:xfrm>
        <a:prstGeom prst="rect">
          <a:avLst/>
        </a:prstGeom>
        <a:ln w="12700">
          <a:solidFill>
            <a:srgbClr val="155A79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200" b="0">
              <a:solidFill>
                <a:schemeClr val="tx1"/>
              </a:solidFill>
              <a:latin typeface="Segoe UI Symbol" panose="020B0502040204020203" pitchFamily="34" charset="0"/>
              <a:ea typeface="Segoe UI Symbol" panose="020B0502040204020203" pitchFamily="34" charset="0"/>
              <a:cs typeface="Segoe UI Semibold" panose="020B0702040204020203" pitchFamily="34" charset="0"/>
            </a:rPr>
            <a:t>NACA 5-Digit</a:t>
          </a:r>
          <a:r>
            <a:rPr lang="en-GB" sz="1200" b="0" baseline="0">
              <a:solidFill>
                <a:schemeClr val="tx1"/>
              </a:solidFill>
              <a:latin typeface="Segoe UI Symbol" panose="020B0502040204020203" pitchFamily="34" charset="0"/>
              <a:ea typeface="Segoe UI Symbol" panose="020B0502040204020203" pitchFamily="34" charset="0"/>
              <a:cs typeface="Segoe UI Semibold" panose="020B0702040204020203" pitchFamily="34" charset="0"/>
            </a:rPr>
            <a:t> Series</a:t>
          </a:r>
          <a:endParaRPr lang="en-GB" sz="1200" b="0">
            <a:solidFill>
              <a:schemeClr val="tx1"/>
            </a:solidFill>
            <a:latin typeface="Segoe UI Symbol" panose="020B0502040204020203" pitchFamily="34" charset="0"/>
            <a:ea typeface="Segoe UI Symbol" panose="020B05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7</xdr:col>
      <xdr:colOff>572209</xdr:colOff>
      <xdr:row>14</xdr:row>
      <xdr:rowOff>104614</xdr:rowOff>
    </xdr:from>
    <xdr:to>
      <xdr:col>13</xdr:col>
      <xdr:colOff>334609</xdr:colOff>
      <xdr:row>17</xdr:row>
      <xdr:rowOff>104286</xdr:rowOff>
    </xdr:to>
    <xdr:sp macro="" textlink="">
      <xdr:nvSpPr>
        <xdr:cNvPr id="9" name="Rectangle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839409" y="2626141"/>
          <a:ext cx="3420000" cy="540000"/>
        </a:xfrm>
        <a:prstGeom prst="rect">
          <a:avLst/>
        </a:prstGeom>
        <a:ln w="12700">
          <a:solidFill>
            <a:srgbClr val="155A79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200" b="0">
              <a:solidFill>
                <a:schemeClr val="tx1"/>
              </a:solidFill>
              <a:latin typeface="Segoe UI Symbol" panose="020B0502040204020203" pitchFamily="34" charset="0"/>
              <a:ea typeface="Segoe UI Symbol" panose="020B0502040204020203" pitchFamily="34" charset="0"/>
              <a:cs typeface="Segoe UI Semibold" panose="020B0702040204020203" pitchFamily="34" charset="0"/>
            </a:rPr>
            <a:t>NACA 4-Digit</a:t>
          </a:r>
          <a:r>
            <a:rPr lang="en-GB" sz="1200" b="0" baseline="0">
              <a:solidFill>
                <a:schemeClr val="tx1"/>
              </a:solidFill>
              <a:latin typeface="Segoe UI Symbol" panose="020B0502040204020203" pitchFamily="34" charset="0"/>
              <a:ea typeface="Segoe UI Symbol" panose="020B0502040204020203" pitchFamily="34" charset="0"/>
              <a:cs typeface="Segoe UI Semibold" panose="020B0702040204020203" pitchFamily="34" charset="0"/>
            </a:rPr>
            <a:t> Series Modified</a:t>
          </a:r>
          <a:endParaRPr lang="en-GB" sz="1200" b="0">
            <a:solidFill>
              <a:schemeClr val="tx1"/>
            </a:solidFill>
            <a:latin typeface="Segoe UI Symbol" panose="020B0502040204020203" pitchFamily="34" charset="0"/>
            <a:ea typeface="Segoe UI Symbol" panose="020B05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7</xdr:col>
      <xdr:colOff>579137</xdr:colOff>
      <xdr:row>18</xdr:row>
      <xdr:rowOff>74136</xdr:rowOff>
    </xdr:from>
    <xdr:to>
      <xdr:col>13</xdr:col>
      <xdr:colOff>341537</xdr:colOff>
      <xdr:row>21</xdr:row>
      <xdr:rowOff>73809</xdr:rowOff>
    </xdr:to>
    <xdr:sp macro="" textlink="">
      <xdr:nvSpPr>
        <xdr:cNvPr id="10" name="Rectangle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4846337" y="3316100"/>
          <a:ext cx="3420000" cy="540000"/>
        </a:xfrm>
        <a:prstGeom prst="rect">
          <a:avLst/>
        </a:prstGeom>
        <a:ln w="12700">
          <a:solidFill>
            <a:srgbClr val="155A79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200" b="0">
              <a:solidFill>
                <a:schemeClr val="tx1"/>
              </a:solidFill>
              <a:latin typeface="Segoe UI Symbol" panose="020B0502040204020203" pitchFamily="34" charset="0"/>
              <a:ea typeface="Segoe UI Symbol" panose="020B0502040204020203" pitchFamily="34" charset="0"/>
              <a:cs typeface="Segoe UI Semibold" panose="020B0702040204020203" pitchFamily="34" charset="0"/>
            </a:rPr>
            <a:t>NACA 5-Digit</a:t>
          </a:r>
          <a:r>
            <a:rPr lang="en-GB" sz="1200" b="0" baseline="0">
              <a:solidFill>
                <a:schemeClr val="tx1"/>
              </a:solidFill>
              <a:latin typeface="Segoe UI Symbol" panose="020B0502040204020203" pitchFamily="34" charset="0"/>
              <a:ea typeface="Segoe UI Symbol" panose="020B0502040204020203" pitchFamily="34" charset="0"/>
              <a:cs typeface="Segoe UI Semibold" panose="020B0702040204020203" pitchFamily="34" charset="0"/>
            </a:rPr>
            <a:t> Series Modified</a:t>
          </a:r>
          <a:endParaRPr lang="en-GB" sz="1200" b="0">
            <a:solidFill>
              <a:schemeClr val="tx1"/>
            </a:solidFill>
            <a:latin typeface="Segoe UI Symbol" panose="020B0502040204020203" pitchFamily="34" charset="0"/>
            <a:ea typeface="Segoe UI Symbol" panose="020B05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7</xdr:col>
      <xdr:colOff>584292</xdr:colOff>
      <xdr:row>26</xdr:row>
      <xdr:rowOff>18392</xdr:rowOff>
    </xdr:from>
    <xdr:to>
      <xdr:col>13</xdr:col>
      <xdr:colOff>346692</xdr:colOff>
      <xdr:row>29</xdr:row>
      <xdr:rowOff>18064</xdr:rowOff>
    </xdr:to>
    <xdr:sp macro="" textlink="">
      <xdr:nvSpPr>
        <xdr:cNvPr id="2" name="Rectangle 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851492" y="4701228"/>
          <a:ext cx="3420000" cy="540000"/>
        </a:xfrm>
        <a:prstGeom prst="rect">
          <a:avLst/>
        </a:prstGeom>
        <a:ln w="12700">
          <a:solidFill>
            <a:srgbClr val="155A79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200" b="0">
              <a:solidFill>
                <a:schemeClr val="tx1"/>
              </a:solidFill>
              <a:latin typeface="Segoe UI Symbol" panose="020B0502040204020203" pitchFamily="34" charset="0"/>
              <a:ea typeface="Segoe UI Symbol" panose="020B0502040204020203" pitchFamily="34" charset="0"/>
              <a:cs typeface="Segoe UI Semibold" panose="020B0702040204020203" pitchFamily="34" charset="0"/>
            </a:rPr>
            <a:t>NACA</a:t>
          </a:r>
          <a:r>
            <a:rPr lang="en-GB" sz="1200" b="0" baseline="0">
              <a:solidFill>
                <a:schemeClr val="tx1"/>
              </a:solidFill>
              <a:latin typeface="Segoe UI Symbol" panose="020B0502040204020203" pitchFamily="34" charset="0"/>
              <a:ea typeface="Segoe UI Symbol" panose="020B0502040204020203" pitchFamily="34" charset="0"/>
              <a:cs typeface="Segoe UI Semibold" panose="020B0702040204020203" pitchFamily="34" charset="0"/>
            </a:rPr>
            <a:t> 6-Series and 6A-Series</a:t>
          </a:r>
          <a:endParaRPr lang="en-GB" sz="1200" b="0">
            <a:solidFill>
              <a:schemeClr val="tx1"/>
            </a:solidFill>
            <a:latin typeface="Segoe UI Symbol" panose="020B0502040204020203" pitchFamily="34" charset="0"/>
            <a:ea typeface="Segoe UI Symbol" panose="020B05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7</xdr:col>
      <xdr:colOff>584292</xdr:colOff>
      <xdr:row>22</xdr:row>
      <xdr:rowOff>48504</xdr:rowOff>
    </xdr:from>
    <xdr:to>
      <xdr:col>13</xdr:col>
      <xdr:colOff>346692</xdr:colOff>
      <xdr:row>25</xdr:row>
      <xdr:rowOff>48177</xdr:rowOff>
    </xdr:to>
    <xdr:sp macro="" textlink="">
      <xdr:nvSpPr>
        <xdr:cNvPr id="3" name="Rectangle 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851492" y="4010904"/>
          <a:ext cx="3420000" cy="540000"/>
        </a:xfrm>
        <a:prstGeom prst="rect">
          <a:avLst/>
        </a:prstGeom>
        <a:ln w="12700">
          <a:solidFill>
            <a:srgbClr val="155A79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200" b="0">
              <a:solidFill>
                <a:schemeClr val="tx1"/>
              </a:solidFill>
              <a:latin typeface="Segoe UI Symbol" panose="020B0502040204020203" pitchFamily="34" charset="0"/>
              <a:ea typeface="Segoe UI Symbol" panose="020B0502040204020203" pitchFamily="34" charset="0"/>
              <a:cs typeface="Segoe UI Semibold" panose="020B0702040204020203" pitchFamily="34" charset="0"/>
            </a:rPr>
            <a:t>NACA</a:t>
          </a:r>
          <a:r>
            <a:rPr lang="en-GB" sz="1200" b="0" baseline="0">
              <a:solidFill>
                <a:schemeClr val="tx1"/>
              </a:solidFill>
              <a:latin typeface="Segoe UI Symbol" panose="020B0502040204020203" pitchFamily="34" charset="0"/>
              <a:ea typeface="Segoe UI Symbol" panose="020B0502040204020203" pitchFamily="34" charset="0"/>
              <a:cs typeface="Segoe UI Semibold" panose="020B0702040204020203" pitchFamily="34" charset="0"/>
            </a:rPr>
            <a:t> 16-Series </a:t>
          </a:r>
          <a:endParaRPr lang="en-GB" sz="1200" b="0">
            <a:solidFill>
              <a:schemeClr val="tx1"/>
            </a:solidFill>
            <a:latin typeface="Segoe UI Symbol" panose="020B0502040204020203" pitchFamily="34" charset="0"/>
            <a:ea typeface="Segoe UI Symbol" panose="020B0502040204020203" pitchFamily="34" charset="0"/>
            <a:cs typeface="Segoe UI Semibold" panose="020B0702040204020203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1287780</xdr:colOff>
          <xdr:row>3</xdr:row>
          <xdr:rowOff>0</xdr:rowOff>
        </xdr:from>
        <xdr:to>
          <xdr:col>8</xdr:col>
          <xdr:colOff>144780</xdr:colOff>
          <xdr:row>4</xdr:row>
          <xdr:rowOff>0</xdr:rowOff>
        </xdr:to>
        <xdr:sp macro="" textlink="">
          <xdr:nvSpPr>
            <xdr:cNvPr id="3076" name="Spinner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1287780</xdr:colOff>
          <xdr:row>5</xdr:row>
          <xdr:rowOff>0</xdr:rowOff>
        </xdr:from>
        <xdr:to>
          <xdr:col>8</xdr:col>
          <xdr:colOff>144780</xdr:colOff>
          <xdr:row>6</xdr:row>
          <xdr:rowOff>0</xdr:rowOff>
        </xdr:to>
        <xdr:sp macro="" textlink="">
          <xdr:nvSpPr>
            <xdr:cNvPr id="3080" name="Spinner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1287780</xdr:colOff>
          <xdr:row>7</xdr:row>
          <xdr:rowOff>0</xdr:rowOff>
        </xdr:from>
        <xdr:to>
          <xdr:col>8</xdr:col>
          <xdr:colOff>144780</xdr:colOff>
          <xdr:row>8</xdr:row>
          <xdr:rowOff>0</xdr:rowOff>
        </xdr:to>
        <xdr:sp macro="" textlink="">
          <xdr:nvSpPr>
            <xdr:cNvPr id="3081" name="Spinner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68580</xdr:colOff>
          <xdr:row>5</xdr:row>
          <xdr:rowOff>15240</xdr:rowOff>
        </xdr:from>
        <xdr:to>
          <xdr:col>12</xdr:col>
          <xdr:colOff>1386840</xdr:colOff>
          <xdr:row>5</xdr:row>
          <xdr:rowOff>243840</xdr:rowOff>
        </xdr:to>
        <xdr:sp macro="" textlink="">
          <xdr:nvSpPr>
            <xdr:cNvPr id="3086" name="Check Box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2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mean line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68580</xdr:colOff>
          <xdr:row>5</xdr:row>
          <xdr:rowOff>289560</xdr:rowOff>
        </xdr:from>
        <xdr:to>
          <xdr:col>12</xdr:col>
          <xdr:colOff>1478280</xdr:colOff>
          <xdr:row>7</xdr:row>
          <xdr:rowOff>160020</xdr:rowOff>
        </xdr:to>
        <xdr:sp macro="" textlink="">
          <xdr:nvSpPr>
            <xdr:cNvPr id="3087" name="Check Box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leading-edge radius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68580</xdr:colOff>
          <xdr:row>7</xdr:row>
          <xdr:rowOff>175260</xdr:rowOff>
        </xdr:from>
        <xdr:to>
          <xdr:col>12</xdr:col>
          <xdr:colOff>1272540</xdr:colOff>
          <xdr:row>8</xdr:row>
          <xdr:rowOff>144780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Sharp trailing edge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60080</xdr:colOff>
      <xdr:row>0</xdr:row>
      <xdr:rowOff>25884</xdr:rowOff>
    </xdr:from>
    <xdr:to>
      <xdr:col>0</xdr:col>
      <xdr:colOff>376603</xdr:colOff>
      <xdr:row>2</xdr:row>
      <xdr:rowOff>26860</xdr:rowOff>
    </xdr:to>
    <xdr:pic>
      <xdr:nvPicPr>
        <xdr:cNvPr id="3" name="Graphic 2" descr="Hamburger Menu Icon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0080" y="25884"/>
          <a:ext cx="316523" cy="311638"/>
        </a:xfrm>
        <a:prstGeom prst="rect">
          <a:avLst/>
        </a:prstGeom>
      </xdr:spPr>
    </xdr:pic>
    <xdr:clientData/>
  </xdr:twoCellAnchor>
  <xdr:twoCellAnchor>
    <xdr:from>
      <xdr:col>10</xdr:col>
      <xdr:colOff>208320</xdr:colOff>
      <xdr:row>7</xdr:row>
      <xdr:rowOff>211016</xdr:rowOff>
    </xdr:from>
    <xdr:to>
      <xdr:col>10</xdr:col>
      <xdr:colOff>1252320</xdr:colOff>
      <xdr:row>8</xdr:row>
      <xdr:rowOff>170916</xdr:rowOff>
    </xdr:to>
    <xdr:sp macro="" textlink="">
      <xdr:nvSpPr>
        <xdr:cNvPr id="4" name="Rectangle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7396520" y="1322266"/>
          <a:ext cx="1044000" cy="252000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 b="0" u="sng">
              <a:solidFill>
                <a:schemeClr val="tx1"/>
              </a:solidFill>
              <a:latin typeface="Segoe UI Symbol" panose="020B0502040204020203" pitchFamily="34" charset="0"/>
              <a:ea typeface="Segoe UI Symbol" panose="020B0502040204020203" pitchFamily="34" charset="0"/>
              <a:cs typeface="Segoe UI Semibold" panose="020B0702040204020203" pitchFamily="34" charset="0"/>
            </a:rPr>
            <a:t>Airfoil Coordinates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68580</xdr:colOff>
          <xdr:row>3</xdr:row>
          <xdr:rowOff>121920</xdr:rowOff>
        </xdr:from>
        <xdr:to>
          <xdr:col>12</xdr:col>
          <xdr:colOff>1143000</xdr:colOff>
          <xdr:row>4</xdr:row>
          <xdr:rowOff>60960</xdr:rowOff>
        </xdr:to>
        <xdr:sp macro="" textlink="">
          <xdr:nvSpPr>
            <xdr:cNvPr id="3089" name="Check Box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2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chord line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0</xdr:colOff>
      <xdr:row>9</xdr:row>
      <xdr:rowOff>59870</xdr:rowOff>
    </xdr:from>
    <xdr:to>
      <xdr:col>14</xdr:col>
      <xdr:colOff>0</xdr:colOff>
      <xdr:row>41</xdr:row>
      <xdr:rowOff>84365</xdr:rowOff>
    </xdr:to>
    <xdr:graphicFrame macro="">
      <xdr:nvGraphicFramePr>
        <xdr:cNvPr id="5" name="naca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38100</xdr:rowOff>
        </xdr:from>
        <xdr:to>
          <xdr:col>4</xdr:col>
          <xdr:colOff>373380</xdr:colOff>
          <xdr:row>7</xdr:row>
          <xdr:rowOff>251460</xdr:rowOff>
        </xdr:to>
        <xdr:sp macro="" textlink="">
          <xdr:nvSpPr>
            <xdr:cNvPr id="3090" name="Check Box 18" descr="Show coordinate system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2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coordinate system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4</xdr:col>
      <xdr:colOff>542400</xdr:colOff>
      <xdr:row>2</xdr:row>
      <xdr:rowOff>105120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362200" y="251460"/>
          <a:ext cx="1152000" cy="288000"/>
        </a:xfrm>
        <a:prstGeom prst="rect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0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 Symbol" panose="020B0502040204020203" pitchFamily="34" charset="0"/>
              <a:ea typeface="Segoe UI Symbol" panose="020B0502040204020203" pitchFamily="34" charset="0"/>
              <a:cs typeface="Calibri" panose="020F0502020204030204" pitchFamily="34" charset="0"/>
            </a:rPr>
            <a:t>Airfoil Geometry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60960</xdr:rowOff>
        </xdr:from>
        <xdr:to>
          <xdr:col>9</xdr:col>
          <xdr:colOff>144780</xdr:colOff>
          <xdr:row>6</xdr:row>
          <xdr:rowOff>0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91440</xdr:colOff>
          <xdr:row>4</xdr:row>
          <xdr:rowOff>45720</xdr:rowOff>
        </xdr:from>
        <xdr:to>
          <xdr:col>13</xdr:col>
          <xdr:colOff>1447800</xdr:colOff>
          <xdr:row>5</xdr:row>
          <xdr:rowOff>281940</xdr:rowOff>
        </xdr:to>
        <xdr:sp macro="" textlink="">
          <xdr:nvSpPr>
            <xdr:cNvPr id="8200" name="Check Box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5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mean line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91440</xdr:colOff>
          <xdr:row>5</xdr:row>
          <xdr:rowOff>243840</xdr:rowOff>
        </xdr:from>
        <xdr:to>
          <xdr:col>14</xdr:col>
          <xdr:colOff>0</xdr:colOff>
          <xdr:row>7</xdr:row>
          <xdr:rowOff>190500</xdr:rowOff>
        </xdr:to>
        <xdr:sp macro="" textlink="">
          <xdr:nvSpPr>
            <xdr:cNvPr id="8201" name="Check Box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5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leading-edge radius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91440</xdr:colOff>
          <xdr:row>7</xdr:row>
          <xdr:rowOff>160020</xdr:rowOff>
        </xdr:from>
        <xdr:to>
          <xdr:col>13</xdr:col>
          <xdr:colOff>1501140</xdr:colOff>
          <xdr:row>8</xdr:row>
          <xdr:rowOff>167640</xdr:rowOff>
        </xdr:to>
        <xdr:sp macro="" textlink="">
          <xdr:nvSpPr>
            <xdr:cNvPr id="8203" name="Check Box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5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Sharp trailing edge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58613</xdr:colOff>
      <xdr:row>0</xdr:row>
      <xdr:rowOff>26865</xdr:rowOff>
    </xdr:from>
    <xdr:to>
      <xdr:col>0</xdr:col>
      <xdr:colOff>375136</xdr:colOff>
      <xdr:row>2</xdr:row>
      <xdr:rowOff>27841</xdr:rowOff>
    </xdr:to>
    <xdr:pic>
      <xdr:nvPicPr>
        <xdr:cNvPr id="9" name="Graphic 8" descr="Hamburger Menu Icon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8613" y="26865"/>
          <a:ext cx="316523" cy="311638"/>
        </a:xfrm>
        <a:prstGeom prst="rect">
          <a:avLst/>
        </a:prstGeom>
      </xdr:spPr>
    </xdr:pic>
    <xdr:clientData/>
  </xdr:twoCellAnchor>
  <xdr:twoCellAnchor>
    <xdr:from>
      <xdr:col>11</xdr:col>
      <xdr:colOff>208087</xdr:colOff>
      <xdr:row>7</xdr:row>
      <xdr:rowOff>211993</xdr:rowOff>
    </xdr:from>
    <xdr:to>
      <xdr:col>11</xdr:col>
      <xdr:colOff>1252087</xdr:colOff>
      <xdr:row>8</xdr:row>
      <xdr:rowOff>171893</xdr:rowOff>
    </xdr:to>
    <xdr:sp macro="" textlink="">
      <xdr:nvSpPr>
        <xdr:cNvPr id="4" name="Rectangle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7789987" y="1323243"/>
          <a:ext cx="1044000" cy="252000"/>
        </a:xfrm>
        <a:prstGeom prst="rect">
          <a:avLst/>
        </a:prstGeom>
        <a:solidFill>
          <a:schemeClr val="bg1"/>
        </a:solidFill>
        <a:ln w="3175" cmpd="sng">
          <a:solidFill>
            <a:schemeClr val="tx1"/>
          </a:solidFill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 b="0" u="sng">
              <a:solidFill>
                <a:schemeClr val="tx1"/>
              </a:solidFill>
              <a:latin typeface="Segoe UI "/>
              <a:ea typeface="Calibri" panose="020F0502020204030204" pitchFamily="34" charset="0"/>
              <a:cs typeface="Calibri" panose="020F0502020204030204" pitchFamily="34" charset="0"/>
            </a:rPr>
            <a:t>Airfoil Coordinates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91440</xdr:colOff>
          <xdr:row>3</xdr:row>
          <xdr:rowOff>121920</xdr:rowOff>
        </xdr:from>
        <xdr:to>
          <xdr:col>13</xdr:col>
          <xdr:colOff>990600</xdr:colOff>
          <xdr:row>4</xdr:row>
          <xdr:rowOff>53340</xdr:rowOff>
        </xdr:to>
        <xdr:sp macro="" textlink="">
          <xdr:nvSpPr>
            <xdr:cNvPr id="8204" name="Check Box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5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chord line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0</xdr:colOff>
      <xdr:row>10</xdr:row>
      <xdr:rowOff>0</xdr:rowOff>
    </xdr:from>
    <xdr:to>
      <xdr:col>15</xdr:col>
      <xdr:colOff>0</xdr:colOff>
      <xdr:row>42</xdr:row>
      <xdr:rowOff>95250</xdr:rowOff>
    </xdr:to>
    <xdr:graphicFrame macro="">
      <xdr:nvGraphicFramePr>
        <xdr:cNvPr id="3" name="naca5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7</xdr:row>
          <xdr:rowOff>38100</xdr:rowOff>
        </xdr:from>
        <xdr:to>
          <xdr:col>5</xdr:col>
          <xdr:colOff>373380</xdr:colOff>
          <xdr:row>7</xdr:row>
          <xdr:rowOff>251460</xdr:rowOff>
        </xdr:to>
        <xdr:sp macro="" textlink="">
          <xdr:nvSpPr>
            <xdr:cNvPr id="8205" name="Check Box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5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coordinate system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4</xdr:col>
      <xdr:colOff>542400</xdr:colOff>
      <xdr:row>2</xdr:row>
      <xdr:rowOff>105120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362200" y="251460"/>
          <a:ext cx="1152000" cy="288000"/>
        </a:xfrm>
        <a:prstGeom prst="rect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0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 "/>
              <a:ea typeface="Calibri" panose="020F0502020204030204" pitchFamily="34" charset="0"/>
              <a:cs typeface="Calibri" panose="020F0502020204030204" pitchFamily="34" charset="0"/>
            </a:rPr>
            <a:t>Airfoil Geometry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60960</xdr:rowOff>
        </xdr:from>
        <xdr:to>
          <xdr:col>8</xdr:col>
          <xdr:colOff>144780</xdr:colOff>
          <xdr:row>8</xdr:row>
          <xdr:rowOff>0</xdr:rowOff>
        </xdr:to>
        <xdr:sp macro="" textlink="">
          <xdr:nvSpPr>
            <xdr:cNvPr id="14337" name="Spinner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8</xdr:col>
          <xdr:colOff>144780</xdr:colOff>
          <xdr:row>6</xdr:row>
          <xdr:rowOff>0</xdr:rowOff>
        </xdr:to>
        <xdr:sp macro="" textlink="">
          <xdr:nvSpPr>
            <xdr:cNvPr id="14338" name="Spinner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8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1424940</xdr:colOff>
          <xdr:row>2</xdr:row>
          <xdr:rowOff>83820</xdr:rowOff>
        </xdr:from>
        <xdr:to>
          <xdr:col>8</xdr:col>
          <xdr:colOff>144780</xdr:colOff>
          <xdr:row>4</xdr:row>
          <xdr:rowOff>0</xdr:rowOff>
        </xdr:to>
        <xdr:sp macro="" textlink="">
          <xdr:nvSpPr>
            <xdr:cNvPr id="14339" name="Spinner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8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8</xdr:col>
          <xdr:colOff>144780</xdr:colOff>
          <xdr:row>10</xdr:row>
          <xdr:rowOff>0</xdr:rowOff>
        </xdr:to>
        <xdr:sp macro="" textlink="">
          <xdr:nvSpPr>
            <xdr:cNvPr id="14343" name="Spinner 7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8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1424940</xdr:colOff>
          <xdr:row>10</xdr:row>
          <xdr:rowOff>60960</xdr:rowOff>
        </xdr:from>
        <xdr:to>
          <xdr:col>8</xdr:col>
          <xdr:colOff>144780</xdr:colOff>
          <xdr:row>12</xdr:row>
          <xdr:rowOff>0</xdr:rowOff>
        </xdr:to>
        <xdr:sp macro="" textlink="">
          <xdr:nvSpPr>
            <xdr:cNvPr id="14345" name="Spinner 9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8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99060</xdr:colOff>
          <xdr:row>4</xdr:row>
          <xdr:rowOff>60960</xdr:rowOff>
        </xdr:from>
        <xdr:to>
          <xdr:col>12</xdr:col>
          <xdr:colOff>1485900</xdr:colOff>
          <xdr:row>6</xdr:row>
          <xdr:rowOff>45720</xdr:rowOff>
        </xdr:to>
        <xdr:sp macro="" textlink="">
          <xdr:nvSpPr>
            <xdr:cNvPr id="14357" name="Check Box 21" hidden="1">
              <a:extLst>
                <a:ext uri="{63B3BB69-23CF-44E3-9099-C40C66FF867C}">
                  <a14:compatExt spid="_x0000_s14357"/>
                </a:ext>
                <a:ext uri="{FF2B5EF4-FFF2-40B4-BE49-F238E27FC236}">
                  <a16:creationId xmlns:a16="http://schemas.microsoft.com/office/drawing/2014/main" id="{00000000-0008-0000-0800-00001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mean line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99060</xdr:colOff>
          <xdr:row>5</xdr:row>
          <xdr:rowOff>274320</xdr:rowOff>
        </xdr:from>
        <xdr:to>
          <xdr:col>13</xdr:col>
          <xdr:colOff>0</xdr:colOff>
          <xdr:row>7</xdr:row>
          <xdr:rowOff>259080</xdr:rowOff>
        </xdr:to>
        <xdr:sp macro="" textlink="">
          <xdr:nvSpPr>
            <xdr:cNvPr id="14358" name="Check Box 22" hidden="1">
              <a:extLst>
                <a:ext uri="{63B3BB69-23CF-44E3-9099-C40C66FF867C}">
                  <a14:compatExt spid="_x0000_s14358"/>
                </a:ext>
                <a:ext uri="{FF2B5EF4-FFF2-40B4-BE49-F238E27FC236}">
                  <a16:creationId xmlns:a16="http://schemas.microsoft.com/office/drawing/2014/main" id="{00000000-0008-0000-0800-00001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leading-edge radius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99060</xdr:colOff>
          <xdr:row>7</xdr:row>
          <xdr:rowOff>213360</xdr:rowOff>
        </xdr:from>
        <xdr:to>
          <xdr:col>12</xdr:col>
          <xdr:colOff>1463040</xdr:colOff>
          <xdr:row>9</xdr:row>
          <xdr:rowOff>190500</xdr:rowOff>
        </xdr:to>
        <xdr:sp macro="" textlink="">
          <xdr:nvSpPr>
            <xdr:cNvPr id="14359" name="Check Box 23" hidden="1">
              <a:extLst>
                <a:ext uri="{63B3BB69-23CF-44E3-9099-C40C66FF867C}">
                  <a14:compatExt spid="_x0000_s14359"/>
                </a:ext>
                <a:ext uri="{FF2B5EF4-FFF2-40B4-BE49-F238E27FC236}">
                  <a16:creationId xmlns:a16="http://schemas.microsoft.com/office/drawing/2014/main" id="{00000000-0008-0000-0800-00001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Sharp trailing edge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46896</xdr:colOff>
      <xdr:row>0</xdr:row>
      <xdr:rowOff>20515</xdr:rowOff>
    </xdr:from>
    <xdr:to>
      <xdr:col>0</xdr:col>
      <xdr:colOff>363419</xdr:colOff>
      <xdr:row>2</xdr:row>
      <xdr:rowOff>26375</xdr:rowOff>
    </xdr:to>
    <xdr:pic>
      <xdr:nvPicPr>
        <xdr:cNvPr id="3" name="Graphic 2" descr="Hamburger Menu Icon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46896" y="20515"/>
          <a:ext cx="316523" cy="316522"/>
        </a:xfrm>
        <a:prstGeom prst="rect">
          <a:avLst/>
        </a:prstGeom>
      </xdr:spPr>
    </xdr:pic>
    <xdr:clientData/>
  </xdr:twoCellAnchor>
  <xdr:twoCellAnchor editAs="oneCell">
    <xdr:from>
      <xdr:col>10</xdr:col>
      <xdr:colOff>200181</xdr:colOff>
      <xdr:row>7</xdr:row>
      <xdr:rowOff>215859</xdr:rowOff>
    </xdr:from>
    <xdr:to>
      <xdr:col>10</xdr:col>
      <xdr:colOff>1244181</xdr:colOff>
      <xdr:row>9</xdr:row>
      <xdr:rowOff>112259</xdr:rowOff>
    </xdr:to>
    <xdr:sp macro="" textlink="">
      <xdr:nvSpPr>
        <xdr:cNvPr id="5" name="Rectangle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7724931" y="1327109"/>
          <a:ext cx="1044000" cy="252000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 b="0" u="sng">
              <a:solidFill>
                <a:schemeClr val="tx1"/>
              </a:solidFill>
              <a:latin typeface="Segoe UI "/>
              <a:ea typeface="Calibri" panose="020F0502020204030204" pitchFamily="34" charset="0"/>
              <a:cs typeface="Calibri" panose="020F0502020204030204" pitchFamily="34" charset="0"/>
            </a:rPr>
            <a:t>Airfoil Coordinates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99060</xdr:colOff>
          <xdr:row>3</xdr:row>
          <xdr:rowOff>144780</xdr:rowOff>
        </xdr:from>
        <xdr:to>
          <xdr:col>12</xdr:col>
          <xdr:colOff>1264920</xdr:colOff>
          <xdr:row>5</xdr:row>
          <xdr:rowOff>15240</xdr:rowOff>
        </xdr:to>
        <xdr:sp macro="" textlink="">
          <xdr:nvSpPr>
            <xdr:cNvPr id="14360" name="Check Box 24" hidden="1">
              <a:extLst>
                <a:ext uri="{63B3BB69-23CF-44E3-9099-C40C66FF867C}">
                  <a14:compatExt spid="_x0000_s14360"/>
                </a:ext>
                <a:ext uri="{FF2B5EF4-FFF2-40B4-BE49-F238E27FC236}">
                  <a16:creationId xmlns:a16="http://schemas.microsoft.com/office/drawing/2014/main" id="{00000000-0008-0000-0800-00001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chord line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0</xdr:colOff>
      <xdr:row>13</xdr:row>
      <xdr:rowOff>0</xdr:rowOff>
    </xdr:from>
    <xdr:to>
      <xdr:col>14</xdr:col>
      <xdr:colOff>0</xdr:colOff>
      <xdr:row>45</xdr:row>
      <xdr:rowOff>61913</xdr:rowOff>
    </xdr:to>
    <xdr:graphicFrame macro="">
      <xdr:nvGraphicFramePr>
        <xdr:cNvPr id="4" name="naca4m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99060</xdr:colOff>
          <xdr:row>7</xdr:row>
          <xdr:rowOff>38100</xdr:rowOff>
        </xdr:from>
        <xdr:to>
          <xdr:col>4</xdr:col>
          <xdr:colOff>381000</xdr:colOff>
          <xdr:row>7</xdr:row>
          <xdr:rowOff>251460</xdr:rowOff>
        </xdr:to>
        <xdr:sp macro="" textlink="">
          <xdr:nvSpPr>
            <xdr:cNvPr id="14361" name="Check Box 25" hidden="1">
              <a:extLst>
                <a:ext uri="{63B3BB69-23CF-44E3-9099-C40C66FF867C}">
                  <a14:compatExt spid="_x0000_s14361"/>
                </a:ext>
                <a:ext uri="{FF2B5EF4-FFF2-40B4-BE49-F238E27FC236}">
                  <a16:creationId xmlns:a16="http://schemas.microsoft.com/office/drawing/2014/main" id="{00000000-0008-0000-0800-00001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coordinate system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</xdr:row>
      <xdr:rowOff>0</xdr:rowOff>
    </xdr:from>
    <xdr:to>
      <xdr:col>4</xdr:col>
      <xdr:colOff>542400</xdr:colOff>
      <xdr:row>2</xdr:row>
      <xdr:rowOff>97500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2362200" y="251460"/>
          <a:ext cx="1152000" cy="288000"/>
        </a:xfrm>
        <a:prstGeom prst="rect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0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 "/>
              <a:ea typeface="Calibri" panose="020F0502020204030204" pitchFamily="34" charset="0"/>
              <a:cs typeface="Calibri" panose="020F0502020204030204" pitchFamily="34" charset="0"/>
            </a:rPr>
            <a:t>Airfoil Geometry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60960</xdr:rowOff>
        </xdr:from>
        <xdr:to>
          <xdr:col>8</xdr:col>
          <xdr:colOff>144780</xdr:colOff>
          <xdr:row>12</xdr:row>
          <xdr:rowOff>0</xdr:rowOff>
        </xdr:to>
        <xdr:sp macro="" textlink="">
          <xdr:nvSpPr>
            <xdr:cNvPr id="18443" name="Spinner 11" hidden="1">
              <a:extLst>
                <a:ext uri="{63B3BB69-23CF-44E3-9099-C40C66FF867C}">
                  <a14:compatExt spid="_x0000_s18443"/>
                </a:ext>
                <a:ext uri="{FF2B5EF4-FFF2-40B4-BE49-F238E27FC236}">
                  <a16:creationId xmlns:a16="http://schemas.microsoft.com/office/drawing/2014/main" id="{00000000-0008-0000-0B00-00000B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8</xdr:col>
          <xdr:colOff>144780</xdr:colOff>
          <xdr:row>10</xdr:row>
          <xdr:rowOff>0</xdr:rowOff>
        </xdr:to>
        <xdr:sp macro="" textlink="">
          <xdr:nvSpPr>
            <xdr:cNvPr id="18444" name="Spinner 12" hidden="1">
              <a:extLst>
                <a:ext uri="{63B3BB69-23CF-44E3-9099-C40C66FF867C}">
                  <a14:compatExt spid="_x0000_s18444"/>
                </a:ext>
                <a:ext uri="{FF2B5EF4-FFF2-40B4-BE49-F238E27FC236}">
                  <a16:creationId xmlns:a16="http://schemas.microsoft.com/office/drawing/2014/main" id="{00000000-0008-0000-0B00-00000C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83820</xdr:rowOff>
        </xdr:from>
        <xdr:to>
          <xdr:col>8</xdr:col>
          <xdr:colOff>144780</xdr:colOff>
          <xdr:row>4</xdr:row>
          <xdr:rowOff>0</xdr:rowOff>
        </xdr:to>
        <xdr:sp macro="" textlink="">
          <xdr:nvSpPr>
            <xdr:cNvPr id="18445" name="Spinner 13" hidden="1">
              <a:extLst>
                <a:ext uri="{63B3BB69-23CF-44E3-9099-C40C66FF867C}">
                  <a14:compatExt spid="_x0000_s18445"/>
                </a:ext>
                <a:ext uri="{FF2B5EF4-FFF2-40B4-BE49-F238E27FC236}">
                  <a16:creationId xmlns:a16="http://schemas.microsoft.com/office/drawing/2014/main" id="{00000000-0008-0000-0B00-00000D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8</xdr:col>
          <xdr:colOff>144780</xdr:colOff>
          <xdr:row>5</xdr:row>
          <xdr:rowOff>289560</xdr:rowOff>
        </xdr:to>
        <xdr:sp macro="" textlink="">
          <xdr:nvSpPr>
            <xdr:cNvPr id="18446" name="Spinner 14" hidden="1">
              <a:extLst>
                <a:ext uri="{63B3BB69-23CF-44E3-9099-C40C66FF867C}">
                  <a14:compatExt spid="_x0000_s18446"/>
                </a:ext>
                <a:ext uri="{FF2B5EF4-FFF2-40B4-BE49-F238E27FC236}">
                  <a16:creationId xmlns:a16="http://schemas.microsoft.com/office/drawing/2014/main" id="{00000000-0008-0000-0B00-00000E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8</xdr:col>
          <xdr:colOff>144780</xdr:colOff>
          <xdr:row>7</xdr:row>
          <xdr:rowOff>289560</xdr:rowOff>
        </xdr:to>
        <xdr:sp macro="" textlink="">
          <xdr:nvSpPr>
            <xdr:cNvPr id="18447" name="Spinner 15" hidden="1">
              <a:extLst>
                <a:ext uri="{63B3BB69-23CF-44E3-9099-C40C66FF867C}">
                  <a14:compatExt spid="_x0000_s18447"/>
                </a:ext>
                <a:ext uri="{FF2B5EF4-FFF2-40B4-BE49-F238E27FC236}">
                  <a16:creationId xmlns:a16="http://schemas.microsoft.com/office/drawing/2014/main" id="{00000000-0008-0000-0B00-00000F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83820</xdr:colOff>
          <xdr:row>4</xdr:row>
          <xdr:rowOff>53340</xdr:rowOff>
        </xdr:from>
        <xdr:to>
          <xdr:col>12</xdr:col>
          <xdr:colOff>1493520</xdr:colOff>
          <xdr:row>6</xdr:row>
          <xdr:rowOff>38100</xdr:rowOff>
        </xdr:to>
        <xdr:sp macro="" textlink="">
          <xdr:nvSpPr>
            <xdr:cNvPr id="18449" name="Check Box 17" hidden="1">
              <a:extLst>
                <a:ext uri="{63B3BB69-23CF-44E3-9099-C40C66FF867C}">
                  <a14:compatExt spid="_x0000_s18449"/>
                </a:ext>
                <a:ext uri="{FF2B5EF4-FFF2-40B4-BE49-F238E27FC236}">
                  <a16:creationId xmlns:a16="http://schemas.microsoft.com/office/drawing/2014/main" id="{00000000-0008-0000-0B00-00001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mean line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83820</xdr:colOff>
          <xdr:row>5</xdr:row>
          <xdr:rowOff>274320</xdr:rowOff>
        </xdr:from>
        <xdr:to>
          <xdr:col>13</xdr:col>
          <xdr:colOff>0</xdr:colOff>
          <xdr:row>7</xdr:row>
          <xdr:rowOff>266700</xdr:rowOff>
        </xdr:to>
        <xdr:sp macro="" textlink="">
          <xdr:nvSpPr>
            <xdr:cNvPr id="18450" name="Check Box 18" hidden="1">
              <a:extLst>
                <a:ext uri="{63B3BB69-23CF-44E3-9099-C40C66FF867C}">
                  <a14:compatExt spid="_x0000_s18450"/>
                </a:ext>
                <a:ext uri="{FF2B5EF4-FFF2-40B4-BE49-F238E27FC236}">
                  <a16:creationId xmlns:a16="http://schemas.microsoft.com/office/drawing/2014/main" id="{00000000-0008-0000-0B00-00001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leading-edge radius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83820</xdr:colOff>
          <xdr:row>7</xdr:row>
          <xdr:rowOff>220980</xdr:rowOff>
        </xdr:from>
        <xdr:to>
          <xdr:col>12</xdr:col>
          <xdr:colOff>1554480</xdr:colOff>
          <xdr:row>9</xdr:row>
          <xdr:rowOff>198120</xdr:rowOff>
        </xdr:to>
        <xdr:sp macro="" textlink="">
          <xdr:nvSpPr>
            <xdr:cNvPr id="18451" name="Check Box 19" hidden="1">
              <a:extLst>
                <a:ext uri="{63B3BB69-23CF-44E3-9099-C40C66FF867C}">
                  <a14:compatExt spid="_x0000_s18451"/>
                </a:ext>
                <a:ext uri="{FF2B5EF4-FFF2-40B4-BE49-F238E27FC236}">
                  <a16:creationId xmlns:a16="http://schemas.microsoft.com/office/drawing/2014/main" id="{00000000-0008-0000-0B00-00001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Sharp trailing edge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64478</xdr:colOff>
      <xdr:row>0</xdr:row>
      <xdr:rowOff>20027</xdr:rowOff>
    </xdr:from>
    <xdr:to>
      <xdr:col>0</xdr:col>
      <xdr:colOff>381001</xdr:colOff>
      <xdr:row>2</xdr:row>
      <xdr:rowOff>25887</xdr:rowOff>
    </xdr:to>
    <xdr:pic>
      <xdr:nvPicPr>
        <xdr:cNvPr id="2" name="Graphic 1" descr="Hamburger Menu Icon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4478" y="20027"/>
          <a:ext cx="316523" cy="316522"/>
        </a:xfrm>
        <a:prstGeom prst="rect">
          <a:avLst/>
        </a:prstGeom>
      </xdr:spPr>
    </xdr:pic>
    <xdr:clientData/>
  </xdr:twoCellAnchor>
  <xdr:twoCellAnchor editAs="oneCell">
    <xdr:from>
      <xdr:col>10</xdr:col>
      <xdr:colOff>205039</xdr:colOff>
      <xdr:row>7</xdr:row>
      <xdr:rowOff>208975</xdr:rowOff>
    </xdr:from>
    <xdr:to>
      <xdr:col>10</xdr:col>
      <xdr:colOff>1249039</xdr:colOff>
      <xdr:row>9</xdr:row>
      <xdr:rowOff>105375</xdr:rowOff>
    </xdr:to>
    <xdr:sp macro="" textlink="">
      <xdr:nvSpPr>
        <xdr:cNvPr id="5" name="Rectangle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7729789" y="1320225"/>
          <a:ext cx="1044000" cy="252000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 b="0" u="sng">
              <a:solidFill>
                <a:schemeClr val="tx1"/>
              </a:solidFill>
              <a:latin typeface="Segoe UI "/>
              <a:ea typeface="Calibri" panose="020F0502020204030204" pitchFamily="34" charset="0"/>
              <a:cs typeface="Calibri" panose="020F0502020204030204" pitchFamily="34" charset="0"/>
            </a:rPr>
            <a:t>Airfoil Coordinates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83820</xdr:colOff>
          <xdr:row>3</xdr:row>
          <xdr:rowOff>129540</xdr:rowOff>
        </xdr:from>
        <xdr:to>
          <xdr:col>12</xdr:col>
          <xdr:colOff>1226820</xdr:colOff>
          <xdr:row>5</xdr:row>
          <xdr:rowOff>0</xdr:rowOff>
        </xdr:to>
        <xdr:sp macro="" textlink="">
          <xdr:nvSpPr>
            <xdr:cNvPr id="18452" name="Check Box 20" hidden="1">
              <a:extLst>
                <a:ext uri="{63B3BB69-23CF-44E3-9099-C40C66FF867C}">
                  <a14:compatExt spid="_x0000_s18452"/>
                </a:ext>
                <a:ext uri="{FF2B5EF4-FFF2-40B4-BE49-F238E27FC236}">
                  <a16:creationId xmlns:a16="http://schemas.microsoft.com/office/drawing/2014/main" id="{00000000-0008-0000-0B00-00001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chord line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0</xdr:colOff>
      <xdr:row>12</xdr:row>
      <xdr:rowOff>59870</xdr:rowOff>
    </xdr:from>
    <xdr:to>
      <xdr:col>13</xdr:col>
      <xdr:colOff>59871</xdr:colOff>
      <xdr:row>45</xdr:row>
      <xdr:rowOff>40821</xdr:rowOff>
    </xdr:to>
    <xdr:graphicFrame macro="">
      <xdr:nvGraphicFramePr>
        <xdr:cNvPr id="3" name="naca5m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83820</xdr:colOff>
          <xdr:row>7</xdr:row>
          <xdr:rowOff>30480</xdr:rowOff>
        </xdr:from>
        <xdr:to>
          <xdr:col>4</xdr:col>
          <xdr:colOff>365760</xdr:colOff>
          <xdr:row>7</xdr:row>
          <xdr:rowOff>251460</xdr:rowOff>
        </xdr:to>
        <xdr:sp macro="" textlink="">
          <xdr:nvSpPr>
            <xdr:cNvPr id="18453" name="Check Box 21" hidden="1">
              <a:extLst>
                <a:ext uri="{63B3BB69-23CF-44E3-9099-C40C66FF867C}">
                  <a14:compatExt spid="_x0000_s18453"/>
                </a:ext>
                <a:ext uri="{FF2B5EF4-FFF2-40B4-BE49-F238E27FC236}">
                  <a16:creationId xmlns:a16="http://schemas.microsoft.com/office/drawing/2014/main" id="{00000000-0008-0000-0B00-00001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coordinate system</a:t>
              </a:r>
            </a:p>
          </xdr:txBody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4</xdr:col>
      <xdr:colOff>542400</xdr:colOff>
      <xdr:row>2</xdr:row>
      <xdr:rowOff>105120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2362200" y="251460"/>
          <a:ext cx="1152000" cy="288000"/>
        </a:xfrm>
        <a:prstGeom prst="rect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0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 "/>
              <a:ea typeface="Calibri" panose="020F0502020204030204" pitchFamily="34" charset="0"/>
              <a:cs typeface="Calibri" panose="020F0502020204030204" pitchFamily="34" charset="0"/>
            </a:rPr>
            <a:t>Airfoil Geometry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8</xdr:col>
          <xdr:colOff>144780</xdr:colOff>
          <xdr:row>6</xdr:row>
          <xdr:rowOff>0</xdr:rowOff>
        </xdr:to>
        <xdr:sp macro="" textlink="">
          <xdr:nvSpPr>
            <xdr:cNvPr id="24577" name="Spinner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E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1287780</xdr:colOff>
          <xdr:row>3</xdr:row>
          <xdr:rowOff>0</xdr:rowOff>
        </xdr:from>
        <xdr:to>
          <xdr:col>8</xdr:col>
          <xdr:colOff>144780</xdr:colOff>
          <xdr:row>4</xdr:row>
          <xdr:rowOff>0</xdr:rowOff>
        </xdr:to>
        <xdr:sp macro="" textlink="">
          <xdr:nvSpPr>
            <xdr:cNvPr id="24578" name="Spinner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E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99060</xdr:colOff>
          <xdr:row>4</xdr:row>
          <xdr:rowOff>60960</xdr:rowOff>
        </xdr:from>
        <xdr:to>
          <xdr:col>12</xdr:col>
          <xdr:colOff>1470660</xdr:colOff>
          <xdr:row>5</xdr:row>
          <xdr:rowOff>274320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E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mean line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99060</xdr:colOff>
          <xdr:row>5</xdr:row>
          <xdr:rowOff>266700</xdr:rowOff>
        </xdr:from>
        <xdr:to>
          <xdr:col>12</xdr:col>
          <xdr:colOff>1417320</xdr:colOff>
          <xdr:row>7</xdr:row>
          <xdr:rowOff>190500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E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leading-edge radius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99060</xdr:colOff>
          <xdr:row>7</xdr:row>
          <xdr:rowOff>190500</xdr:rowOff>
        </xdr:from>
        <xdr:to>
          <xdr:col>12</xdr:col>
          <xdr:colOff>1417320</xdr:colOff>
          <xdr:row>8</xdr:row>
          <xdr:rowOff>152400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E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Sharp trailing edge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64967</xdr:colOff>
      <xdr:row>0</xdr:row>
      <xdr:rowOff>23449</xdr:rowOff>
    </xdr:from>
    <xdr:to>
      <xdr:col>0</xdr:col>
      <xdr:colOff>381490</xdr:colOff>
      <xdr:row>2</xdr:row>
      <xdr:rowOff>24425</xdr:rowOff>
    </xdr:to>
    <xdr:pic>
      <xdr:nvPicPr>
        <xdr:cNvPr id="3" name="Graphic 2" descr="Hamburger Menu Icon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4967" y="23449"/>
          <a:ext cx="316523" cy="311638"/>
        </a:xfrm>
        <a:prstGeom prst="rect">
          <a:avLst/>
        </a:prstGeom>
      </xdr:spPr>
    </xdr:pic>
    <xdr:clientData/>
  </xdr:twoCellAnchor>
  <xdr:twoCellAnchor>
    <xdr:from>
      <xdr:col>10</xdr:col>
      <xdr:colOff>210103</xdr:colOff>
      <xdr:row>7</xdr:row>
      <xdr:rowOff>203688</xdr:rowOff>
    </xdr:from>
    <xdr:to>
      <xdr:col>10</xdr:col>
      <xdr:colOff>1254103</xdr:colOff>
      <xdr:row>8</xdr:row>
      <xdr:rowOff>145026</xdr:rowOff>
    </xdr:to>
    <xdr:sp macro="" textlink="">
      <xdr:nvSpPr>
        <xdr:cNvPr id="5" name="Rectangle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7468153" y="1314938"/>
          <a:ext cx="1044000" cy="252488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 b="0" u="sng">
              <a:solidFill>
                <a:schemeClr val="tx1"/>
              </a:solidFill>
              <a:latin typeface="Segoe UI "/>
              <a:ea typeface="Calibri" panose="020F0502020204030204" pitchFamily="34" charset="0"/>
              <a:cs typeface="Calibri" panose="020F0502020204030204" pitchFamily="34" charset="0"/>
            </a:rPr>
            <a:t>Airfoil Coordinates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99060</xdr:colOff>
          <xdr:row>3</xdr:row>
          <xdr:rowOff>121920</xdr:rowOff>
        </xdr:from>
        <xdr:to>
          <xdr:col>12</xdr:col>
          <xdr:colOff>1234440</xdr:colOff>
          <xdr:row>4</xdr:row>
          <xdr:rowOff>53340</xdr:rowOff>
        </xdr:to>
        <xdr:sp macro="" textlink="">
          <xdr:nvSpPr>
            <xdr:cNvPr id="24583" name="Check Box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E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chord line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0</xdr:colOff>
      <xdr:row>10</xdr:row>
      <xdr:rowOff>0</xdr:rowOff>
    </xdr:from>
    <xdr:to>
      <xdr:col>14</xdr:col>
      <xdr:colOff>0</xdr:colOff>
      <xdr:row>41</xdr:row>
      <xdr:rowOff>85344</xdr:rowOff>
    </xdr:to>
    <xdr:graphicFrame macro="">
      <xdr:nvGraphicFramePr>
        <xdr:cNvPr id="4" name="naca16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99060</xdr:colOff>
          <xdr:row>7</xdr:row>
          <xdr:rowOff>22860</xdr:rowOff>
        </xdr:from>
        <xdr:to>
          <xdr:col>4</xdr:col>
          <xdr:colOff>381000</xdr:colOff>
          <xdr:row>7</xdr:row>
          <xdr:rowOff>289560</xdr:rowOff>
        </xdr:to>
        <xdr:sp macro="" textlink="">
          <xdr:nvSpPr>
            <xdr:cNvPr id="24584" name="Check Box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E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coordinate system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</xdr:row>
      <xdr:rowOff>0</xdr:rowOff>
    </xdr:from>
    <xdr:to>
      <xdr:col>4</xdr:col>
      <xdr:colOff>542400</xdr:colOff>
      <xdr:row>2</xdr:row>
      <xdr:rowOff>97500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362200" y="251460"/>
          <a:ext cx="1152000" cy="288000"/>
        </a:xfrm>
        <a:prstGeom prst="rect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0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 "/>
              <a:ea typeface="Calibri" panose="020F0502020204030204" pitchFamily="34" charset="0"/>
              <a:cs typeface="Calibri" panose="020F0502020204030204" pitchFamily="34" charset="0"/>
            </a:rPr>
            <a:t>Airfoil Geometry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10</xdr:row>
      <xdr:rowOff>2472</xdr:rowOff>
    </xdr:from>
    <xdr:to>
      <xdr:col>15</xdr:col>
      <xdr:colOff>3427</xdr:colOff>
      <xdr:row>41</xdr:row>
      <xdr:rowOff>68035</xdr:rowOff>
    </xdr:to>
    <xdr:graphicFrame macro="">
      <xdr:nvGraphicFramePr>
        <xdr:cNvPr id="2" name="naca6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129540</xdr:colOff>
          <xdr:row>3</xdr:row>
          <xdr:rowOff>99060</xdr:rowOff>
        </xdr:from>
        <xdr:to>
          <xdr:col>13</xdr:col>
          <xdr:colOff>1165860</xdr:colOff>
          <xdr:row>4</xdr:row>
          <xdr:rowOff>30480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1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chord line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129540</xdr:colOff>
          <xdr:row>4</xdr:row>
          <xdr:rowOff>45720</xdr:rowOff>
        </xdr:from>
        <xdr:to>
          <xdr:col>13</xdr:col>
          <xdr:colOff>1173480</xdr:colOff>
          <xdr:row>5</xdr:row>
          <xdr:rowOff>198120</xdr:rowOff>
        </xdr:to>
        <xdr:sp macro="" textlink="">
          <xdr:nvSpPr>
            <xdr:cNvPr id="26631" name="Check Box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11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mean line</a:t>
              </a:r>
            </a:p>
          </xdr:txBody>
        </xdr:sp>
        <xdr:clientData/>
      </xdr:twoCellAnchor>
    </mc:Choice>
    <mc:Fallback/>
  </mc:AlternateContent>
  <xdr:twoCellAnchor editAs="oneCell">
    <xdr:from>
      <xdr:col>11</xdr:col>
      <xdr:colOff>208087</xdr:colOff>
      <xdr:row>7</xdr:row>
      <xdr:rowOff>187562</xdr:rowOff>
    </xdr:from>
    <xdr:to>
      <xdr:col>11</xdr:col>
      <xdr:colOff>1252087</xdr:colOff>
      <xdr:row>8</xdr:row>
      <xdr:rowOff>147462</xdr:rowOff>
    </xdr:to>
    <xdr:sp macro="" textlink="">
      <xdr:nvSpPr>
        <xdr:cNvPr id="8" name="Rectangle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SpPr/>
      </xdr:nvSpPr>
      <xdr:spPr>
        <a:xfrm>
          <a:off x="8132887" y="1298812"/>
          <a:ext cx="1044000" cy="252000"/>
        </a:xfrm>
        <a:prstGeom prst="rect">
          <a:avLst/>
        </a:prstGeom>
        <a:solidFill>
          <a:schemeClr val="bg1"/>
        </a:solidFill>
        <a:ln w="6350" cap="flat" cmpd="sng" algn="ctr">
          <a:solidFill>
            <a:sysClr val="windowText" lastClr="000000"/>
          </a:solidFill>
          <a:prstDash val="solid"/>
          <a:miter lim="800000"/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8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 "/>
              <a:ea typeface="Calibri" panose="020F0502020204030204" pitchFamily="34" charset="0"/>
              <a:cs typeface="Calibri" panose="020F0502020204030204" pitchFamily="34" charset="0"/>
            </a:rPr>
            <a:t>Airfoil Coordinates</a:t>
          </a:r>
        </a:p>
      </xdr:txBody>
    </xdr:sp>
    <xdr:clientData fPrintsWithSheet="0"/>
  </xdr:twoCellAnchor>
  <xdr:twoCellAnchor editAs="oneCell">
    <xdr:from>
      <xdr:col>0</xdr:col>
      <xdr:colOff>58615</xdr:colOff>
      <xdr:row>0</xdr:row>
      <xdr:rowOff>23444</xdr:rowOff>
    </xdr:from>
    <xdr:to>
      <xdr:col>0</xdr:col>
      <xdr:colOff>375138</xdr:colOff>
      <xdr:row>2</xdr:row>
      <xdr:rowOff>24420</xdr:rowOff>
    </xdr:to>
    <xdr:pic>
      <xdr:nvPicPr>
        <xdr:cNvPr id="4" name="Graphic 3" descr="Hamburger Menu Icon with solid fill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58615" y="23444"/>
          <a:ext cx="316523" cy="31163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0</xdr:rowOff>
        </xdr:from>
        <xdr:to>
          <xdr:col>9</xdr:col>
          <xdr:colOff>144780</xdr:colOff>
          <xdr:row>4</xdr:row>
          <xdr:rowOff>0</xdr:rowOff>
        </xdr:to>
        <xdr:sp macro="" textlink="">
          <xdr:nvSpPr>
            <xdr:cNvPr id="26637" name="Spinner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11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5</xdr:row>
          <xdr:rowOff>0</xdr:rowOff>
        </xdr:from>
        <xdr:to>
          <xdr:col>9</xdr:col>
          <xdr:colOff>144780</xdr:colOff>
          <xdr:row>6</xdr:row>
          <xdr:rowOff>0</xdr:rowOff>
        </xdr:to>
        <xdr:sp macro="" textlink="">
          <xdr:nvSpPr>
            <xdr:cNvPr id="26638" name="Spinner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11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7</xdr:row>
          <xdr:rowOff>0</xdr:rowOff>
        </xdr:from>
        <xdr:to>
          <xdr:col>9</xdr:col>
          <xdr:colOff>144780</xdr:colOff>
          <xdr:row>7</xdr:row>
          <xdr:rowOff>289560</xdr:rowOff>
        </xdr:to>
        <xdr:sp macro="" textlink="">
          <xdr:nvSpPr>
            <xdr:cNvPr id="26640" name="Spinner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11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38100</xdr:rowOff>
        </xdr:from>
        <xdr:to>
          <xdr:col>4</xdr:col>
          <xdr:colOff>373380</xdr:colOff>
          <xdr:row>7</xdr:row>
          <xdr:rowOff>251460</xdr:rowOff>
        </xdr:to>
        <xdr:sp macro="" textlink="">
          <xdr:nvSpPr>
            <xdr:cNvPr id="26641" name="Check Box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11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coordinate system</a:t>
              </a:r>
            </a:p>
          </xdr:txBody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4</xdr:col>
      <xdr:colOff>542400</xdr:colOff>
      <xdr:row>2</xdr:row>
      <xdr:rowOff>105120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225040" y="228600"/>
          <a:ext cx="1152000" cy="288000"/>
        </a:xfrm>
        <a:prstGeom prst="rect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0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 "/>
              <a:ea typeface="Calibri" panose="020F0502020204030204" pitchFamily="34" charset="0"/>
              <a:cs typeface="Calibri" panose="020F0502020204030204" pitchFamily="34" charset="0"/>
            </a:rPr>
            <a:t>Airfoil Geometry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13" Type="http://schemas.openxmlformats.org/officeDocument/2006/relationships/ctrlProp" Target="../ctrlProps/ctrlProp24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8.xml"/><Relationship Id="rId12" Type="http://schemas.openxmlformats.org/officeDocument/2006/relationships/ctrlProp" Target="../ctrlProps/ctrlProp2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13" Type="http://schemas.openxmlformats.org/officeDocument/2006/relationships/ctrlProp" Target="../ctrlProps/ctrlProp34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8.xml"/><Relationship Id="rId12" Type="http://schemas.openxmlformats.org/officeDocument/2006/relationships/ctrlProp" Target="../ctrlProps/ctrlProp33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7.xml"/><Relationship Id="rId11" Type="http://schemas.openxmlformats.org/officeDocument/2006/relationships/ctrlProp" Target="../ctrlProps/ctrlProp32.xml"/><Relationship Id="rId5" Type="http://schemas.openxmlformats.org/officeDocument/2006/relationships/ctrlProp" Target="../ctrlProps/ctrlProp26.xml"/><Relationship Id="rId10" Type="http://schemas.openxmlformats.org/officeDocument/2006/relationships/ctrlProp" Target="../ctrlProps/ctrlProp31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3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10" Type="http://schemas.openxmlformats.org/officeDocument/2006/relationships/ctrlProp" Target="../ctrlProps/ctrlProp41.xml"/><Relationship Id="rId4" Type="http://schemas.openxmlformats.org/officeDocument/2006/relationships/ctrlProp" Target="../ctrlProps/ctrlProp35.xml"/><Relationship Id="rId9" Type="http://schemas.openxmlformats.org/officeDocument/2006/relationships/ctrlProp" Target="../ctrlProps/ctrlProp40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4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768CE-FCC4-43EA-AF02-AD8DE5C03935}">
  <sheetPr codeName="Sheet4">
    <tabColor rgb="FFFF9B9B"/>
  </sheetPr>
  <dimension ref="E1:E46"/>
  <sheetViews>
    <sheetView showGridLines="0" showRowColHeaders="0" tabSelected="1" zoomScale="110" zoomScaleNormal="110" workbookViewId="0">
      <selection activeCell="Q26" sqref="Q26"/>
    </sheetView>
  </sheetViews>
  <sheetFormatPr defaultRowHeight="14.4" x14ac:dyDescent="0.3"/>
  <sheetData>
    <row r="1" spans="5:5" s="84" customFormat="1" x14ac:dyDescent="0.3"/>
    <row r="2" spans="5:5" s="84" customFormat="1" x14ac:dyDescent="0.3"/>
    <row r="3" spans="5:5" s="84" customFormat="1" x14ac:dyDescent="0.3"/>
    <row r="4" spans="5:5" s="84" customFormat="1" x14ac:dyDescent="0.3"/>
    <row r="5" spans="5:5" s="84" customFormat="1" x14ac:dyDescent="0.3"/>
    <row r="6" spans="5:5" s="84" customFormat="1" x14ac:dyDescent="0.3"/>
    <row r="7" spans="5:5" s="85" customFormat="1" x14ac:dyDescent="0.3"/>
    <row r="8" spans="5:5" s="85" customFormat="1" x14ac:dyDescent="0.3"/>
    <row r="9" spans="5:5" s="86" customFormat="1" x14ac:dyDescent="0.3"/>
    <row r="10" spans="5:5" s="86" customFormat="1" x14ac:dyDescent="0.3"/>
    <row r="11" spans="5:5" s="86" customFormat="1" x14ac:dyDescent="0.3"/>
    <row r="12" spans="5:5" s="86" customFormat="1" x14ac:dyDescent="0.3">
      <c r="E12" s="86" t="s">
        <v>17</v>
      </c>
    </row>
    <row r="13" spans="5:5" s="86" customFormat="1" x14ac:dyDescent="0.3"/>
    <row r="14" spans="5:5" s="86" customFormat="1" x14ac:dyDescent="0.3"/>
    <row r="15" spans="5:5" s="86" customFormat="1" x14ac:dyDescent="0.3"/>
    <row r="16" spans="5:5" s="86" customFormat="1" x14ac:dyDescent="0.3"/>
    <row r="17" s="86" customFormat="1" x14ac:dyDescent="0.3"/>
    <row r="18" s="86" customFormat="1" x14ac:dyDescent="0.3"/>
    <row r="19" s="86" customFormat="1" x14ac:dyDescent="0.3"/>
    <row r="20" s="86" customFormat="1" x14ac:dyDescent="0.3"/>
    <row r="21" s="86" customFormat="1" x14ac:dyDescent="0.3"/>
    <row r="22" s="86" customFormat="1" x14ac:dyDescent="0.3"/>
    <row r="23" s="86" customFormat="1" x14ac:dyDescent="0.3"/>
    <row r="24" s="86" customFormat="1" x14ac:dyDescent="0.3"/>
    <row r="25" s="86" customFormat="1" x14ac:dyDescent="0.3"/>
    <row r="26" s="86" customFormat="1" x14ac:dyDescent="0.3"/>
    <row r="27" s="86" customFormat="1" x14ac:dyDescent="0.3"/>
    <row r="28" s="86" customFormat="1" x14ac:dyDescent="0.3"/>
    <row r="29" s="86" customFormat="1" x14ac:dyDescent="0.3"/>
    <row r="30" s="86" customFormat="1" x14ac:dyDescent="0.3"/>
    <row r="31" s="86" customFormat="1" x14ac:dyDescent="0.3"/>
    <row r="32" s="86" customFormat="1" x14ac:dyDescent="0.3"/>
    <row r="33" s="86" customFormat="1" x14ac:dyDescent="0.3"/>
    <row r="34" s="86" customFormat="1" x14ac:dyDescent="0.3"/>
    <row r="35" s="86" customFormat="1" x14ac:dyDescent="0.3"/>
    <row r="36" s="86" customFormat="1" x14ac:dyDescent="0.3"/>
    <row r="37" s="86" customFormat="1" x14ac:dyDescent="0.3"/>
    <row r="38" s="86" customFormat="1" x14ac:dyDescent="0.3"/>
    <row r="39" s="86" customFormat="1" x14ac:dyDescent="0.3"/>
    <row r="40" s="86" customFormat="1" x14ac:dyDescent="0.3"/>
    <row r="41" s="86" customFormat="1" x14ac:dyDescent="0.3"/>
    <row r="42" s="86" customFormat="1" x14ac:dyDescent="0.3"/>
    <row r="43" s="86" customFormat="1" x14ac:dyDescent="0.3"/>
    <row r="44" s="86" customFormat="1" x14ac:dyDescent="0.3"/>
    <row r="45" s="86" customFormat="1" x14ac:dyDescent="0.3"/>
    <row r="46" s="86" customFormat="1" x14ac:dyDescent="0.3"/>
  </sheetData>
  <sheetProtection algorithmName="SHA-512" hashValue="ggbC7GZM+GD5Dd+2l5fqWs/Khrgu/mvLEXt+WZBJAlu16brBziftFp0Tc17HdFt0IMDZGVti/uPZKWCVEaOHOw==" saltValue="vgq/tuRrqbB0YcfRAeT9/A==" spinCount="100000" sheet="1" objects="1" scenarios="1" selectLockedCells="1" selectUnlockedCells="1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1A913-5FAC-48F1-9E6F-B0A917079643}">
  <sheetPr codeName="Sheet1">
    <tabColor theme="9" tint="0.79998168889431442"/>
  </sheetPr>
  <dimension ref="A1:AD500"/>
  <sheetViews>
    <sheetView topLeftCell="C1" zoomScale="77" zoomScaleNormal="130" workbookViewId="0">
      <selection activeCell="T5" sqref="T5"/>
    </sheetView>
  </sheetViews>
  <sheetFormatPr defaultRowHeight="14.4" x14ac:dyDescent="0.3"/>
  <cols>
    <col min="1" max="1" width="10.77734375" style="3" customWidth="1"/>
    <col min="2" max="3" width="9.88671875" style="2" customWidth="1"/>
    <col min="4" max="4" width="10.109375" style="2" customWidth="1"/>
    <col min="5" max="5" width="9.88671875" style="2" customWidth="1"/>
    <col min="6" max="6" width="10.21875" style="2" customWidth="1"/>
    <col min="7" max="7" width="10.109375" style="2" customWidth="1"/>
    <col min="8" max="8" width="9.6640625" style="2" customWidth="1"/>
    <col min="9" max="9" width="9" style="2" bestFit="1" customWidth="1"/>
    <col min="10" max="15" width="10.77734375" style="7" customWidth="1"/>
    <col min="16" max="16" width="8.77734375" style="4" customWidth="1"/>
    <col min="17" max="17" width="11.33203125" style="7" customWidth="1"/>
    <col min="18" max="18" width="12.44140625" style="3" customWidth="1"/>
    <col min="19" max="19" width="8.88671875" style="13"/>
    <col min="20" max="21" width="8.88671875" style="3"/>
    <col min="22" max="24" width="8.88671875" style="4"/>
    <col min="25" max="26" width="8.88671875" style="3"/>
    <col min="27" max="30" width="8.88671875" style="4"/>
    <col min="31" max="16384" width="8.88671875" style="3"/>
  </cols>
  <sheetData>
    <row r="1" spans="1:24" x14ac:dyDescent="0.3">
      <c r="A1" s="8">
        <v>2</v>
      </c>
      <c r="B1" s="2" cm="1">
        <f t="array" ref="B1:B51">0.5*(1-COS((_xlfn.SEQUENCE(51,1,50,-1)*PI())/50))</f>
        <v>1</v>
      </c>
      <c r="C1" s="2">
        <f>IF($A$12=$A$13, 0, IF(B1&lt;=$A$6, ($A$5/$A$6^2)*(2*$A$6*B1-B1^2), ($A$5/(1-$A$6)^2)*((1-2*$A$6)+2*$A$6*B1-B1^2)))</f>
        <v>0</v>
      </c>
      <c r="D1" s="2">
        <f>IF($T$4, 5*$A$7*(0.298*SQRT(B1)-0.132*B1-0.3287*B1^2+0.2442*B1^3-0.0815*B1^4), 5*$A$7*(0.2969*SQRT(B1)-0.126*B1-0.3516*B1^2+0.2843*B1^3-0.1015*B1^4))</f>
        <v>1.2599999999999777E-3</v>
      </c>
      <c r="E1" s="2">
        <f>IF($A$12=$A$13, 0, IF(B1&lt;=$A$6, ($A$5/$A$6^2) *(2*$A$6-2*B1), ($A$5/(1-$A$6)^2)*(2*$A$6-2*B1)))</f>
        <v>-6.6666666666666666E-2</v>
      </c>
      <c r="F1" s="2">
        <f>IF($A$12=$A$13, 0,  ATAN(E1))</f>
        <v>-6.6568163775823808E-2</v>
      </c>
      <c r="G1" s="2">
        <v>1</v>
      </c>
      <c r="H1" s="2">
        <v>0</v>
      </c>
      <c r="J1" s="7">
        <f t="shared" ref="J1:J32" si="0">B1*COS($A$9)</f>
        <v>1</v>
      </c>
      <c r="K1" s="7">
        <f t="shared" ref="K1:K32" si="1">-B1*SIN($A$9)</f>
        <v>0</v>
      </c>
      <c r="L1" s="7">
        <f t="shared" ref="L1:L32" si="2">B1*COS($A$9)+C1*SIN($A$9)</f>
        <v>1</v>
      </c>
      <c r="M1" s="7">
        <f t="shared" ref="M1:M32" si="3">-B1*SIN($A$9)+C1*COS($A$9)</f>
        <v>0</v>
      </c>
      <c r="N1" s="7">
        <f t="shared" ref="N1:N32" si="4">G1*COS($A$9)+H1*SIN($A$9)</f>
        <v>1</v>
      </c>
      <c r="O1" s="7">
        <f t="shared" ref="O1:O32" si="5">-G1*SIN($A$9)+H1*COS($A$9)</f>
        <v>0</v>
      </c>
      <c r="Q1" s="7">
        <f t="shared" ref="Q1:Q32" si="6">IF($T$1, K1, -1)</f>
        <v>-1</v>
      </c>
      <c r="R1" s="10">
        <f t="shared" ref="R1:R32" si="7">IF($T$2,  M1, -1)</f>
        <v>-1</v>
      </c>
      <c r="T1" s="12" t="b">
        <v>0</v>
      </c>
      <c r="U1" s="2">
        <f>$F$52-A9</f>
        <v>9.966865249116201E-2</v>
      </c>
      <c r="V1" s="4" cm="1">
        <f t="array" ref="V1:V51">_xlfn.SEQUENCE(51, 1, 0, (2*PI())/50)</f>
        <v>0</v>
      </c>
      <c r="W1" s="4">
        <f t="shared" ref="W1:W32" si="8">$U$2*(COS($U$1)+COS(V1))</f>
        <v>3.165511504545114E-2</v>
      </c>
      <c r="X1" s="4">
        <f t="shared" ref="X1:X32" si="9">IF($T$3, $U$2*(SIN($U$1)+SIN(V1)), -1)</f>
        <v>-1</v>
      </c>
    </row>
    <row r="2" spans="1:24" x14ac:dyDescent="0.3">
      <c r="A2" s="8">
        <v>4</v>
      </c>
      <c r="B2" s="2">
        <v>0.99901336421413578</v>
      </c>
      <c r="C2" s="2">
        <f t="shared" ref="C2:C65" si="10">IF($A$12=$A$13, 0, IF(B2&lt;=$A$6, ($A$5/$A$6^2)*(2*$A$6*B2-B2^2), ($A$5/(1-$A$6)^2)*((1-2*$A$6)+2*$A$6*B2-B2^2)))</f>
        <v>6.5721638492394823E-5</v>
      </c>
      <c r="D2" s="2">
        <f t="shared" ref="D2:D65" si="11">IF($T$4, 5*$A$7*(0.298*SQRT(B2)-0.132*B2-0.3287*B2^2+0.2442*B2^3-0.0815*B2^4), 5*$A$7*(0.2969*SQRT(B2)-0.126*B2-0.3516*B2^2+0.2843*B2^3-0.1015*B2^4))</f>
        <v>1.3983503458363576E-3</v>
      </c>
      <c r="E2" s="2">
        <f t="shared" ref="E2:E65" si="12">IF($A$12=$A$13, 0, IF(B2&lt;=$A$6, ($A$5/$A$6^2) *(2*$A$6-2*B2), ($A$5/(1-$A$6)^2)*(2*$A$6-2*B2)))</f>
        <v>-6.6557040468237308E-2</v>
      </c>
      <c r="F2" s="2">
        <f t="shared" ref="F2:F65" si="13">IF($A$12=$A$13, 0,  ATAN(E2))</f>
        <v>-6.6459021855377456E-2</v>
      </c>
      <c r="G2" s="2">
        <f t="shared" ref="G2:G51" si="14">B2-D2*SIN(F2)</f>
        <v>0.99910622881433664</v>
      </c>
      <c r="H2" s="2">
        <f t="shared" ref="H2:H51" si="15">C2+D2*COS(F2)</f>
        <v>1.4609850027825157E-3</v>
      </c>
      <c r="J2" s="7">
        <f t="shared" si="0"/>
        <v>0.99901336421413578</v>
      </c>
      <c r="K2" s="7">
        <f t="shared" si="1"/>
        <v>0</v>
      </c>
      <c r="L2" s="7">
        <f t="shared" si="2"/>
        <v>0.99901336421413578</v>
      </c>
      <c r="M2" s="7">
        <f t="shared" si="3"/>
        <v>6.5721638492394823E-5</v>
      </c>
      <c r="N2" s="7">
        <f t="shared" si="4"/>
        <v>0.99910622881433664</v>
      </c>
      <c r="O2" s="7">
        <f t="shared" si="5"/>
        <v>1.4609850027825157E-3</v>
      </c>
      <c r="Q2" s="7">
        <f t="shared" si="6"/>
        <v>-1</v>
      </c>
      <c r="R2" s="10">
        <f t="shared" si="7"/>
        <v>-1</v>
      </c>
      <c r="T2" s="12" t="b">
        <v>0</v>
      </c>
      <c r="U2" s="3">
        <f>(0.2969^2/2)*(A7/0.2)^2</f>
        <v>1.5866929799999999E-2</v>
      </c>
      <c r="V2" s="4">
        <v>0.12566370614359174</v>
      </c>
      <c r="W2" s="4">
        <f t="shared" si="8"/>
        <v>3.1529999564755933E-2</v>
      </c>
      <c r="X2" s="4">
        <f t="shared" si="9"/>
        <v>-1</v>
      </c>
    </row>
    <row r="3" spans="1:24" x14ac:dyDescent="0.3">
      <c r="A3" s="8">
        <v>12</v>
      </c>
      <c r="B3" s="2">
        <v>0.99605735065723888</v>
      </c>
      <c r="C3" s="2">
        <f t="shared" si="10"/>
        <v>2.6197970708185468E-4</v>
      </c>
      <c r="D3" s="2">
        <f t="shared" si="11"/>
        <v>1.8118462843302291E-3</v>
      </c>
      <c r="E3" s="2">
        <f t="shared" si="12"/>
        <v>-6.6228594517470984E-2</v>
      </c>
      <c r="F3" s="2">
        <f t="shared" si="13"/>
        <v>-6.6132017345411367E-2</v>
      </c>
      <c r="G3" s="2">
        <f t="shared" si="14"/>
        <v>0.99617708438780161</v>
      </c>
      <c r="H3" s="2">
        <f t="shared" si="15"/>
        <v>2.069865431293093E-3</v>
      </c>
      <c r="J3" s="7">
        <f t="shared" si="0"/>
        <v>0.99605735065723888</v>
      </c>
      <c r="K3" s="7">
        <f t="shared" si="1"/>
        <v>0</v>
      </c>
      <c r="L3" s="7">
        <f t="shared" si="2"/>
        <v>0.99605735065723888</v>
      </c>
      <c r="M3" s="7">
        <f t="shared" si="3"/>
        <v>2.6197970708185468E-4</v>
      </c>
      <c r="N3" s="7">
        <f t="shared" si="4"/>
        <v>0.99617708438780161</v>
      </c>
      <c r="O3" s="7">
        <f t="shared" si="5"/>
        <v>2.069865431293093E-3</v>
      </c>
      <c r="Q3" s="7">
        <f t="shared" si="6"/>
        <v>-1</v>
      </c>
      <c r="R3" s="10">
        <f t="shared" si="7"/>
        <v>-1</v>
      </c>
      <c r="T3" s="12" t="b">
        <v>0</v>
      </c>
      <c r="V3" s="4">
        <v>0.25132741228718347</v>
      </c>
      <c r="W3" s="4">
        <f t="shared" si="8"/>
        <v>3.115662626854122E-2</v>
      </c>
      <c r="X3" s="4">
        <f t="shared" si="9"/>
        <v>-1</v>
      </c>
    </row>
    <row r="4" spans="1:24" x14ac:dyDescent="0.3">
      <c r="B4" s="2">
        <v>0.99114362536434442</v>
      </c>
      <c r="C4" s="2">
        <f t="shared" si="10"/>
        <v>5.8606745506109255E-4</v>
      </c>
      <c r="D4" s="2">
        <f t="shared" si="11"/>
        <v>2.4958654435023042E-3</v>
      </c>
      <c r="E4" s="2">
        <f t="shared" si="12"/>
        <v>-6.5682625040482709E-2</v>
      </c>
      <c r="F4" s="2">
        <f t="shared" si="13"/>
        <v>-6.5588412639605298E-2</v>
      </c>
      <c r="G4" s="2">
        <f t="shared" si="14"/>
        <v>0.9913072078737627</v>
      </c>
      <c r="H4" s="2">
        <f t="shared" si="15"/>
        <v>3.0765664160489052E-3</v>
      </c>
      <c r="J4" s="7">
        <f t="shared" si="0"/>
        <v>0.99114362536434442</v>
      </c>
      <c r="K4" s="7">
        <f t="shared" si="1"/>
        <v>0</v>
      </c>
      <c r="L4" s="7">
        <f t="shared" si="2"/>
        <v>0.99114362536434442</v>
      </c>
      <c r="M4" s="7">
        <f t="shared" si="3"/>
        <v>5.8606745506109255E-4</v>
      </c>
      <c r="N4" s="7">
        <f t="shared" si="4"/>
        <v>0.9913072078737627</v>
      </c>
      <c r="O4" s="7">
        <f t="shared" si="5"/>
        <v>3.0765664160489052E-3</v>
      </c>
      <c r="Q4" s="7">
        <f t="shared" si="6"/>
        <v>-1</v>
      </c>
      <c r="R4" s="10">
        <f t="shared" si="7"/>
        <v>-1</v>
      </c>
      <c r="S4" s="3"/>
      <c r="T4" s="12" t="b">
        <v>0</v>
      </c>
      <c r="V4" s="4">
        <v>0.37699111843077521</v>
      </c>
      <c r="W4" s="4">
        <f t="shared" si="8"/>
        <v>3.0540883476730715E-2</v>
      </c>
      <c r="X4" s="4">
        <f t="shared" si="9"/>
        <v>-1</v>
      </c>
    </row>
    <row r="5" spans="1:24" x14ac:dyDescent="0.3">
      <c r="A5" s="1">
        <f>A1/100</f>
        <v>0.02</v>
      </c>
      <c r="B5" s="2">
        <v>0.98429158056431554</v>
      </c>
      <c r="C5" s="2">
        <f t="shared" si="10"/>
        <v>1.0335193823141076E-3</v>
      </c>
      <c r="D5" s="2">
        <f t="shared" si="11"/>
        <v>3.4428441967132516E-3</v>
      </c>
      <c r="E5" s="2">
        <f t="shared" si="12"/>
        <v>-6.4921286729368394E-2</v>
      </c>
      <c r="F5" s="2">
        <f t="shared" si="13"/>
        <v>-6.4830307188015121E-2</v>
      </c>
      <c r="G5" s="2">
        <f t="shared" si="14"/>
        <v>0.98451462489315267</v>
      </c>
      <c r="H5" s="2">
        <f t="shared" si="15"/>
        <v>4.4691310294907374E-3</v>
      </c>
      <c r="J5" s="7">
        <f t="shared" si="0"/>
        <v>0.98429158056431554</v>
      </c>
      <c r="K5" s="7">
        <f t="shared" si="1"/>
        <v>0</v>
      </c>
      <c r="L5" s="7">
        <f t="shared" si="2"/>
        <v>0.98429158056431554</v>
      </c>
      <c r="M5" s="7">
        <f t="shared" si="3"/>
        <v>1.0335193823141076E-3</v>
      </c>
      <c r="N5" s="7">
        <f t="shared" si="4"/>
        <v>0.98451462489315267</v>
      </c>
      <c r="O5" s="7">
        <f t="shared" si="5"/>
        <v>4.4691310294907374E-3</v>
      </c>
      <c r="Q5" s="7">
        <f t="shared" si="6"/>
        <v>-1</v>
      </c>
      <c r="R5" s="10">
        <f t="shared" si="7"/>
        <v>-1</v>
      </c>
      <c r="S5" s="3"/>
      <c r="T5" s="12" t="b">
        <v>0</v>
      </c>
      <c r="V5" s="4">
        <v>0.50265482457436694</v>
      </c>
      <c r="W5" s="4">
        <f t="shared" si="8"/>
        <v>2.9692481820978188E-2</v>
      </c>
      <c r="X5" s="4">
        <f t="shared" si="9"/>
        <v>-1</v>
      </c>
    </row>
    <row r="6" spans="1:24" x14ac:dyDescent="0.3">
      <c r="A6" s="1">
        <f>A2/10</f>
        <v>0.4</v>
      </c>
      <c r="B6" s="2">
        <v>0.97552825814757682</v>
      </c>
      <c r="C6" s="2">
        <f t="shared" si="10"/>
        <v>1.5981791152009004E-3</v>
      </c>
      <c r="D6" s="2">
        <f t="shared" si="11"/>
        <v>4.6424786977890429E-3</v>
      </c>
      <c r="E6" s="2">
        <f t="shared" si="12"/>
        <v>-6.3947584238619654E-2</v>
      </c>
      <c r="F6" s="2">
        <f t="shared" si="13"/>
        <v>-6.3860630672153126E-2</v>
      </c>
      <c r="G6" s="2">
        <f t="shared" si="14"/>
        <v>0.97582452829540789</v>
      </c>
      <c r="H6" s="2">
        <f t="shared" si="15"/>
        <v>6.2311945974682717E-3</v>
      </c>
      <c r="J6" s="7">
        <f t="shared" si="0"/>
        <v>0.97552825814757682</v>
      </c>
      <c r="K6" s="7">
        <f t="shared" si="1"/>
        <v>0</v>
      </c>
      <c r="L6" s="7">
        <f t="shared" si="2"/>
        <v>0.97552825814757682</v>
      </c>
      <c r="M6" s="7">
        <f t="shared" si="3"/>
        <v>1.5981791152009004E-3</v>
      </c>
      <c r="N6" s="7">
        <f t="shared" si="4"/>
        <v>0.97582452829540789</v>
      </c>
      <c r="O6" s="7">
        <f t="shared" si="5"/>
        <v>6.2311945974682717E-3</v>
      </c>
      <c r="Q6" s="7">
        <f t="shared" si="6"/>
        <v>-1</v>
      </c>
      <c r="R6" s="10">
        <f t="shared" si="7"/>
        <v>-1</v>
      </c>
      <c r="S6" s="3"/>
      <c r="V6" s="4">
        <v>0.62831853071795862</v>
      </c>
      <c r="W6" s="4">
        <f t="shared" si="8"/>
        <v>2.8624801102205426E-2</v>
      </c>
      <c r="X6" s="4">
        <f t="shared" si="9"/>
        <v>-1</v>
      </c>
    </row>
    <row r="7" spans="1:24" x14ac:dyDescent="0.3">
      <c r="A7" s="6">
        <f>A3/100</f>
        <v>0.12</v>
      </c>
      <c r="B7" s="2">
        <v>0.96488824294412567</v>
      </c>
      <c r="C7" s="2">
        <f t="shared" si="10"/>
        <v>2.2722929435276974E-3</v>
      </c>
      <c r="D7" s="2">
        <f t="shared" si="11"/>
        <v>6.0819881066428022E-3</v>
      </c>
      <c r="E7" s="2">
        <f t="shared" si="12"/>
        <v>-6.2765360327125083E-2</v>
      </c>
      <c r="F7" s="2">
        <f t="shared" si="13"/>
        <v>-6.2683133419719012E-2</v>
      </c>
      <c r="G7" s="2">
        <f t="shared" si="14"/>
        <v>0.96526923140658394</v>
      </c>
      <c r="H7" s="2">
        <f t="shared" si="15"/>
        <v>8.3423363635386424E-3</v>
      </c>
      <c r="J7" s="7">
        <f t="shared" si="0"/>
        <v>0.96488824294412567</v>
      </c>
      <c r="K7" s="7">
        <f t="shared" si="1"/>
        <v>0</v>
      </c>
      <c r="L7" s="7">
        <f t="shared" si="2"/>
        <v>0.96488824294412567</v>
      </c>
      <c r="M7" s="7">
        <f t="shared" si="3"/>
        <v>2.2722929435276974E-3</v>
      </c>
      <c r="N7" s="7">
        <f t="shared" si="4"/>
        <v>0.96526923140658394</v>
      </c>
      <c r="O7" s="7">
        <f t="shared" si="5"/>
        <v>8.3423363635386424E-3</v>
      </c>
      <c r="Q7" s="7">
        <f t="shared" si="6"/>
        <v>-1</v>
      </c>
      <c r="R7" s="10">
        <f t="shared" si="7"/>
        <v>-1</v>
      </c>
      <c r="S7" s="3"/>
      <c r="V7" s="4">
        <v>0.7539822368615503</v>
      </c>
      <c r="W7" s="4">
        <f t="shared" si="8"/>
        <v>2.7354679283149035E-2</v>
      </c>
      <c r="X7" s="4">
        <f t="shared" si="9"/>
        <v>-1</v>
      </c>
    </row>
    <row r="8" spans="1:24" x14ac:dyDescent="0.3">
      <c r="B8" s="2">
        <v>0.95241352623300968</v>
      </c>
      <c r="C8" s="2">
        <f t="shared" si="10"/>
        <v>3.0466275574895477E-3</v>
      </c>
      <c r="D8" s="2">
        <f t="shared" si="11"/>
        <v>7.7464233354163246E-3</v>
      </c>
      <c r="E8" s="2">
        <f t="shared" si="12"/>
        <v>-6.1379280692556631E-2</v>
      </c>
      <c r="F8" s="2">
        <f t="shared" si="13"/>
        <v>-6.1302374031424113E-2</v>
      </c>
      <c r="G8" s="2">
        <f t="shared" si="14"/>
        <v>0.95288810300159998</v>
      </c>
      <c r="H8" s="2">
        <f t="shared" si="15"/>
        <v>1.0778499994499679E-2</v>
      </c>
      <c r="J8" s="7">
        <f t="shared" si="0"/>
        <v>0.95241352623300968</v>
      </c>
      <c r="K8" s="7">
        <f t="shared" si="1"/>
        <v>0</v>
      </c>
      <c r="L8" s="7">
        <f t="shared" si="2"/>
        <v>0.95241352623300968</v>
      </c>
      <c r="M8" s="7">
        <f t="shared" si="3"/>
        <v>3.0466275574895477E-3</v>
      </c>
      <c r="N8" s="7">
        <f t="shared" si="4"/>
        <v>0.95288810300159998</v>
      </c>
      <c r="O8" s="7">
        <f t="shared" si="5"/>
        <v>1.0778499994499679E-2</v>
      </c>
      <c r="Q8" s="7">
        <f t="shared" si="6"/>
        <v>-1</v>
      </c>
      <c r="R8" s="10">
        <f t="shared" si="7"/>
        <v>-1</v>
      </c>
      <c r="S8" s="3"/>
      <c r="V8" s="4">
        <v>0.87964594300514198</v>
      </c>
      <c r="W8" s="4">
        <f t="shared" si="8"/>
        <v>2.5902146943629526E-2</v>
      </c>
      <c r="X8" s="4">
        <f t="shared" si="9"/>
        <v>-1</v>
      </c>
    </row>
    <row r="9" spans="1:24" x14ac:dyDescent="0.3">
      <c r="A9" s="3">
        <f>RADIANS('naca_4-digit_plot'!E4)</f>
        <v>0</v>
      </c>
      <c r="B9" s="2">
        <v>0.93815334002193174</v>
      </c>
      <c r="C9" s="2">
        <f t="shared" si="10"/>
        <v>3.9106101457355037E-3</v>
      </c>
      <c r="D9" s="2">
        <f t="shared" si="11"/>
        <v>9.6190019827081304E-3</v>
      </c>
      <c r="E9" s="2">
        <f t="shared" si="12"/>
        <v>-5.9794815557992417E-2</v>
      </c>
      <c r="F9" s="2">
        <f t="shared" si="13"/>
        <v>-5.9723704188408264E-2</v>
      </c>
      <c r="G9" s="2">
        <f t="shared" si="14"/>
        <v>0.93872748098961378</v>
      </c>
      <c r="H9" s="2">
        <f t="shared" si="15"/>
        <v>1.3512462117754863E-2</v>
      </c>
      <c r="J9" s="7">
        <f t="shared" si="0"/>
        <v>0.93815334002193174</v>
      </c>
      <c r="K9" s="7">
        <f t="shared" si="1"/>
        <v>0</v>
      </c>
      <c r="L9" s="7">
        <f t="shared" si="2"/>
        <v>0.93815334002193174</v>
      </c>
      <c r="M9" s="7">
        <f t="shared" si="3"/>
        <v>3.9106101457355037E-3</v>
      </c>
      <c r="N9" s="7">
        <f t="shared" si="4"/>
        <v>0.93872748098961378</v>
      </c>
      <c r="O9" s="7">
        <f t="shared" si="5"/>
        <v>1.3512462117754863E-2</v>
      </c>
      <c r="Q9" s="7">
        <f t="shared" si="6"/>
        <v>-1</v>
      </c>
      <c r="R9" s="10">
        <f t="shared" si="7"/>
        <v>-1</v>
      </c>
      <c r="S9" s="3"/>
      <c r="V9" s="4">
        <v>1.0053096491487337</v>
      </c>
      <c r="W9" s="4">
        <f t="shared" si="8"/>
        <v>2.4290111386341878E-2</v>
      </c>
      <c r="X9" s="4">
        <f t="shared" si="9"/>
        <v>-1</v>
      </c>
    </row>
    <row r="10" spans="1:24" x14ac:dyDescent="0.3">
      <c r="A10" s="3">
        <f>'naca_4-digit_plot'!E6</f>
        <v>1</v>
      </c>
      <c r="B10" s="2">
        <v>0.92216396275100743</v>
      </c>
      <c r="C10" s="2">
        <f t="shared" si="10"/>
        <v>4.852488666898031E-3</v>
      </c>
      <c r="D10" s="2">
        <f t="shared" si="11"/>
        <v>1.1681448836568331E-2</v>
      </c>
      <c r="E10" s="2">
        <f t="shared" si="12"/>
        <v>-5.8018218083445268E-2</v>
      </c>
      <c r="F10" s="2">
        <f t="shared" si="13"/>
        <v>-5.795325060757997E-2</v>
      </c>
      <c r="G10" s="2">
        <f t="shared" si="14"/>
        <v>0.92284056179918406</v>
      </c>
      <c r="H10" s="2">
        <f t="shared" si="15"/>
        <v>1.6514326457288109E-2</v>
      </c>
      <c r="J10" s="7">
        <f t="shared" si="0"/>
        <v>0.92216396275100743</v>
      </c>
      <c r="K10" s="7">
        <f t="shared" si="1"/>
        <v>0</v>
      </c>
      <c r="L10" s="7">
        <f t="shared" si="2"/>
        <v>0.92216396275100743</v>
      </c>
      <c r="M10" s="7">
        <f t="shared" si="3"/>
        <v>4.852488666898031E-3</v>
      </c>
      <c r="N10" s="7">
        <f t="shared" si="4"/>
        <v>0.92284056179918406</v>
      </c>
      <c r="O10" s="7">
        <f t="shared" si="5"/>
        <v>1.6514326457288109E-2</v>
      </c>
      <c r="Q10" s="7">
        <f t="shared" si="6"/>
        <v>-1</v>
      </c>
      <c r="R10" s="10">
        <f t="shared" si="7"/>
        <v>-1</v>
      </c>
      <c r="S10" s="3"/>
      <c r="V10" s="4">
        <v>1.1309733552923253</v>
      </c>
      <c r="W10" s="4">
        <f t="shared" si="8"/>
        <v>2.2543995375007887E-2</v>
      </c>
      <c r="X10" s="4">
        <f t="shared" si="9"/>
        <v>-1</v>
      </c>
    </row>
    <row r="11" spans="1:24" x14ac:dyDescent="0.3">
      <c r="B11" s="2">
        <v>0.90450849718747373</v>
      </c>
      <c r="C11" s="2">
        <f t="shared" si="10"/>
        <v>5.8595097925353808E-3</v>
      </c>
      <c r="D11" s="2">
        <f t="shared" si="11"/>
        <v>1.3914321515786228E-2</v>
      </c>
      <c r="E11" s="2">
        <f t="shared" si="12"/>
        <v>-5.6056499687497083E-2</v>
      </c>
      <c r="F11" s="2">
        <f t="shared" si="13"/>
        <v>-5.5997894114239874E-2</v>
      </c>
      <c r="G11" s="2">
        <f t="shared" si="14"/>
        <v>0.90528726273725746</v>
      </c>
      <c r="H11" s="2">
        <f t="shared" si="15"/>
        <v>1.9752020993291763E-2</v>
      </c>
      <c r="J11" s="7">
        <f t="shared" si="0"/>
        <v>0.90450849718747373</v>
      </c>
      <c r="K11" s="7">
        <f t="shared" si="1"/>
        <v>0</v>
      </c>
      <c r="L11" s="7">
        <f t="shared" si="2"/>
        <v>0.90450849718747373</v>
      </c>
      <c r="M11" s="7">
        <f t="shared" si="3"/>
        <v>5.8595097925353808E-3</v>
      </c>
      <c r="N11" s="7">
        <f t="shared" si="4"/>
        <v>0.90528726273725746</v>
      </c>
      <c r="O11" s="7">
        <f t="shared" si="5"/>
        <v>1.9752020993291763E-2</v>
      </c>
      <c r="Q11" s="7">
        <f t="shared" si="6"/>
        <v>-1</v>
      </c>
      <c r="R11" s="10">
        <f t="shared" si="7"/>
        <v>-1</v>
      </c>
      <c r="S11" s="3"/>
      <c r="V11" s="4">
        <v>1.256637061435917</v>
      </c>
      <c r="W11" s="4">
        <f t="shared" si="8"/>
        <v>2.0691336202205434E-2</v>
      </c>
      <c r="X11" s="4">
        <f t="shared" si="9"/>
        <v>-1</v>
      </c>
    </row>
    <row r="12" spans="1:24" x14ac:dyDescent="0.3">
      <c r="A12" s="29" t="str">
        <f>'naca_4-digit_plot'!D2</f>
        <v>Cambered Profile</v>
      </c>
      <c r="B12" s="2">
        <v>0.88525662138789452</v>
      </c>
      <c r="C12" s="2">
        <f t="shared" si="10"/>
        <v>6.9181117444003116E-3</v>
      </c>
      <c r="D12" s="2">
        <f t="shared" si="11"/>
        <v>1.6297302482185236E-2</v>
      </c>
      <c r="E12" s="2">
        <f t="shared" si="12"/>
        <v>-5.3917402376432728E-2</v>
      </c>
      <c r="F12" s="2">
        <f t="shared" si="13"/>
        <v>-5.3865245806891358E-2</v>
      </c>
      <c r="G12" s="2">
        <f t="shared" si="14"/>
        <v>0.88613405514123511</v>
      </c>
      <c r="H12" s="2">
        <f t="shared" si="15"/>
        <v>2.3191776918673121E-2</v>
      </c>
      <c r="J12" s="7">
        <f t="shared" si="0"/>
        <v>0.88525662138789452</v>
      </c>
      <c r="K12" s="7">
        <f t="shared" si="1"/>
        <v>0</v>
      </c>
      <c r="L12" s="7">
        <f t="shared" si="2"/>
        <v>0.88525662138789452</v>
      </c>
      <c r="M12" s="7">
        <f t="shared" si="3"/>
        <v>6.9181117444003116E-3</v>
      </c>
      <c r="N12" s="7">
        <f t="shared" si="4"/>
        <v>0.88613405514123511</v>
      </c>
      <c r="O12" s="7">
        <f t="shared" si="5"/>
        <v>2.3191776918673121E-2</v>
      </c>
      <c r="Q12" s="7">
        <f t="shared" si="6"/>
        <v>-1</v>
      </c>
      <c r="R12" s="10">
        <f t="shared" si="7"/>
        <v>-1</v>
      </c>
      <c r="S12" s="3"/>
      <c r="V12" s="4">
        <v>1.3823007675795087</v>
      </c>
      <c r="W12" s="4">
        <f t="shared" si="8"/>
        <v>1.8761351409814556E-2</v>
      </c>
      <c r="X12" s="4">
        <f t="shared" si="9"/>
        <v>-1</v>
      </c>
    </row>
    <row r="13" spans="1:24" x14ac:dyDescent="0.3">
      <c r="A13" s="30" t="s">
        <v>27</v>
      </c>
      <c r="B13" s="2">
        <v>0.86448431371070567</v>
      </c>
      <c r="C13" s="2">
        <f t="shared" si="10"/>
        <v>8.0141290175941553E-3</v>
      </c>
      <c r="D13" s="2">
        <f t="shared" si="11"/>
        <v>1.8809441690572703E-2</v>
      </c>
      <c r="E13" s="2">
        <f t="shared" si="12"/>
        <v>-5.1609368190078407E-2</v>
      </c>
      <c r="F13" s="2">
        <f t="shared" si="13"/>
        <v>-5.156362029840024E-2</v>
      </c>
      <c r="G13" s="2">
        <f t="shared" si="14"/>
        <v>0.86545376688862774</v>
      </c>
      <c r="H13" s="2">
        <f t="shared" si="15"/>
        <v>2.6798570911003475E-2</v>
      </c>
      <c r="J13" s="7">
        <f t="shared" si="0"/>
        <v>0.86448431371070567</v>
      </c>
      <c r="K13" s="7">
        <f t="shared" si="1"/>
        <v>0</v>
      </c>
      <c r="L13" s="7">
        <f t="shared" si="2"/>
        <v>0.86448431371070567</v>
      </c>
      <c r="M13" s="7">
        <f t="shared" si="3"/>
        <v>8.0141290175941553E-3</v>
      </c>
      <c r="N13" s="7">
        <f t="shared" si="4"/>
        <v>0.86545376688862774</v>
      </c>
      <c r="O13" s="7">
        <f t="shared" si="5"/>
        <v>2.6798570911003475E-2</v>
      </c>
      <c r="Q13" s="7">
        <f t="shared" si="6"/>
        <v>-1</v>
      </c>
      <c r="R13" s="10">
        <f t="shared" si="7"/>
        <v>-1</v>
      </c>
      <c r="S13" s="3"/>
      <c r="V13" s="4">
        <v>1.5079644737231004</v>
      </c>
      <c r="W13" s="4">
        <f t="shared" si="8"/>
        <v>1.6784478010928295E-2</v>
      </c>
      <c r="X13" s="4">
        <f t="shared" si="9"/>
        <v>-1</v>
      </c>
    </row>
    <row r="14" spans="1:24" x14ac:dyDescent="0.3">
      <c r="A14" s="30" t="s">
        <v>28</v>
      </c>
      <c r="B14" s="2">
        <v>0.84227355296434436</v>
      </c>
      <c r="C14" s="2">
        <f t="shared" si="10"/>
        <v>9.1330057971275146E-3</v>
      </c>
      <c r="D14" s="2">
        <f t="shared" si="11"/>
        <v>2.1429338348036415E-2</v>
      </c>
      <c r="E14" s="2">
        <f t="shared" si="12"/>
        <v>-4.9141505884927154E-2</v>
      </c>
      <c r="F14" s="2">
        <f t="shared" si="13"/>
        <v>-4.9102006030696671E-2</v>
      </c>
      <c r="G14" s="2">
        <f t="shared" si="14"/>
        <v>0.84332535369640793</v>
      </c>
      <c r="H14" s="2">
        <f t="shared" si="15"/>
        <v>3.053651619272979E-2</v>
      </c>
      <c r="J14" s="7">
        <f t="shared" si="0"/>
        <v>0.84227355296434436</v>
      </c>
      <c r="K14" s="7">
        <f t="shared" si="1"/>
        <v>0</v>
      </c>
      <c r="L14" s="7">
        <f t="shared" si="2"/>
        <v>0.84227355296434436</v>
      </c>
      <c r="M14" s="7">
        <f t="shared" si="3"/>
        <v>9.1330057971275146E-3</v>
      </c>
      <c r="N14" s="7">
        <f t="shared" si="4"/>
        <v>0.84332535369640793</v>
      </c>
      <c r="O14" s="7">
        <f t="shared" si="5"/>
        <v>3.053651619272979E-2</v>
      </c>
      <c r="Q14" s="7">
        <f t="shared" si="6"/>
        <v>-1</v>
      </c>
      <c r="R14" s="10">
        <f t="shared" si="7"/>
        <v>-1</v>
      </c>
      <c r="S14" s="3"/>
      <c r="V14" s="4">
        <v>1.6336281798666921</v>
      </c>
      <c r="W14" s="4">
        <f t="shared" si="8"/>
        <v>1.4791892479974008E-2</v>
      </c>
      <c r="X14" s="4">
        <f t="shared" si="9"/>
        <v>-1</v>
      </c>
    </row>
    <row r="15" spans="1:24" x14ac:dyDescent="0.3">
      <c r="B15" s="2">
        <v>0.81871199487434487</v>
      </c>
      <c r="C15" s="2">
        <f t="shared" si="10"/>
        <v>1.0260014741574812E-2</v>
      </c>
      <c r="D15" s="2">
        <f t="shared" si="11"/>
        <v>2.413525534732517E-2</v>
      </c>
      <c r="E15" s="2">
        <f t="shared" si="12"/>
        <v>-4.6523554986038322E-2</v>
      </c>
      <c r="F15" s="2">
        <f t="shared" si="13"/>
        <v>-4.6490032676948047E-2</v>
      </c>
      <c r="G15" s="2">
        <f t="shared" si="14"/>
        <v>0.81983363954277588</v>
      </c>
      <c r="H15" s="2">
        <f t="shared" si="15"/>
        <v>3.4369192743289603E-2</v>
      </c>
      <c r="J15" s="7">
        <f t="shared" si="0"/>
        <v>0.81871199487434487</v>
      </c>
      <c r="K15" s="7">
        <f t="shared" si="1"/>
        <v>0</v>
      </c>
      <c r="L15" s="7">
        <f t="shared" si="2"/>
        <v>0.81871199487434487</v>
      </c>
      <c r="M15" s="7">
        <f t="shared" si="3"/>
        <v>1.0260014741574812E-2</v>
      </c>
      <c r="N15" s="7">
        <f t="shared" si="4"/>
        <v>0.81983363954277588</v>
      </c>
      <c r="O15" s="7">
        <f t="shared" si="5"/>
        <v>3.4369192743289603E-2</v>
      </c>
      <c r="Q15" s="7">
        <f t="shared" si="6"/>
        <v>-1</v>
      </c>
      <c r="R15" s="10">
        <f t="shared" si="7"/>
        <v>-1</v>
      </c>
      <c r="S15" s="3"/>
      <c r="V15" s="4">
        <v>1.7592918860102837</v>
      </c>
      <c r="W15" s="4">
        <f t="shared" si="8"/>
        <v>1.2815019081087743E-2</v>
      </c>
      <c r="X15" s="4">
        <f t="shared" si="9"/>
        <v>-1</v>
      </c>
    </row>
    <row r="16" spans="1:24" x14ac:dyDescent="0.3">
      <c r="B16" s="2">
        <v>0.79389262614623646</v>
      </c>
      <c r="C16" s="2">
        <f t="shared" si="10"/>
        <v>1.1380477725978957E-2</v>
      </c>
      <c r="D16" s="2">
        <f t="shared" si="11"/>
        <v>2.6905165571800106E-2</v>
      </c>
      <c r="E16" s="2">
        <f t="shared" si="12"/>
        <v>-4.3765847349581832E-2</v>
      </c>
      <c r="F16" s="2">
        <f t="shared" si="13"/>
        <v>-4.3737935665353202E-2</v>
      </c>
      <c r="G16" s="2">
        <f t="shared" si="14"/>
        <v>0.79506902738604901</v>
      </c>
      <c r="H16" s="2">
        <f t="shared" si="15"/>
        <v>3.8259912514845798E-2</v>
      </c>
      <c r="J16" s="7">
        <f t="shared" si="0"/>
        <v>0.79389262614623646</v>
      </c>
      <c r="K16" s="7">
        <f t="shared" si="1"/>
        <v>0</v>
      </c>
      <c r="L16" s="7">
        <f t="shared" si="2"/>
        <v>0.79389262614623646</v>
      </c>
      <c r="M16" s="7">
        <f t="shared" si="3"/>
        <v>1.1380477725978957E-2</v>
      </c>
      <c r="N16" s="7">
        <f t="shared" si="4"/>
        <v>0.79506902738604901</v>
      </c>
      <c r="O16" s="7">
        <f t="shared" si="5"/>
        <v>3.8259912514845798E-2</v>
      </c>
      <c r="Q16" s="7">
        <f t="shared" si="6"/>
        <v>-1</v>
      </c>
      <c r="R16" s="10">
        <f t="shared" si="7"/>
        <v>-1</v>
      </c>
      <c r="S16" s="3"/>
      <c r="V16" s="4">
        <v>1.8849555921538754</v>
      </c>
      <c r="W16" s="4">
        <f t="shared" si="8"/>
        <v>1.0885034288696867E-2</v>
      </c>
      <c r="X16" s="4">
        <f t="shared" si="9"/>
        <v>-1</v>
      </c>
    </row>
    <row r="17" spans="2:24" x14ac:dyDescent="0.3">
      <c r="B17" s="2">
        <v>0.76791339748949849</v>
      </c>
      <c r="C17" s="2">
        <f t="shared" si="10"/>
        <v>1.2479985108207465E-2</v>
      </c>
      <c r="D17" s="2">
        <f t="shared" si="11"/>
        <v>2.9716735051076641E-2</v>
      </c>
      <c r="E17" s="2">
        <f t="shared" si="12"/>
        <v>-4.0879266387722053E-2</v>
      </c>
      <c r="F17" s="2">
        <f t="shared" si="13"/>
        <v>-4.0856517882064465E-2</v>
      </c>
      <c r="G17" s="2">
        <f t="shared" si="14"/>
        <v>0.76912718205473141</v>
      </c>
      <c r="H17" s="2">
        <f t="shared" si="15"/>
        <v>4.2171921204142489E-2</v>
      </c>
      <c r="J17" s="7">
        <f t="shared" si="0"/>
        <v>0.76791339748949849</v>
      </c>
      <c r="K17" s="7">
        <f t="shared" si="1"/>
        <v>0</v>
      </c>
      <c r="L17" s="7">
        <f t="shared" si="2"/>
        <v>0.76791339748949849</v>
      </c>
      <c r="M17" s="7">
        <f t="shared" si="3"/>
        <v>1.2479985108207465E-2</v>
      </c>
      <c r="N17" s="7">
        <f t="shared" si="4"/>
        <v>0.76912718205473141</v>
      </c>
      <c r="O17" s="7">
        <f t="shared" si="5"/>
        <v>4.2171921204142489E-2</v>
      </c>
      <c r="Q17" s="7">
        <f t="shared" si="6"/>
        <v>-1</v>
      </c>
      <c r="R17" s="10">
        <f t="shared" si="7"/>
        <v>-1</v>
      </c>
      <c r="S17" s="3"/>
      <c r="V17" s="4">
        <v>2.0106192982974673</v>
      </c>
      <c r="W17" s="4">
        <f t="shared" si="8"/>
        <v>9.0323751158944091E-3</v>
      </c>
      <c r="X17" s="4">
        <f t="shared" si="9"/>
        <v>-1</v>
      </c>
    </row>
    <row r="18" spans="2:24" x14ac:dyDescent="0.3">
      <c r="B18" s="2">
        <v>0.74087683705085772</v>
      </c>
      <c r="C18" s="2">
        <f t="shared" si="10"/>
        <v>1.3544610109011276E-2</v>
      </c>
      <c r="D18" s="2">
        <f t="shared" si="11"/>
        <v>3.254725346943256E-2</v>
      </c>
      <c r="E18" s="2">
        <f t="shared" si="12"/>
        <v>-3.7875204116761971E-2</v>
      </c>
      <c r="F18" s="2">
        <f t="shared" si="13"/>
        <v>-3.7857108636751631E-2</v>
      </c>
      <c r="G18" s="2">
        <f t="shared" si="14"/>
        <v>0.74210868767209515</v>
      </c>
      <c r="H18" s="2">
        <f t="shared" si="15"/>
        <v>4.6068543641879761E-2</v>
      </c>
      <c r="J18" s="7">
        <f t="shared" si="0"/>
        <v>0.74087683705085772</v>
      </c>
      <c r="K18" s="7">
        <f t="shared" si="1"/>
        <v>0</v>
      </c>
      <c r="L18" s="7">
        <f t="shared" si="2"/>
        <v>0.74087683705085772</v>
      </c>
      <c r="M18" s="7">
        <f t="shared" si="3"/>
        <v>1.3544610109011276E-2</v>
      </c>
      <c r="N18" s="7">
        <f t="shared" si="4"/>
        <v>0.74210868767209515</v>
      </c>
      <c r="O18" s="7">
        <f t="shared" si="5"/>
        <v>4.6068543641879761E-2</v>
      </c>
      <c r="Q18" s="7">
        <f t="shared" si="6"/>
        <v>-1</v>
      </c>
      <c r="R18" s="10">
        <f t="shared" si="7"/>
        <v>-1</v>
      </c>
      <c r="S18" s="3"/>
      <c r="V18" s="4">
        <v>2.1362830044410592</v>
      </c>
      <c r="W18" s="4">
        <f t="shared" si="8"/>
        <v>7.2862591045604157E-3</v>
      </c>
      <c r="X18" s="4">
        <f t="shared" si="9"/>
        <v>-1</v>
      </c>
    </row>
    <row r="19" spans="2:24" x14ac:dyDescent="0.3">
      <c r="B19" s="2">
        <v>0.71288964578253633</v>
      </c>
      <c r="C19" s="2">
        <f t="shared" si="10"/>
        <v>1.4561114975671049E-2</v>
      </c>
      <c r="D19" s="2">
        <f t="shared" si="11"/>
        <v>3.5373527396150788E-2</v>
      </c>
      <c r="E19" s="2">
        <f t="shared" si="12"/>
        <v>-3.4765516198059593E-2</v>
      </c>
      <c r="F19" s="2">
        <f t="shared" si="13"/>
        <v>-3.4751520002380361E-2</v>
      </c>
      <c r="G19" s="2">
        <f t="shared" si="14"/>
        <v>0.71411868221451558</v>
      </c>
      <c r="H19" s="2">
        <f t="shared" si="15"/>
        <v>4.9913284780296878E-2</v>
      </c>
      <c r="J19" s="7">
        <f t="shared" si="0"/>
        <v>0.71288964578253633</v>
      </c>
      <c r="K19" s="7">
        <f t="shared" si="1"/>
        <v>0</v>
      </c>
      <c r="L19" s="7">
        <f t="shared" si="2"/>
        <v>0.71288964578253633</v>
      </c>
      <c r="M19" s="7">
        <f t="shared" si="3"/>
        <v>1.4561114975671049E-2</v>
      </c>
      <c r="N19" s="7">
        <f t="shared" si="4"/>
        <v>0.71411868221451558</v>
      </c>
      <c r="O19" s="7">
        <f t="shared" si="5"/>
        <v>4.9913284780296878E-2</v>
      </c>
      <c r="Q19" s="7">
        <f t="shared" si="6"/>
        <v>-1</v>
      </c>
      <c r="R19" s="10">
        <f t="shared" si="7"/>
        <v>-1</v>
      </c>
      <c r="S19" s="3"/>
      <c r="V19" s="4">
        <v>2.2619467105846511</v>
      </c>
      <c r="W19" s="4">
        <f t="shared" si="8"/>
        <v>5.6742235472727652E-3</v>
      </c>
      <c r="X19" s="4">
        <f t="shared" si="9"/>
        <v>-1</v>
      </c>
    </row>
    <row r="20" spans="2:24" x14ac:dyDescent="0.3">
      <c r="B20" s="2">
        <v>0.68406227634233885</v>
      </c>
      <c r="C20" s="2">
        <f t="shared" si="10"/>
        <v>1.5517145731067151E-2</v>
      </c>
      <c r="D20" s="2">
        <f t="shared" si="11"/>
        <v>3.8171755458108796E-2</v>
      </c>
      <c r="E20" s="2">
        <f t="shared" si="12"/>
        <v>-3.1562475149148762E-2</v>
      </c>
      <c r="F20" s="2">
        <f t="shared" si="13"/>
        <v>-3.155200067018097E-2</v>
      </c>
      <c r="G20" s="2">
        <f t="shared" si="14"/>
        <v>0.6852664717710657</v>
      </c>
      <c r="H20" s="2">
        <f t="shared" si="15"/>
        <v>5.3669902225494809E-2</v>
      </c>
      <c r="J20" s="7">
        <f t="shared" si="0"/>
        <v>0.68406227634233885</v>
      </c>
      <c r="K20" s="7">
        <f t="shared" si="1"/>
        <v>0</v>
      </c>
      <c r="L20" s="7">
        <f t="shared" si="2"/>
        <v>0.68406227634233885</v>
      </c>
      <c r="M20" s="7">
        <f t="shared" si="3"/>
        <v>1.5517145731067151E-2</v>
      </c>
      <c r="N20" s="7">
        <f t="shared" si="4"/>
        <v>0.6852664717710657</v>
      </c>
      <c r="O20" s="7">
        <f t="shared" si="5"/>
        <v>5.3669902225494809E-2</v>
      </c>
      <c r="Q20" s="7">
        <f t="shared" si="6"/>
        <v>-1</v>
      </c>
      <c r="R20" s="10">
        <f t="shared" si="7"/>
        <v>-1</v>
      </c>
      <c r="S20" s="3"/>
      <c r="V20" s="4">
        <v>2.387610416728243</v>
      </c>
      <c r="W20" s="4">
        <f t="shared" si="8"/>
        <v>4.2216912077532509E-3</v>
      </c>
      <c r="X20" s="4">
        <f t="shared" si="9"/>
        <v>-1</v>
      </c>
    </row>
    <row r="21" spans="2:24" x14ac:dyDescent="0.3">
      <c r="B21" s="2">
        <v>0.6545084971874735</v>
      </c>
      <c r="C21" s="2">
        <f t="shared" si="10"/>
        <v>1.6401412492187434E-2</v>
      </c>
      <c r="D21" s="2">
        <f t="shared" si="11"/>
        <v>4.0917407211743625E-2</v>
      </c>
      <c r="E21" s="2">
        <f t="shared" si="12"/>
        <v>-2.8278721909719279E-2</v>
      </c>
      <c r="F21" s="2">
        <f t="shared" si="13"/>
        <v>-2.8271187490757722E-2</v>
      </c>
      <c r="G21" s="2">
        <f t="shared" si="14"/>
        <v>0.65566512678938682</v>
      </c>
      <c r="H21" s="2">
        <f t="shared" si="15"/>
        <v>5.7302468968709254E-2</v>
      </c>
      <c r="J21" s="7">
        <f t="shared" si="0"/>
        <v>0.6545084971874735</v>
      </c>
      <c r="K21" s="7">
        <f t="shared" si="1"/>
        <v>0</v>
      </c>
      <c r="L21" s="7">
        <f t="shared" si="2"/>
        <v>0.6545084971874735</v>
      </c>
      <c r="M21" s="7">
        <f t="shared" si="3"/>
        <v>1.6401412492187434E-2</v>
      </c>
      <c r="N21" s="7">
        <f t="shared" si="4"/>
        <v>0.65566512678938682</v>
      </c>
      <c r="O21" s="7">
        <f t="shared" si="5"/>
        <v>5.7302468968709254E-2</v>
      </c>
      <c r="Q21" s="7">
        <f t="shared" si="6"/>
        <v>-1</v>
      </c>
      <c r="R21" s="10">
        <f t="shared" si="7"/>
        <v>-1</v>
      </c>
      <c r="S21" s="3"/>
      <c r="V21" s="4">
        <v>2.5132741228718349</v>
      </c>
      <c r="W21" s="4">
        <f t="shared" si="8"/>
        <v>2.9515693886968553E-3</v>
      </c>
      <c r="X21" s="4">
        <f t="shared" si="9"/>
        <v>-1</v>
      </c>
    </row>
    <row r="22" spans="2:24" x14ac:dyDescent="0.3">
      <c r="B22" s="2">
        <v>0.62434494358242743</v>
      </c>
      <c r="C22" s="2">
        <f t="shared" si="10"/>
        <v>1.7203852571610969E-2</v>
      </c>
      <c r="D22" s="2">
        <f t="shared" si="11"/>
        <v>4.3585128478213241E-2</v>
      </c>
      <c r="E22" s="2">
        <f t="shared" si="12"/>
        <v>-2.4927215953603046E-2</v>
      </c>
      <c r="F22" s="2">
        <f t="shared" si="13"/>
        <v>-2.4922054901994197E-2</v>
      </c>
      <c r="G22" s="2">
        <f t="shared" si="14"/>
        <v>0.62543106210615829</v>
      </c>
      <c r="H22" s="2">
        <f t="shared" si="15"/>
        <v>6.0775446196526306E-2</v>
      </c>
      <c r="J22" s="7">
        <f t="shared" si="0"/>
        <v>0.62434494358242743</v>
      </c>
      <c r="K22" s="7">
        <f t="shared" si="1"/>
        <v>0</v>
      </c>
      <c r="L22" s="7">
        <f t="shared" si="2"/>
        <v>0.62434494358242743</v>
      </c>
      <c r="M22" s="7">
        <f t="shared" si="3"/>
        <v>1.7203852571610969E-2</v>
      </c>
      <c r="N22" s="7">
        <f t="shared" si="4"/>
        <v>0.62543106210615829</v>
      </c>
      <c r="O22" s="7">
        <f t="shared" si="5"/>
        <v>6.0775446196526306E-2</v>
      </c>
      <c r="Q22" s="7">
        <f t="shared" si="6"/>
        <v>-1</v>
      </c>
      <c r="R22" s="10">
        <f t="shared" si="7"/>
        <v>-1</v>
      </c>
      <c r="S22" s="3"/>
      <c r="V22" s="4">
        <v>2.6389378290154268</v>
      </c>
      <c r="W22" s="4">
        <f t="shared" si="8"/>
        <v>1.8838886699240971E-3</v>
      </c>
      <c r="X22" s="4">
        <f t="shared" si="9"/>
        <v>-1</v>
      </c>
    </row>
    <row r="23" spans="2:24" x14ac:dyDescent="0.3">
      <c r="B23" s="2">
        <v>0.5936906572928623</v>
      </c>
      <c r="C23" s="2">
        <f t="shared" si="10"/>
        <v>1.7915773848747724E-2</v>
      </c>
      <c r="D23" s="2">
        <f t="shared" si="11"/>
        <v>4.6148695264621904E-2</v>
      </c>
      <c r="E23" s="2">
        <f t="shared" si="12"/>
        <v>-2.1521184143651367E-2</v>
      </c>
      <c r="F23" s="2">
        <f t="shared" si="13"/>
        <v>-2.1517862472995482E-2</v>
      </c>
      <c r="G23" s="2">
        <f t="shared" si="14"/>
        <v>0.59468360194146053</v>
      </c>
      <c r="H23" s="2">
        <f t="shared" si="15"/>
        <v>6.40537856779516E-2</v>
      </c>
      <c r="J23" s="7">
        <f t="shared" si="0"/>
        <v>0.5936906572928623</v>
      </c>
      <c r="K23" s="7">
        <f t="shared" si="1"/>
        <v>0</v>
      </c>
      <c r="L23" s="7">
        <f t="shared" si="2"/>
        <v>0.5936906572928623</v>
      </c>
      <c r="M23" s="7">
        <f t="shared" si="3"/>
        <v>1.7915773848747724E-2</v>
      </c>
      <c r="N23" s="7">
        <f t="shared" si="4"/>
        <v>0.59468360194146053</v>
      </c>
      <c r="O23" s="7">
        <f t="shared" si="5"/>
        <v>6.40537856779516E-2</v>
      </c>
      <c r="Q23" s="7">
        <f t="shared" si="6"/>
        <v>-1</v>
      </c>
      <c r="R23" s="10">
        <f t="shared" si="7"/>
        <v>-1</v>
      </c>
      <c r="S23" s="3"/>
      <c r="V23" s="4">
        <v>2.7646015351590187</v>
      </c>
      <c r="W23" s="4">
        <f t="shared" si="8"/>
        <v>1.035487014171565E-3</v>
      </c>
      <c r="X23" s="4">
        <f t="shared" si="9"/>
        <v>-1</v>
      </c>
    </row>
    <row r="24" spans="2:24" x14ac:dyDescent="0.3">
      <c r="B24" s="2">
        <v>0.56266661678215213</v>
      </c>
      <c r="C24" s="2">
        <f t="shared" si="10"/>
        <v>1.8529976210258248E-2</v>
      </c>
      <c r="D24" s="2">
        <f t="shared" si="11"/>
        <v>4.8581036095889693E-2</v>
      </c>
      <c r="E24" s="2">
        <f t="shared" si="12"/>
        <v>-1.8074068531350237E-2</v>
      </c>
      <c r="F24" s="2">
        <f t="shared" si="13"/>
        <v>-1.8072100819923262E-2</v>
      </c>
      <c r="G24" s="2">
        <f t="shared" si="14"/>
        <v>0.56354453037470809</v>
      </c>
      <c r="H24" s="2">
        <f t="shared" si="15"/>
        <v>6.7103079218756106E-2</v>
      </c>
      <c r="J24" s="7">
        <f t="shared" si="0"/>
        <v>0.56266661678215213</v>
      </c>
      <c r="K24" s="7">
        <f t="shared" si="1"/>
        <v>0</v>
      </c>
      <c r="L24" s="7">
        <f t="shared" si="2"/>
        <v>0.56266661678215213</v>
      </c>
      <c r="M24" s="7">
        <f t="shared" si="3"/>
        <v>1.8529976210258248E-2</v>
      </c>
      <c r="N24" s="7">
        <f t="shared" si="4"/>
        <v>0.56354453037470809</v>
      </c>
      <c r="O24" s="7">
        <f t="shared" si="5"/>
        <v>6.7103079218756106E-2</v>
      </c>
      <c r="Q24" s="7">
        <f t="shared" si="6"/>
        <v>-1</v>
      </c>
      <c r="R24" s="10">
        <f t="shared" si="7"/>
        <v>-1</v>
      </c>
      <c r="S24" s="3"/>
      <c r="V24" s="4">
        <v>2.8902652413026106</v>
      </c>
      <c r="W24" s="4">
        <f t="shared" si="8"/>
        <v>4.1974422236106353E-4</v>
      </c>
      <c r="X24" s="4">
        <f t="shared" si="9"/>
        <v>-1</v>
      </c>
    </row>
    <row r="25" spans="2:24" x14ac:dyDescent="0.3">
      <c r="B25" s="2">
        <v>0.53139525976465674</v>
      </c>
      <c r="C25" s="2">
        <f t="shared" si="10"/>
        <v>1.9040849206187691E-2</v>
      </c>
      <c r="D25" s="2">
        <f t="shared" si="11"/>
        <v>5.0854338726987594E-2</v>
      </c>
      <c r="E25" s="2">
        <f t="shared" si="12"/>
        <v>-1.459947330718408E-2</v>
      </c>
      <c r="F25" s="2">
        <f t="shared" si="13"/>
        <v>-1.4598436173415663E-2</v>
      </c>
      <c r="G25" s="2">
        <f t="shared" si="14"/>
        <v>0.53213762721385693</v>
      </c>
      <c r="H25" s="2">
        <f t="shared" si="15"/>
        <v>6.9889769135027452E-2</v>
      </c>
      <c r="J25" s="7">
        <f t="shared" si="0"/>
        <v>0.53139525976465674</v>
      </c>
      <c r="K25" s="7">
        <f t="shared" si="1"/>
        <v>0</v>
      </c>
      <c r="L25" s="7">
        <f t="shared" si="2"/>
        <v>0.53139525976465674</v>
      </c>
      <c r="M25" s="7">
        <f t="shared" si="3"/>
        <v>1.9040849206187691E-2</v>
      </c>
      <c r="N25" s="7">
        <f t="shared" si="4"/>
        <v>0.53213762721385693</v>
      </c>
      <c r="O25" s="7">
        <f t="shared" si="5"/>
        <v>6.9889769135027452E-2</v>
      </c>
      <c r="Q25" s="7">
        <f t="shared" si="6"/>
        <v>-1</v>
      </c>
      <c r="R25" s="10">
        <f t="shared" si="7"/>
        <v>-1</v>
      </c>
      <c r="S25" s="3"/>
      <c r="V25" s="4">
        <v>3.0159289474462025</v>
      </c>
      <c r="W25" s="4">
        <f t="shared" si="8"/>
        <v>4.6370926146355202E-5</v>
      </c>
      <c r="X25" s="4">
        <f t="shared" si="9"/>
        <v>-1</v>
      </c>
    </row>
    <row r="26" spans="2:24" x14ac:dyDescent="0.3">
      <c r="B26" s="2">
        <v>0.49999999999999994</v>
      </c>
      <c r="C26" s="2">
        <f t="shared" si="10"/>
        <v>1.9444444444444441E-2</v>
      </c>
      <c r="D26" s="2">
        <f t="shared" si="11"/>
        <v>5.2940252000571585E-2</v>
      </c>
      <c r="E26" s="2">
        <f t="shared" si="12"/>
        <v>-1.1111111111111103E-2</v>
      </c>
      <c r="F26" s="2">
        <f t="shared" si="13"/>
        <v>-1.1110653897607464E-2</v>
      </c>
      <c r="G26" s="2">
        <f t="shared" si="14"/>
        <v>0.50058818871540367</v>
      </c>
      <c r="H26" s="2">
        <f t="shared" si="15"/>
        <v>7.2381428830779623E-2</v>
      </c>
      <c r="J26" s="7">
        <f t="shared" si="0"/>
        <v>0.49999999999999994</v>
      </c>
      <c r="K26" s="7">
        <f t="shared" si="1"/>
        <v>0</v>
      </c>
      <c r="L26" s="7">
        <f t="shared" si="2"/>
        <v>0.49999999999999994</v>
      </c>
      <c r="M26" s="7">
        <f t="shared" si="3"/>
        <v>1.9444444444444441E-2</v>
      </c>
      <c r="N26" s="7">
        <f t="shared" si="4"/>
        <v>0.50058818871540367</v>
      </c>
      <c r="O26" s="7">
        <f t="shared" si="5"/>
        <v>7.2381428830779623E-2</v>
      </c>
      <c r="Q26" s="7">
        <f t="shared" si="6"/>
        <v>-1</v>
      </c>
      <c r="R26" s="10">
        <f t="shared" si="7"/>
        <v>-1</v>
      </c>
      <c r="S26" s="3"/>
      <c r="V26" s="4">
        <v>3.1415926535897944</v>
      </c>
      <c r="W26" s="4">
        <f t="shared" si="8"/>
        <v>-7.8744554548854838E-5</v>
      </c>
      <c r="X26" s="4">
        <f t="shared" si="9"/>
        <v>-1</v>
      </c>
    </row>
    <row r="27" spans="2:24" x14ac:dyDescent="0.3">
      <c r="B27" s="2">
        <v>0.46860474023534326</v>
      </c>
      <c r="C27" s="2">
        <f t="shared" si="10"/>
        <v>1.9738521645402279E-2</v>
      </c>
      <c r="D27" s="2">
        <f t="shared" si="11"/>
        <v>5.4810187361877094E-2</v>
      </c>
      <c r="E27" s="2">
        <f t="shared" si="12"/>
        <v>-7.6227489150381385E-3</v>
      </c>
      <c r="F27" s="2">
        <f t="shared" si="13"/>
        <v>-7.6226012769376366E-3</v>
      </c>
      <c r="G27" s="2">
        <f t="shared" si="14"/>
        <v>0.46902253239358693</v>
      </c>
      <c r="H27" s="2">
        <f t="shared" si="15"/>
        <v>7.4547116668049793E-2</v>
      </c>
      <c r="J27" s="7">
        <f t="shared" si="0"/>
        <v>0.46860474023534326</v>
      </c>
      <c r="K27" s="7">
        <f t="shared" si="1"/>
        <v>0</v>
      </c>
      <c r="L27" s="7">
        <f t="shared" si="2"/>
        <v>0.46860474023534326</v>
      </c>
      <c r="M27" s="7">
        <f t="shared" si="3"/>
        <v>1.9738521645402279E-2</v>
      </c>
      <c r="N27" s="7">
        <f t="shared" si="4"/>
        <v>0.46902253239358693</v>
      </c>
      <c r="O27" s="7">
        <f t="shared" si="5"/>
        <v>7.4547116668049793E-2</v>
      </c>
      <c r="Q27" s="7">
        <f t="shared" si="6"/>
        <v>-1</v>
      </c>
      <c r="R27" s="10">
        <f t="shared" si="7"/>
        <v>-1</v>
      </c>
      <c r="S27" s="3"/>
      <c r="V27" s="4">
        <v>3.2672563597333864</v>
      </c>
      <c r="W27" s="4">
        <f t="shared" si="8"/>
        <v>4.6370926146360488E-5</v>
      </c>
      <c r="X27" s="4">
        <f t="shared" si="9"/>
        <v>-1</v>
      </c>
    </row>
    <row r="28" spans="2:24" x14ac:dyDescent="0.3">
      <c r="B28" s="2">
        <v>0.43733338321784776</v>
      </c>
      <c r="C28" s="2">
        <f t="shared" si="10"/>
        <v>1.9922567694306073E-2</v>
      </c>
      <c r="D28" s="2">
        <f t="shared" si="11"/>
        <v>5.6435717619355723E-2</v>
      </c>
      <c r="E28" s="2">
        <f t="shared" si="12"/>
        <v>-4.1481536908719715E-3</v>
      </c>
      <c r="F28" s="2">
        <f t="shared" si="13"/>
        <v>-4.1481298984431926E-3</v>
      </c>
      <c r="G28" s="2">
        <f t="shared" si="14"/>
        <v>0.43756748523407851</v>
      </c>
      <c r="H28" s="2">
        <f t="shared" si="15"/>
        <v>7.6357799770179161E-2</v>
      </c>
      <c r="J28" s="7">
        <f t="shared" si="0"/>
        <v>0.43733338321784776</v>
      </c>
      <c r="K28" s="7">
        <f t="shared" si="1"/>
        <v>0</v>
      </c>
      <c r="L28" s="7">
        <f t="shared" si="2"/>
        <v>0.43733338321784776</v>
      </c>
      <c r="M28" s="7">
        <f t="shared" si="3"/>
        <v>1.9922567694306073E-2</v>
      </c>
      <c r="N28" s="7">
        <f t="shared" si="4"/>
        <v>0.43756748523407851</v>
      </c>
      <c r="O28" s="7">
        <f t="shared" si="5"/>
        <v>7.6357799770179161E-2</v>
      </c>
      <c r="Q28" s="7">
        <f t="shared" si="6"/>
        <v>-1</v>
      </c>
      <c r="R28" s="10">
        <f t="shared" si="7"/>
        <v>-1</v>
      </c>
      <c r="S28" s="3"/>
      <c r="V28" s="4">
        <v>3.3929200658769783</v>
      </c>
      <c r="W28" s="4">
        <f t="shared" si="8"/>
        <v>4.1974422236107237E-4</v>
      </c>
      <c r="X28" s="4">
        <f t="shared" si="9"/>
        <v>-1</v>
      </c>
    </row>
    <row r="29" spans="2:24" x14ac:dyDescent="0.3">
      <c r="B29" s="2">
        <v>0.40630934270713764</v>
      </c>
      <c r="C29" s="2">
        <f t="shared" si="10"/>
        <v>1.999778845525577E-2</v>
      </c>
      <c r="D29" s="2">
        <f t="shared" si="11"/>
        <v>5.7789063378332818E-2</v>
      </c>
      <c r="E29" s="2">
        <f t="shared" si="12"/>
        <v>-7.0103807857084695E-4</v>
      </c>
      <c r="F29" s="2">
        <f t="shared" si="13"/>
        <v>-7.0103796372813425E-4</v>
      </c>
      <c r="G29" s="2">
        <f t="shared" si="14"/>
        <v>0.4063498550311358</v>
      </c>
      <c r="H29" s="2">
        <f t="shared" si="15"/>
        <v>7.778683763324945E-2</v>
      </c>
      <c r="J29" s="7">
        <f t="shared" si="0"/>
        <v>0.40630934270713764</v>
      </c>
      <c r="K29" s="7">
        <f t="shared" si="1"/>
        <v>0</v>
      </c>
      <c r="L29" s="7">
        <f t="shared" si="2"/>
        <v>0.40630934270713764</v>
      </c>
      <c r="M29" s="7">
        <f t="shared" si="3"/>
        <v>1.999778845525577E-2</v>
      </c>
      <c r="N29" s="7">
        <f t="shared" si="4"/>
        <v>0.4063498550311358</v>
      </c>
      <c r="O29" s="7">
        <f t="shared" si="5"/>
        <v>7.778683763324945E-2</v>
      </c>
      <c r="Q29" s="7">
        <f t="shared" si="6"/>
        <v>-1</v>
      </c>
      <c r="R29" s="10">
        <f t="shared" si="7"/>
        <v>-1</v>
      </c>
      <c r="S29" s="3"/>
      <c r="V29" s="4">
        <v>3.5185837720205702</v>
      </c>
      <c r="W29" s="4">
        <f t="shared" si="8"/>
        <v>1.0354870141715791E-3</v>
      </c>
      <c r="X29" s="4">
        <f t="shared" si="9"/>
        <v>-1</v>
      </c>
    </row>
    <row r="30" spans="2:24" x14ac:dyDescent="0.3">
      <c r="B30" s="2">
        <v>0.37565505641757263</v>
      </c>
      <c r="C30" s="2">
        <f t="shared" si="10"/>
        <v>1.9925915465246052E-2</v>
      </c>
      <c r="D30" s="2">
        <f t="shared" si="11"/>
        <v>5.8843650635762447E-2</v>
      </c>
      <c r="E30" s="2">
        <f t="shared" si="12"/>
        <v>6.0862358956068462E-3</v>
      </c>
      <c r="F30" s="2">
        <f t="shared" si="13"/>
        <v>6.086160747951235E-3</v>
      </c>
      <c r="G30" s="2">
        <f t="shared" si="14"/>
        <v>0.37529692671175147</v>
      </c>
      <c r="H30" s="2">
        <f t="shared" si="15"/>
        <v>7.8768476280165339E-2</v>
      </c>
      <c r="J30" s="7">
        <f t="shared" si="0"/>
        <v>0.37565505641757263</v>
      </c>
      <c r="K30" s="7">
        <f t="shared" si="1"/>
        <v>0</v>
      </c>
      <c r="L30" s="7">
        <f t="shared" si="2"/>
        <v>0.37565505641757263</v>
      </c>
      <c r="M30" s="7">
        <f t="shared" si="3"/>
        <v>1.9925915465246052E-2</v>
      </c>
      <c r="N30" s="7">
        <f t="shared" si="4"/>
        <v>0.37529692671175147</v>
      </c>
      <c r="O30" s="7">
        <f t="shared" si="5"/>
        <v>7.8768476280165339E-2</v>
      </c>
      <c r="Q30" s="7">
        <f t="shared" si="6"/>
        <v>-1</v>
      </c>
      <c r="R30" s="10">
        <f t="shared" si="7"/>
        <v>-1</v>
      </c>
      <c r="S30" s="3"/>
      <c r="V30" s="4">
        <v>3.6442474781641621</v>
      </c>
      <c r="W30" s="4">
        <f t="shared" si="8"/>
        <v>1.8838886699241147E-3</v>
      </c>
      <c r="X30" s="4">
        <f t="shared" si="9"/>
        <v>-1</v>
      </c>
    </row>
    <row r="31" spans="2:24" x14ac:dyDescent="0.3">
      <c r="B31" s="2">
        <v>0.34549150281252627</v>
      </c>
      <c r="C31" s="2">
        <f t="shared" si="10"/>
        <v>1.9628602966795392E-2</v>
      </c>
      <c r="D31" s="2">
        <f t="shared" si="11"/>
        <v>5.9574716765413573E-2</v>
      </c>
      <c r="E31" s="2">
        <f t="shared" si="12"/>
        <v>1.3627124296868433E-2</v>
      </c>
      <c r="F31" s="2">
        <f t="shared" si="13"/>
        <v>1.3626280878583526E-2</v>
      </c>
      <c r="G31" s="2">
        <f t="shared" si="14"/>
        <v>0.3446797461097223</v>
      </c>
      <c r="H31" s="2">
        <f t="shared" si="15"/>
        <v>7.9197789034213678E-2</v>
      </c>
      <c r="J31" s="7">
        <f t="shared" si="0"/>
        <v>0.34549150281252627</v>
      </c>
      <c r="K31" s="7">
        <f t="shared" si="1"/>
        <v>0</v>
      </c>
      <c r="L31" s="7">
        <f t="shared" si="2"/>
        <v>0.34549150281252627</v>
      </c>
      <c r="M31" s="7">
        <f t="shared" si="3"/>
        <v>1.9628602966795392E-2</v>
      </c>
      <c r="N31" s="7">
        <f t="shared" si="4"/>
        <v>0.3446797461097223</v>
      </c>
      <c r="O31" s="7">
        <f t="shared" si="5"/>
        <v>7.9197789034213678E-2</v>
      </c>
      <c r="Q31" s="7">
        <f t="shared" si="6"/>
        <v>-1</v>
      </c>
      <c r="R31" s="10">
        <f t="shared" si="7"/>
        <v>-1</v>
      </c>
      <c r="S31" s="3"/>
      <c r="V31" s="4">
        <v>3.769911184307754</v>
      </c>
      <c r="W31" s="4">
        <f t="shared" si="8"/>
        <v>2.9515693886968783E-3</v>
      </c>
      <c r="X31" s="4">
        <f t="shared" si="9"/>
        <v>-1</v>
      </c>
    </row>
    <row r="32" spans="2:24" x14ac:dyDescent="0.3">
      <c r="B32" s="2">
        <v>0.31593772365766093</v>
      </c>
      <c r="C32" s="2">
        <f t="shared" si="10"/>
        <v>1.9116691712018029E-2</v>
      </c>
      <c r="D32" s="2">
        <f t="shared" si="11"/>
        <v>5.9959936972485903E-2</v>
      </c>
      <c r="E32" s="2">
        <f t="shared" si="12"/>
        <v>2.101556908558477E-2</v>
      </c>
      <c r="F32" s="2">
        <f t="shared" si="13"/>
        <v>2.1012476034120479E-2</v>
      </c>
      <c r="G32" s="2">
        <f t="shared" si="14"/>
        <v>0.31467790963018089</v>
      </c>
      <c r="H32" s="2">
        <f t="shared" si="15"/>
        <v>7.9063392291454815E-2</v>
      </c>
      <c r="J32" s="7">
        <f t="shared" si="0"/>
        <v>0.31593772365766093</v>
      </c>
      <c r="K32" s="7">
        <f t="shared" si="1"/>
        <v>0</v>
      </c>
      <c r="L32" s="7">
        <f t="shared" si="2"/>
        <v>0.31593772365766093</v>
      </c>
      <c r="M32" s="7">
        <f t="shared" si="3"/>
        <v>1.9116691712018029E-2</v>
      </c>
      <c r="N32" s="7">
        <f t="shared" si="4"/>
        <v>0.31467790963018089</v>
      </c>
      <c r="O32" s="7">
        <f t="shared" si="5"/>
        <v>7.9063392291454815E-2</v>
      </c>
      <c r="Q32" s="7">
        <f t="shared" si="6"/>
        <v>-1</v>
      </c>
      <c r="R32" s="10">
        <f t="shared" si="7"/>
        <v>-1</v>
      </c>
      <c r="S32" s="3"/>
      <c r="V32" s="4">
        <v>3.8955748904513459</v>
      </c>
      <c r="W32" s="4">
        <f t="shared" si="8"/>
        <v>4.2216912077532778E-3</v>
      </c>
      <c r="X32" s="4">
        <f t="shared" si="9"/>
        <v>-1</v>
      </c>
    </row>
    <row r="33" spans="2:24" x14ac:dyDescent="0.3">
      <c r="B33" s="2">
        <v>0.28711035421746367</v>
      </c>
      <c r="C33" s="2">
        <f t="shared" si="10"/>
        <v>1.8406990984386685E-2</v>
      </c>
      <c r="D33" s="2">
        <f t="shared" si="11"/>
        <v>5.9980039624460323E-2</v>
      </c>
      <c r="E33" s="2">
        <f t="shared" si="12"/>
        <v>2.8222411445634081E-2</v>
      </c>
      <c r="F33" s="2">
        <f t="shared" si="13"/>
        <v>2.8214921931921384E-2</v>
      </c>
      <c r="G33" s="2">
        <f t="shared" si="14"/>
        <v>0.28541824661218951</v>
      </c>
      <c r="H33" s="2">
        <f t="shared" si="15"/>
        <v>7.836315768310087E-2</v>
      </c>
      <c r="J33" s="7">
        <f t="shared" ref="J33:J51" si="16">B33*COS($A$9)</f>
        <v>0.28711035421746367</v>
      </c>
      <c r="K33" s="7">
        <f t="shared" ref="K33:K51" si="17">-B33*SIN($A$9)</f>
        <v>0</v>
      </c>
      <c r="L33" s="7">
        <f t="shared" ref="L33:L51" si="18">B33*COS($A$9)+C33*SIN($A$9)</f>
        <v>0.28711035421746367</v>
      </c>
      <c r="M33" s="7">
        <f t="shared" ref="M33:M51" si="19">-B33*SIN($A$9)+C33*COS($A$9)</f>
        <v>1.8406990984386685E-2</v>
      </c>
      <c r="N33" s="7">
        <f t="shared" ref="N33:N64" si="20">G33*COS($A$9)+H33*SIN($A$9)</f>
        <v>0.28541824661218951</v>
      </c>
      <c r="O33" s="7">
        <f t="shared" ref="O33:O64" si="21">-G33*SIN($A$9)+H33*COS($A$9)</f>
        <v>7.836315768310087E-2</v>
      </c>
      <c r="Q33" s="7">
        <f t="shared" ref="Q33:Q51" si="22">IF($T$1, K33, -1)</f>
        <v>-1</v>
      </c>
      <c r="R33" s="10">
        <f t="shared" ref="R33:R51" si="23">IF($T$2,  M33, -1)</f>
        <v>-1</v>
      </c>
      <c r="S33" s="3"/>
      <c r="V33" s="4">
        <v>4.0212385965949373</v>
      </c>
      <c r="W33" s="4">
        <f t="shared" ref="W33:W51" si="24">$U$2*(COS($U$1)+COS(V33))</f>
        <v>5.6742235472727895E-3</v>
      </c>
      <c r="X33" s="4">
        <f t="shared" ref="X33:X51" si="25">IF($T$3, $U$2*(SIN($U$1)+SIN(V33)), -1)</f>
        <v>-1</v>
      </c>
    </row>
    <row r="34" spans="2:24" x14ac:dyDescent="0.3">
      <c r="B34" s="2">
        <v>0.25912316294914239</v>
      </c>
      <c r="C34" s="2">
        <f t="shared" si="10"/>
        <v>1.7519214597818262E-2</v>
      </c>
      <c r="D34" s="2">
        <f t="shared" si="11"/>
        <v>5.9619376958045922E-2</v>
      </c>
      <c r="E34" s="2">
        <f t="shared" si="12"/>
        <v>3.52192092627144E-2</v>
      </c>
      <c r="F34" s="2">
        <f t="shared" si="13"/>
        <v>3.52046582072248E-2</v>
      </c>
      <c r="G34" s="2">
        <f t="shared" si="14"/>
        <v>0.25702471668133464</v>
      </c>
      <c r="H34" s="2">
        <f t="shared" si="15"/>
        <v>7.7101650198645288E-2</v>
      </c>
      <c r="J34" s="7">
        <f t="shared" si="16"/>
        <v>0.25912316294914239</v>
      </c>
      <c r="K34" s="7">
        <f t="shared" si="17"/>
        <v>0</v>
      </c>
      <c r="L34" s="7">
        <f t="shared" si="18"/>
        <v>0.25912316294914239</v>
      </c>
      <c r="M34" s="7">
        <f t="shared" si="19"/>
        <v>1.7519214597818262E-2</v>
      </c>
      <c r="N34" s="7">
        <f t="shared" si="20"/>
        <v>0.25702471668133464</v>
      </c>
      <c r="O34" s="7">
        <f t="shared" si="21"/>
        <v>7.7101650198645288E-2</v>
      </c>
      <c r="Q34" s="7">
        <f t="shared" si="22"/>
        <v>-1</v>
      </c>
      <c r="R34" s="10">
        <f t="shared" si="23"/>
        <v>-1</v>
      </c>
      <c r="S34" s="3"/>
      <c r="V34" s="4">
        <v>4.1469023027385292</v>
      </c>
      <c r="W34" s="4">
        <f t="shared" si="24"/>
        <v>7.2862591045604417E-3</v>
      </c>
      <c r="X34" s="4">
        <f t="shared" si="25"/>
        <v>-1</v>
      </c>
    </row>
    <row r="35" spans="2:24" x14ac:dyDescent="0.3">
      <c r="B35" s="2">
        <v>0.23208660251050173</v>
      </c>
      <c r="C35" s="2">
        <f t="shared" si="10"/>
        <v>1.6475636367941717E-2</v>
      </c>
      <c r="D35" s="2">
        <f t="shared" si="11"/>
        <v>5.8866417705252021E-2</v>
      </c>
      <c r="E35" s="2">
        <f t="shared" si="12"/>
        <v>4.1978349372374567E-2</v>
      </c>
      <c r="F35" s="2">
        <f t="shared" si="13"/>
        <v>4.1953717582572624E-2</v>
      </c>
      <c r="G35" s="2">
        <f t="shared" si="14"/>
        <v>0.22961766186542332</v>
      </c>
      <c r="H35" s="2">
        <f t="shared" si="15"/>
        <v>7.5290255856129251E-2</v>
      </c>
      <c r="J35" s="7">
        <f t="shared" si="16"/>
        <v>0.23208660251050173</v>
      </c>
      <c r="K35" s="7">
        <f t="shared" si="17"/>
        <v>0</v>
      </c>
      <c r="L35" s="7">
        <f t="shared" si="18"/>
        <v>0.23208660251050173</v>
      </c>
      <c r="M35" s="7">
        <f t="shared" si="19"/>
        <v>1.6475636367941717E-2</v>
      </c>
      <c r="N35" s="7">
        <f t="shared" si="20"/>
        <v>0.22961766186542332</v>
      </c>
      <c r="O35" s="7">
        <f t="shared" si="21"/>
        <v>7.5290255856129251E-2</v>
      </c>
      <c r="Q35" s="7">
        <f t="shared" si="22"/>
        <v>-1</v>
      </c>
      <c r="R35" s="10">
        <f t="shared" si="23"/>
        <v>-1</v>
      </c>
      <c r="S35" s="3"/>
      <c r="V35" s="4">
        <v>4.2725660088821211</v>
      </c>
      <c r="W35" s="4">
        <f t="shared" si="24"/>
        <v>9.0323751158944386E-3</v>
      </c>
      <c r="X35" s="4">
        <f t="shared" si="25"/>
        <v>-1</v>
      </c>
    </row>
    <row r="36" spans="2:24" x14ac:dyDescent="0.3">
      <c r="B36" s="2">
        <v>0.20610737385376338</v>
      </c>
      <c r="C36" s="2">
        <f t="shared" si="10"/>
        <v>1.5300706190764462E-2</v>
      </c>
      <c r="D36" s="2">
        <f t="shared" si="11"/>
        <v>5.7714130243961284E-2</v>
      </c>
      <c r="E36" s="2">
        <f t="shared" si="12"/>
        <v>4.8473156536559148E-2</v>
      </c>
      <c r="F36" s="2">
        <f t="shared" si="13"/>
        <v>4.8435245035337963E-2</v>
      </c>
      <c r="G36" s="2">
        <f t="shared" si="14"/>
        <v>0.20331306867323345</v>
      </c>
      <c r="H36" s="2">
        <f t="shared" si="15"/>
        <v>7.2947151773948421E-2</v>
      </c>
      <c r="J36" s="7">
        <f t="shared" si="16"/>
        <v>0.20610737385376338</v>
      </c>
      <c r="K36" s="7">
        <f t="shared" si="17"/>
        <v>0</v>
      </c>
      <c r="L36" s="7">
        <f t="shared" si="18"/>
        <v>0.20610737385376338</v>
      </c>
      <c r="M36" s="7">
        <f t="shared" si="19"/>
        <v>1.5300706190764462E-2</v>
      </c>
      <c r="N36" s="7">
        <f t="shared" si="20"/>
        <v>0.20331306867323345</v>
      </c>
      <c r="O36" s="7">
        <f t="shared" si="21"/>
        <v>7.2947151773948421E-2</v>
      </c>
      <c r="Q36" s="7">
        <f t="shared" si="22"/>
        <v>-1</v>
      </c>
      <c r="R36" s="10">
        <f t="shared" si="23"/>
        <v>-1</v>
      </c>
      <c r="S36" s="3"/>
      <c r="V36" s="4">
        <v>4.398229715025713</v>
      </c>
      <c r="W36" s="4">
        <f t="shared" si="24"/>
        <v>1.0885034288696895E-2</v>
      </c>
      <c r="X36" s="4">
        <f t="shared" si="25"/>
        <v>-1</v>
      </c>
    </row>
    <row r="37" spans="2:24" x14ac:dyDescent="0.3">
      <c r="B37" s="2">
        <v>0.18128800512565513</v>
      </c>
      <c r="C37" s="2">
        <f t="shared" si="10"/>
        <v>1.4020632912260567E-2</v>
      </c>
      <c r="D37" s="2">
        <f t="shared" si="11"/>
        <v>5.6160228906708791E-2</v>
      </c>
      <c r="E37" s="2">
        <f t="shared" si="12"/>
        <v>5.467799871858621E-2</v>
      </c>
      <c r="F37" s="2">
        <f t="shared" si="13"/>
        <v>5.4623606284006004E-2</v>
      </c>
      <c r="G37" s="2">
        <f t="shared" si="14"/>
        <v>0.17822185618834593</v>
      </c>
      <c r="H37" s="2">
        <f t="shared" si="15"/>
        <v>7.0097098934542745E-2</v>
      </c>
      <c r="J37" s="7">
        <f t="shared" si="16"/>
        <v>0.18128800512565513</v>
      </c>
      <c r="K37" s="7">
        <f t="shared" si="17"/>
        <v>0</v>
      </c>
      <c r="L37" s="7">
        <f t="shared" si="18"/>
        <v>0.18128800512565513</v>
      </c>
      <c r="M37" s="7">
        <f t="shared" si="19"/>
        <v>1.4020632912260567E-2</v>
      </c>
      <c r="N37" s="7">
        <f t="shared" si="20"/>
        <v>0.17822185618834593</v>
      </c>
      <c r="O37" s="7">
        <f t="shared" si="21"/>
        <v>7.0097098934542745E-2</v>
      </c>
      <c r="Q37" s="7">
        <f t="shared" si="22"/>
        <v>-1</v>
      </c>
      <c r="R37" s="10">
        <f t="shared" si="23"/>
        <v>-1</v>
      </c>
      <c r="S37" s="3"/>
      <c r="V37" s="4">
        <v>4.5238934211693049</v>
      </c>
      <c r="W37" s="4">
        <f t="shared" si="24"/>
        <v>1.2815019081087776E-2</v>
      </c>
      <c r="X37" s="4">
        <f t="shared" si="25"/>
        <v>-1</v>
      </c>
    </row>
    <row r="38" spans="2:24" x14ac:dyDescent="0.3">
      <c r="B38" s="2">
        <v>0.15772644703565569</v>
      </c>
      <c r="C38" s="2">
        <f t="shared" si="10"/>
        <v>1.2662940691754127E-2</v>
      </c>
      <c r="D38" s="2">
        <f t="shared" si="11"/>
        <v>5.4207261901151105E-2</v>
      </c>
      <c r="E38" s="2">
        <f t="shared" si="12"/>
        <v>6.0568388241086069E-2</v>
      </c>
      <c r="F38" s="2">
        <f t="shared" si="13"/>
        <v>6.0494485199524245E-2</v>
      </c>
      <c r="G38" s="2">
        <f t="shared" si="14"/>
        <v>0.15444920637551968</v>
      </c>
      <c r="H38" s="2">
        <f t="shared" si="15"/>
        <v>6.6771044858094486E-2</v>
      </c>
      <c r="J38" s="7">
        <f t="shared" si="16"/>
        <v>0.15772644703565569</v>
      </c>
      <c r="K38" s="7">
        <f t="shared" si="17"/>
        <v>0</v>
      </c>
      <c r="L38" s="7">
        <f t="shared" si="18"/>
        <v>0.15772644703565569</v>
      </c>
      <c r="M38" s="7">
        <f t="shared" si="19"/>
        <v>1.2662940691754127E-2</v>
      </c>
      <c r="N38" s="7">
        <f t="shared" si="20"/>
        <v>0.15444920637551968</v>
      </c>
      <c r="O38" s="7">
        <f t="shared" si="21"/>
        <v>6.6771044858094486E-2</v>
      </c>
      <c r="Q38" s="7">
        <f t="shared" si="22"/>
        <v>-1</v>
      </c>
      <c r="R38" s="10">
        <f t="shared" si="23"/>
        <v>-1</v>
      </c>
      <c r="S38" s="3"/>
      <c r="V38" s="4">
        <v>4.6495571273128968</v>
      </c>
      <c r="W38" s="4">
        <f t="shared" si="24"/>
        <v>1.4791892479974044E-2</v>
      </c>
      <c r="X38" s="4">
        <f t="shared" si="25"/>
        <v>-1</v>
      </c>
    </row>
    <row r="39" spans="2:24" x14ac:dyDescent="0.3">
      <c r="B39" s="2">
        <v>0.13551568628929422</v>
      </c>
      <c r="C39" s="2">
        <f t="shared" si="10"/>
        <v>1.125600597512212E-2</v>
      </c>
      <c r="D39" s="2">
        <f t="shared" si="11"/>
        <v>5.186252661958473E-2</v>
      </c>
      <c r="E39" s="2">
        <f t="shared" si="12"/>
        <v>6.6121078427676436E-2</v>
      </c>
      <c r="F39" s="2">
        <f t="shared" si="13"/>
        <v>6.6024970027589128E-2</v>
      </c>
      <c r="G39" s="2">
        <f t="shared" si="14"/>
        <v>0.13209395184789172</v>
      </c>
      <c r="H39" s="2">
        <f t="shared" si="15"/>
        <v>6.3005531584345381E-2</v>
      </c>
      <c r="J39" s="7">
        <f t="shared" si="16"/>
        <v>0.13551568628929422</v>
      </c>
      <c r="K39" s="7">
        <f t="shared" si="17"/>
        <v>0</v>
      </c>
      <c r="L39" s="7">
        <f t="shared" si="18"/>
        <v>0.13551568628929422</v>
      </c>
      <c r="M39" s="7">
        <f t="shared" si="19"/>
        <v>1.125600597512212E-2</v>
      </c>
      <c r="N39" s="7">
        <f t="shared" si="20"/>
        <v>0.13209395184789172</v>
      </c>
      <c r="O39" s="7">
        <f t="shared" si="21"/>
        <v>6.3005531584345381E-2</v>
      </c>
      <c r="Q39" s="7">
        <f t="shared" si="22"/>
        <v>-1</v>
      </c>
      <c r="R39" s="10">
        <f t="shared" si="23"/>
        <v>-1</v>
      </c>
      <c r="S39" s="3"/>
      <c r="V39" s="4">
        <v>4.7752208334564887</v>
      </c>
      <c r="W39" s="4">
        <f t="shared" si="24"/>
        <v>1.6784478010928337E-2</v>
      </c>
      <c r="X39" s="4">
        <f t="shared" si="25"/>
        <v>-1</v>
      </c>
    </row>
    <row r="40" spans="2:24" x14ac:dyDescent="0.3">
      <c r="B40" s="2">
        <v>0.11474337861210537</v>
      </c>
      <c r="C40" s="2">
        <f t="shared" si="10"/>
        <v>9.828582494295416E-3</v>
      </c>
      <c r="D40" s="2">
        <f t="shared" si="11"/>
        <v>4.9137806558187586E-2</v>
      </c>
      <c r="E40" s="2">
        <f t="shared" si="12"/>
        <v>7.1314155346973648E-2</v>
      </c>
      <c r="F40" s="2">
        <f t="shared" si="13"/>
        <v>7.1193628570863893E-2</v>
      </c>
      <c r="G40" s="2">
        <f t="shared" si="14"/>
        <v>0.11124803432133949</v>
      </c>
      <c r="H40" s="2">
        <f t="shared" si="15"/>
        <v>5.8841913350694816E-2</v>
      </c>
      <c r="J40" s="7">
        <f t="shared" si="16"/>
        <v>0.11474337861210537</v>
      </c>
      <c r="K40" s="7">
        <f t="shared" si="17"/>
        <v>0</v>
      </c>
      <c r="L40" s="7">
        <f t="shared" si="18"/>
        <v>0.11474337861210537</v>
      </c>
      <c r="M40" s="7">
        <f t="shared" si="19"/>
        <v>9.828582494295416E-3</v>
      </c>
      <c r="N40" s="7">
        <f t="shared" si="20"/>
        <v>0.11124803432133949</v>
      </c>
      <c r="O40" s="7">
        <f t="shared" si="21"/>
        <v>5.8841913350694816E-2</v>
      </c>
      <c r="Q40" s="7">
        <f t="shared" si="22"/>
        <v>-1</v>
      </c>
      <c r="R40" s="10">
        <f t="shared" si="23"/>
        <v>-1</v>
      </c>
      <c r="S40" s="3"/>
      <c r="V40" s="4">
        <v>4.9008845396000806</v>
      </c>
      <c r="W40" s="4">
        <f t="shared" si="24"/>
        <v>1.8761351409814601E-2</v>
      </c>
      <c r="X40" s="4">
        <f t="shared" si="25"/>
        <v>-1</v>
      </c>
    </row>
    <row r="41" spans="2:24" x14ac:dyDescent="0.3">
      <c r="B41" s="2">
        <v>9.5491502812526274E-2</v>
      </c>
      <c r="C41" s="2">
        <f t="shared" si="10"/>
        <v>8.4093218925782882E-3</v>
      </c>
      <c r="D41" s="2">
        <f t="shared" si="11"/>
        <v>4.6048933169162663E-2</v>
      </c>
      <c r="E41" s="2">
        <f t="shared" si="12"/>
        <v>7.6127124296868423E-2</v>
      </c>
      <c r="F41" s="2">
        <f t="shared" si="13"/>
        <v>7.5980572717842934E-2</v>
      </c>
      <c r="G41" s="2">
        <f t="shared" si="14"/>
        <v>9.199604400546596E-2</v>
      </c>
      <c r="H41" s="2">
        <f t="shared" si="15"/>
        <v>5.4325397658546722E-2</v>
      </c>
      <c r="J41" s="7">
        <f t="shared" si="16"/>
        <v>9.5491502812526274E-2</v>
      </c>
      <c r="K41" s="7">
        <f t="shared" si="17"/>
        <v>0</v>
      </c>
      <c r="L41" s="7">
        <f t="shared" si="18"/>
        <v>9.5491502812526274E-2</v>
      </c>
      <c r="M41" s="7">
        <f t="shared" si="19"/>
        <v>8.4093218925782882E-3</v>
      </c>
      <c r="N41" s="7">
        <f t="shared" si="20"/>
        <v>9.199604400546596E-2</v>
      </c>
      <c r="O41" s="7">
        <f t="shared" si="21"/>
        <v>5.4325397658546722E-2</v>
      </c>
      <c r="Q41" s="7">
        <f t="shared" si="22"/>
        <v>-1</v>
      </c>
      <c r="R41" s="10">
        <f t="shared" si="23"/>
        <v>-1</v>
      </c>
      <c r="S41" s="3"/>
      <c r="V41" s="4">
        <v>5.0265482457436725</v>
      </c>
      <c r="W41" s="4">
        <f t="shared" si="24"/>
        <v>2.0691336202205479E-2</v>
      </c>
      <c r="X41" s="4">
        <f t="shared" si="25"/>
        <v>-1</v>
      </c>
    </row>
    <row r="42" spans="2:24" x14ac:dyDescent="0.3">
      <c r="B42" s="2">
        <v>7.7836037248992462E-2</v>
      </c>
      <c r="C42" s="2">
        <f t="shared" si="10"/>
        <v>7.0262976380709267E-3</v>
      </c>
      <c r="D42" s="2">
        <f t="shared" si="11"/>
        <v>4.2615185221405831E-2</v>
      </c>
      <c r="E42" s="2">
        <f t="shared" si="12"/>
        <v>8.0540990687751876E-2</v>
      </c>
      <c r="F42" s="2">
        <f t="shared" si="13"/>
        <v>8.0367512910042765E-2</v>
      </c>
      <c r="G42" s="2">
        <f t="shared" si="14"/>
        <v>7.4414846453686317E-2</v>
      </c>
      <c r="H42" s="2">
        <f t="shared" si="15"/>
        <v>4.9503932518050284E-2</v>
      </c>
      <c r="J42" s="7">
        <f t="shared" si="16"/>
        <v>7.7836037248992462E-2</v>
      </c>
      <c r="K42" s="7">
        <f t="shared" si="17"/>
        <v>0</v>
      </c>
      <c r="L42" s="7">
        <f t="shared" si="18"/>
        <v>7.7836037248992462E-2</v>
      </c>
      <c r="M42" s="7">
        <f t="shared" si="19"/>
        <v>7.0262976380709267E-3</v>
      </c>
      <c r="N42" s="7">
        <f t="shared" si="20"/>
        <v>7.4414846453686317E-2</v>
      </c>
      <c r="O42" s="7">
        <f t="shared" si="21"/>
        <v>4.9503932518050284E-2</v>
      </c>
      <c r="Q42" s="7">
        <f t="shared" si="22"/>
        <v>-1</v>
      </c>
      <c r="R42" s="10">
        <f t="shared" si="23"/>
        <v>-1</v>
      </c>
      <c r="S42" s="3"/>
      <c r="V42" s="4">
        <v>5.1522119518872644</v>
      </c>
      <c r="W42" s="4">
        <f t="shared" si="24"/>
        <v>2.2543995375007935E-2</v>
      </c>
      <c r="X42" s="4">
        <f t="shared" si="25"/>
        <v>-1</v>
      </c>
    </row>
    <row r="43" spans="2:24" x14ac:dyDescent="0.3">
      <c r="B43" s="2">
        <v>6.1846659978068208E-2</v>
      </c>
      <c r="C43" s="2">
        <f t="shared" si="10"/>
        <v>5.7065398290014726E-3</v>
      </c>
      <c r="D43" s="2">
        <f t="shared" si="11"/>
        <v>3.885854711932836E-2</v>
      </c>
      <c r="E43" s="2">
        <f t="shared" si="12"/>
        <v>8.453833500548294E-2</v>
      </c>
      <c r="F43" s="2">
        <f t="shared" si="13"/>
        <v>8.4337803305878312E-2</v>
      </c>
      <c r="G43" s="2">
        <f t="shared" si="14"/>
        <v>5.8573299192548021E-2</v>
      </c>
      <c r="H43" s="2">
        <f t="shared" si="15"/>
        <v>4.4426971042934013E-2</v>
      </c>
      <c r="J43" s="7">
        <f t="shared" si="16"/>
        <v>6.1846659978068208E-2</v>
      </c>
      <c r="K43" s="7">
        <f t="shared" si="17"/>
        <v>0</v>
      </c>
      <c r="L43" s="7">
        <f t="shared" si="18"/>
        <v>6.1846659978068208E-2</v>
      </c>
      <c r="M43" s="7">
        <f t="shared" si="19"/>
        <v>5.7065398290014726E-3</v>
      </c>
      <c r="N43" s="7">
        <f t="shared" si="20"/>
        <v>5.8573299192548021E-2</v>
      </c>
      <c r="O43" s="7">
        <f t="shared" si="21"/>
        <v>4.4426971042934013E-2</v>
      </c>
      <c r="Q43" s="7">
        <f t="shared" si="22"/>
        <v>-1</v>
      </c>
      <c r="R43" s="10">
        <f t="shared" si="23"/>
        <v>-1</v>
      </c>
      <c r="S43" s="3"/>
      <c r="V43" s="4">
        <v>5.2778756580308563</v>
      </c>
      <c r="W43" s="4">
        <f t="shared" si="24"/>
        <v>2.4290111386341923E-2</v>
      </c>
      <c r="X43" s="4">
        <f t="shared" si="25"/>
        <v>-1</v>
      </c>
    </row>
    <row r="44" spans="2:24" x14ac:dyDescent="0.3">
      <c r="B44" s="2">
        <v>4.7586473766990212E-2</v>
      </c>
      <c r="C44" s="2">
        <f t="shared" si="10"/>
        <v>4.4755883160019641E-3</v>
      </c>
      <c r="D44" s="2">
        <f t="shared" si="11"/>
        <v>3.4802855608929428E-2</v>
      </c>
      <c r="E44" s="2">
        <f t="shared" si="12"/>
        <v>8.8103381558252439E-2</v>
      </c>
      <c r="F44" s="2">
        <f t="shared" si="13"/>
        <v>8.7876478524314017E-2</v>
      </c>
      <c r="G44" s="2">
        <f t="shared" si="14"/>
        <v>4.4532056093878759E-2</v>
      </c>
      <c r="H44" s="2">
        <f t="shared" si="15"/>
        <v>3.9144151759187423E-2</v>
      </c>
      <c r="J44" s="7">
        <f t="shared" si="16"/>
        <v>4.7586473766990212E-2</v>
      </c>
      <c r="K44" s="7">
        <f t="shared" si="17"/>
        <v>0</v>
      </c>
      <c r="L44" s="7">
        <f t="shared" si="18"/>
        <v>4.7586473766990212E-2</v>
      </c>
      <c r="M44" s="7">
        <f t="shared" si="19"/>
        <v>4.4755883160019641E-3</v>
      </c>
      <c r="N44" s="7">
        <f t="shared" si="20"/>
        <v>4.4532056093878759E-2</v>
      </c>
      <c r="O44" s="7">
        <f t="shared" si="21"/>
        <v>3.9144151759187423E-2</v>
      </c>
      <c r="Q44" s="7">
        <f t="shared" si="22"/>
        <v>-1</v>
      </c>
      <c r="R44" s="10">
        <f t="shared" si="23"/>
        <v>-1</v>
      </c>
      <c r="S44" s="3"/>
      <c r="V44" s="4">
        <v>5.4035393641744482</v>
      </c>
      <c r="W44" s="4">
        <f t="shared" si="24"/>
        <v>2.5902146943629571E-2</v>
      </c>
      <c r="X44" s="4">
        <f t="shared" si="25"/>
        <v>-1</v>
      </c>
    </row>
    <row r="45" spans="2:24" x14ac:dyDescent="0.3">
      <c r="B45" s="2">
        <v>3.5111757055874271E-2</v>
      </c>
      <c r="C45" s="2">
        <f t="shared" si="10"/>
        <v>3.3570712701435843E-3</v>
      </c>
      <c r="D45" s="2">
        <f t="shared" si="11"/>
        <v>3.0472870912241847E-2</v>
      </c>
      <c r="E45" s="2">
        <f t="shared" si="12"/>
        <v>9.1222060736031424E-2</v>
      </c>
      <c r="F45" s="2">
        <f t="shared" si="13"/>
        <v>9.0970282932336416E-2</v>
      </c>
      <c r="G45" s="2">
        <f t="shared" si="14"/>
        <v>3.2343453282489693E-2</v>
      </c>
      <c r="H45" s="2">
        <f t="shared" si="15"/>
        <v>3.370393858544353E-2</v>
      </c>
      <c r="J45" s="7">
        <f t="shared" si="16"/>
        <v>3.5111757055874271E-2</v>
      </c>
      <c r="K45" s="7">
        <f t="shared" si="17"/>
        <v>0</v>
      </c>
      <c r="L45" s="7">
        <f t="shared" si="18"/>
        <v>3.5111757055874271E-2</v>
      </c>
      <c r="M45" s="7">
        <f t="shared" si="19"/>
        <v>3.3570712701435843E-3</v>
      </c>
      <c r="N45" s="7">
        <f t="shared" si="20"/>
        <v>3.2343453282489693E-2</v>
      </c>
      <c r="O45" s="7">
        <f t="shared" si="21"/>
        <v>3.370393858544353E-2</v>
      </c>
      <c r="Q45" s="7">
        <f t="shared" si="22"/>
        <v>-1</v>
      </c>
      <c r="R45" s="10">
        <f t="shared" si="23"/>
        <v>-1</v>
      </c>
      <c r="S45" s="3"/>
      <c r="V45" s="4">
        <v>5.5292030703180401</v>
      </c>
      <c r="W45" s="4">
        <f t="shared" si="24"/>
        <v>2.735467928314908E-2</v>
      </c>
      <c r="X45" s="4">
        <f t="shared" si="25"/>
        <v>-1</v>
      </c>
    </row>
    <row r="46" spans="2:24" x14ac:dyDescent="0.3">
      <c r="B46" s="2">
        <v>2.4471741852423234E-2</v>
      </c>
      <c r="C46" s="2">
        <f t="shared" si="10"/>
        <v>2.3723159165808679E-3</v>
      </c>
      <c r="D46" s="2">
        <f t="shared" si="11"/>
        <v>2.5893313174852852E-2</v>
      </c>
      <c r="E46" s="2">
        <f t="shared" si="12"/>
        <v>9.3882064536894169E-2</v>
      </c>
      <c r="F46" s="2">
        <f t="shared" si="13"/>
        <v>9.3607693477345613E-2</v>
      </c>
      <c r="G46" s="2">
        <f t="shared" si="14"/>
        <v>2.2051466716221498E-2</v>
      </c>
      <c r="H46" s="2">
        <f t="shared" si="15"/>
        <v>2.8152268116615916E-2</v>
      </c>
      <c r="J46" s="7">
        <f t="shared" si="16"/>
        <v>2.4471741852423234E-2</v>
      </c>
      <c r="K46" s="7">
        <f t="shared" si="17"/>
        <v>0</v>
      </c>
      <c r="L46" s="7">
        <f t="shared" si="18"/>
        <v>2.4471741852423234E-2</v>
      </c>
      <c r="M46" s="7">
        <f t="shared" si="19"/>
        <v>2.3723159165808679E-3</v>
      </c>
      <c r="N46" s="7">
        <f t="shared" si="20"/>
        <v>2.2051466716221498E-2</v>
      </c>
      <c r="O46" s="7">
        <f t="shared" si="21"/>
        <v>2.8152268116615916E-2</v>
      </c>
      <c r="Q46" s="7">
        <f t="shared" si="22"/>
        <v>-1</v>
      </c>
      <c r="R46" s="10">
        <f t="shared" si="23"/>
        <v>-1</v>
      </c>
      <c r="S46" s="3"/>
      <c r="V46" s="4">
        <v>5.654866776461632</v>
      </c>
      <c r="W46" s="4">
        <f t="shared" si="24"/>
        <v>2.8624801102205468E-2</v>
      </c>
      <c r="X46" s="4">
        <f t="shared" si="25"/>
        <v>-1</v>
      </c>
    </row>
    <row r="47" spans="2:24" x14ac:dyDescent="0.3">
      <c r="B47" s="2">
        <v>1.5708419435684462E-2</v>
      </c>
      <c r="C47" s="2">
        <f t="shared" si="10"/>
        <v>1.5399976384225223E-3</v>
      </c>
      <c r="D47" s="2">
        <f t="shared" si="11"/>
        <v>2.1087907881769539E-2</v>
      </c>
      <c r="E47" s="2">
        <f t="shared" si="12"/>
        <v>9.6072895141078862E-2</v>
      </c>
      <c r="F47" s="2">
        <f t="shared" si="13"/>
        <v>9.5778937060084501E-2</v>
      </c>
      <c r="G47" s="2">
        <f t="shared" si="14"/>
        <v>1.3691728724409448E-2</v>
      </c>
      <c r="H47" s="2">
        <f t="shared" si="15"/>
        <v>2.2531253375158589E-2</v>
      </c>
      <c r="J47" s="7">
        <f t="shared" si="16"/>
        <v>1.5708419435684462E-2</v>
      </c>
      <c r="K47" s="7">
        <f t="shared" si="17"/>
        <v>0</v>
      </c>
      <c r="L47" s="7">
        <f t="shared" si="18"/>
        <v>1.5708419435684462E-2</v>
      </c>
      <c r="M47" s="7">
        <f t="shared" si="19"/>
        <v>1.5399976384225223E-3</v>
      </c>
      <c r="N47" s="7">
        <f t="shared" si="20"/>
        <v>1.3691728724409448E-2</v>
      </c>
      <c r="O47" s="7">
        <f t="shared" si="21"/>
        <v>2.2531253375158589E-2</v>
      </c>
      <c r="Q47" s="7">
        <f t="shared" si="22"/>
        <v>-1</v>
      </c>
      <c r="R47" s="10">
        <f t="shared" si="23"/>
        <v>-1</v>
      </c>
      <c r="S47" s="3"/>
      <c r="V47" s="4">
        <v>5.780530482605224</v>
      </c>
      <c r="W47" s="4">
        <f t="shared" si="24"/>
        <v>2.9692481820978219E-2</v>
      </c>
      <c r="X47" s="4">
        <f t="shared" si="25"/>
        <v>-1</v>
      </c>
    </row>
    <row r="48" spans="2:24" x14ac:dyDescent="0.3">
      <c r="B48" s="2">
        <v>8.8563746356556394E-3</v>
      </c>
      <c r="C48" s="2">
        <f t="shared" si="10"/>
        <v>8.7583304210467816E-4</v>
      </c>
      <c r="D48" s="2">
        <f t="shared" si="11"/>
        <v>1.6078484405345039E-2</v>
      </c>
      <c r="E48" s="2">
        <f t="shared" si="12"/>
        <v>9.7785906341086068E-2</v>
      </c>
      <c r="F48" s="2">
        <f t="shared" si="13"/>
        <v>9.747600339837198E-2</v>
      </c>
      <c r="G48" s="2">
        <f t="shared" si="14"/>
        <v>7.2915889718404639E-3</v>
      </c>
      <c r="H48" s="2">
        <f t="shared" si="15"/>
        <v>1.6877992477607191E-2</v>
      </c>
      <c r="J48" s="7">
        <f t="shared" si="16"/>
        <v>8.8563746356556394E-3</v>
      </c>
      <c r="K48" s="7">
        <f t="shared" si="17"/>
        <v>0</v>
      </c>
      <c r="L48" s="7">
        <f t="shared" si="18"/>
        <v>8.8563746356556394E-3</v>
      </c>
      <c r="M48" s="7">
        <f t="shared" si="19"/>
        <v>8.7583304210467816E-4</v>
      </c>
      <c r="N48" s="7">
        <f t="shared" si="20"/>
        <v>7.2915889718404639E-3</v>
      </c>
      <c r="O48" s="7">
        <f t="shared" si="21"/>
        <v>1.6877992477607191E-2</v>
      </c>
      <c r="Q48" s="7">
        <f t="shared" si="22"/>
        <v>-1</v>
      </c>
      <c r="R48" s="10">
        <f t="shared" si="23"/>
        <v>-1</v>
      </c>
      <c r="S48" s="3"/>
      <c r="V48" s="4">
        <v>5.9061941887488159</v>
      </c>
      <c r="W48" s="4">
        <f t="shared" si="24"/>
        <v>3.0540883476730743E-2</v>
      </c>
      <c r="X48" s="4">
        <f t="shared" si="25"/>
        <v>-1</v>
      </c>
    </row>
    <row r="49" spans="2:24" x14ac:dyDescent="0.3">
      <c r="B49" s="2">
        <v>3.942649342761062E-3</v>
      </c>
      <c r="C49" s="2">
        <f t="shared" si="10"/>
        <v>3.9232187379610931E-4</v>
      </c>
      <c r="D49" s="2">
        <f t="shared" si="11"/>
        <v>1.0884170033855379E-2</v>
      </c>
      <c r="E49" s="2">
        <f t="shared" si="12"/>
        <v>9.9014337664309712E-2</v>
      </c>
      <c r="F49" s="2">
        <f t="shared" si="13"/>
        <v>9.8692654250380638E-2</v>
      </c>
      <c r="G49" s="2">
        <f t="shared" si="14"/>
        <v>2.8702046713031367E-3</v>
      </c>
      <c r="H49" s="2">
        <f t="shared" si="15"/>
        <v>1.1223527704752186E-2</v>
      </c>
      <c r="J49" s="7">
        <f t="shared" si="16"/>
        <v>3.942649342761062E-3</v>
      </c>
      <c r="K49" s="7">
        <f t="shared" si="17"/>
        <v>0</v>
      </c>
      <c r="L49" s="7">
        <f t="shared" si="18"/>
        <v>3.942649342761062E-3</v>
      </c>
      <c r="M49" s="7">
        <f t="shared" si="19"/>
        <v>3.9232187379610931E-4</v>
      </c>
      <c r="N49" s="7">
        <f t="shared" si="20"/>
        <v>2.8702046713031367E-3</v>
      </c>
      <c r="O49" s="7">
        <f t="shared" si="21"/>
        <v>1.1223527704752186E-2</v>
      </c>
      <c r="Q49" s="7">
        <f t="shared" si="22"/>
        <v>-1</v>
      </c>
      <c r="R49" s="10">
        <f t="shared" si="23"/>
        <v>-1</v>
      </c>
      <c r="S49" s="3"/>
      <c r="V49" s="4">
        <v>6.0318578948924078</v>
      </c>
      <c r="W49" s="4">
        <f t="shared" si="24"/>
        <v>3.1156626268541241E-2</v>
      </c>
      <c r="X49" s="4">
        <f t="shared" si="25"/>
        <v>-1</v>
      </c>
    </row>
    <row r="50" spans="2:24" x14ac:dyDescent="0.3">
      <c r="B50" s="2">
        <v>9.8663578586422052E-4</v>
      </c>
      <c r="C50" s="2">
        <f t="shared" si="10"/>
        <v>9.8541897314678538E-5</v>
      </c>
      <c r="D50" s="2">
        <f t="shared" si="11"/>
        <v>5.5207177614920262E-3</v>
      </c>
      <c r="E50" s="2">
        <f t="shared" si="12"/>
        <v>9.9753341053533923E-2</v>
      </c>
      <c r="F50" s="2">
        <f t="shared" si="13"/>
        <v>9.9424429753009122E-2</v>
      </c>
      <c r="G50" s="2">
        <f t="shared" si="14"/>
        <v>4.3864544682676026E-4</v>
      </c>
      <c r="H50" s="2">
        <f t="shared" si="15"/>
        <v>5.5919953821796532E-3</v>
      </c>
      <c r="J50" s="7">
        <f t="shared" si="16"/>
        <v>9.8663578586422052E-4</v>
      </c>
      <c r="K50" s="7">
        <f t="shared" si="17"/>
        <v>0</v>
      </c>
      <c r="L50" s="7">
        <f t="shared" si="18"/>
        <v>9.8663578586422052E-4</v>
      </c>
      <c r="M50" s="7">
        <f t="shared" si="19"/>
        <v>9.8541897314678538E-5</v>
      </c>
      <c r="N50" s="7">
        <f t="shared" si="20"/>
        <v>4.3864544682676026E-4</v>
      </c>
      <c r="O50" s="7">
        <f t="shared" si="21"/>
        <v>5.5919953821796532E-3</v>
      </c>
      <c r="Q50" s="7">
        <f t="shared" si="22"/>
        <v>-1</v>
      </c>
      <c r="R50" s="10">
        <f t="shared" si="23"/>
        <v>-1</v>
      </c>
      <c r="S50" s="3"/>
      <c r="V50" s="4">
        <v>6.1575216010359997</v>
      </c>
      <c r="W50" s="4">
        <f t="shared" si="24"/>
        <v>3.1529999564755939E-2</v>
      </c>
      <c r="X50" s="4">
        <f t="shared" si="25"/>
        <v>-1</v>
      </c>
    </row>
    <row r="51" spans="2:24" x14ac:dyDescent="0.3">
      <c r="B51" s="2">
        <v>0</v>
      </c>
      <c r="C51" s="2">
        <f t="shared" si="10"/>
        <v>0</v>
      </c>
      <c r="D51" s="2">
        <f t="shared" si="11"/>
        <v>0</v>
      </c>
      <c r="E51" s="2">
        <f t="shared" si="12"/>
        <v>9.9999999999999978E-2</v>
      </c>
      <c r="F51" s="2">
        <f t="shared" si="13"/>
        <v>9.966865249116201E-2</v>
      </c>
      <c r="G51" s="2">
        <f t="shared" si="14"/>
        <v>0</v>
      </c>
      <c r="H51" s="2">
        <f t="shared" si="15"/>
        <v>0</v>
      </c>
      <c r="J51" s="7">
        <f t="shared" si="16"/>
        <v>0</v>
      </c>
      <c r="K51" s="7">
        <f t="shared" si="17"/>
        <v>0</v>
      </c>
      <c r="L51" s="7">
        <f t="shared" si="18"/>
        <v>0</v>
      </c>
      <c r="M51" s="7">
        <f t="shared" si="19"/>
        <v>0</v>
      </c>
      <c r="N51" s="7">
        <f t="shared" si="20"/>
        <v>0</v>
      </c>
      <c r="O51" s="7">
        <f t="shared" si="21"/>
        <v>0</v>
      </c>
      <c r="Q51" s="7">
        <f t="shared" si="22"/>
        <v>-1</v>
      </c>
      <c r="R51" s="10">
        <f t="shared" si="23"/>
        <v>-1</v>
      </c>
      <c r="V51" s="4">
        <v>6.2831853071795916</v>
      </c>
      <c r="W51" s="4">
        <f t="shared" si="24"/>
        <v>3.165511504545114E-2</v>
      </c>
      <c r="X51" s="4">
        <f t="shared" si="25"/>
        <v>-1</v>
      </c>
    </row>
    <row r="52" spans="2:24" x14ac:dyDescent="0.3">
      <c r="B52" s="2" cm="1">
        <f t="array" ref="B52:B102">0.5*(1-COS((_xlfn.SEQUENCE(51,1,0,1)*PI())/50))</f>
        <v>0</v>
      </c>
      <c r="C52" s="2">
        <f t="shared" si="10"/>
        <v>0</v>
      </c>
      <c r="D52" s="2">
        <f t="shared" si="11"/>
        <v>0</v>
      </c>
      <c r="E52" s="2">
        <f t="shared" si="12"/>
        <v>9.9999999999999978E-2</v>
      </c>
      <c r="F52" s="2">
        <f t="shared" si="13"/>
        <v>9.966865249116201E-2</v>
      </c>
      <c r="G52" s="2">
        <f>B52+D52*SIN(F52)</f>
        <v>0</v>
      </c>
      <c r="H52" s="2">
        <f>C52-D52*COS(F52)</f>
        <v>0</v>
      </c>
      <c r="M52" s="10"/>
      <c r="N52" s="7">
        <f t="shared" si="20"/>
        <v>0</v>
      </c>
      <c r="O52" s="7">
        <f t="shared" si="21"/>
        <v>0</v>
      </c>
    </row>
    <row r="53" spans="2:24" x14ac:dyDescent="0.3">
      <c r="B53" s="2">
        <v>9.8663578586422052E-4</v>
      </c>
      <c r="C53" s="2">
        <f t="shared" si="10"/>
        <v>9.8541897314678538E-5</v>
      </c>
      <c r="D53" s="2">
        <f t="shared" si="11"/>
        <v>5.5207177614920262E-3</v>
      </c>
      <c r="E53" s="2">
        <f t="shared" si="12"/>
        <v>9.9753341053533923E-2</v>
      </c>
      <c r="F53" s="2">
        <f t="shared" si="13"/>
        <v>9.9424429753009122E-2</v>
      </c>
      <c r="G53" s="2">
        <f t="shared" ref="G53:G101" si="26">B53+D53*SIN(F53)</f>
        <v>1.5346261249016809E-3</v>
      </c>
      <c r="H53" s="2">
        <f t="shared" ref="H53:H101" si="27">C53-D53*COS(F53)</f>
        <v>-5.3949115875502954E-3</v>
      </c>
      <c r="M53" s="10"/>
      <c r="N53" s="7">
        <f t="shared" si="20"/>
        <v>1.5346261249016809E-3</v>
      </c>
      <c r="O53" s="7">
        <f t="shared" si="21"/>
        <v>-5.3949115875502954E-3</v>
      </c>
    </row>
    <row r="54" spans="2:24" x14ac:dyDescent="0.3">
      <c r="B54" s="2">
        <v>3.942649342761062E-3</v>
      </c>
      <c r="C54" s="2">
        <f t="shared" si="10"/>
        <v>3.9232187379610931E-4</v>
      </c>
      <c r="D54" s="2">
        <f t="shared" si="11"/>
        <v>1.0884170033855379E-2</v>
      </c>
      <c r="E54" s="2">
        <f t="shared" si="12"/>
        <v>9.9014337664309712E-2</v>
      </c>
      <c r="F54" s="2">
        <f t="shared" si="13"/>
        <v>9.8692654250380638E-2</v>
      </c>
      <c r="G54" s="2">
        <f t="shared" si="26"/>
        <v>5.0150940142189874E-3</v>
      </c>
      <c r="H54" s="2">
        <f t="shared" si="27"/>
        <v>-1.0438883957159967E-2</v>
      </c>
      <c r="M54" s="10"/>
      <c r="N54" s="7">
        <f t="shared" si="20"/>
        <v>5.0150940142189874E-3</v>
      </c>
      <c r="O54" s="7">
        <f t="shared" si="21"/>
        <v>-1.0438883957159967E-2</v>
      </c>
    </row>
    <row r="55" spans="2:24" x14ac:dyDescent="0.3">
      <c r="B55" s="2">
        <v>8.8563746356556394E-3</v>
      </c>
      <c r="C55" s="2">
        <f t="shared" si="10"/>
        <v>8.7583304210467816E-4</v>
      </c>
      <c r="D55" s="2">
        <f t="shared" si="11"/>
        <v>1.6078484405345039E-2</v>
      </c>
      <c r="E55" s="2">
        <f t="shared" si="12"/>
        <v>9.7785906341086068E-2</v>
      </c>
      <c r="F55" s="2">
        <f t="shared" si="13"/>
        <v>9.747600339837198E-2</v>
      </c>
      <c r="G55" s="2">
        <f t="shared" si="26"/>
        <v>1.0421160299470815E-2</v>
      </c>
      <c r="H55" s="2">
        <f t="shared" si="27"/>
        <v>-1.5126326393397836E-2</v>
      </c>
      <c r="M55" s="10"/>
      <c r="N55" s="7">
        <f t="shared" si="20"/>
        <v>1.0421160299470815E-2</v>
      </c>
      <c r="O55" s="7">
        <f t="shared" si="21"/>
        <v>-1.5126326393397836E-2</v>
      </c>
    </row>
    <row r="56" spans="2:24" x14ac:dyDescent="0.3">
      <c r="B56" s="2">
        <v>1.5708419435684462E-2</v>
      </c>
      <c r="C56" s="2">
        <f t="shared" si="10"/>
        <v>1.5399976384225223E-3</v>
      </c>
      <c r="D56" s="2">
        <f t="shared" si="11"/>
        <v>2.1087907881769539E-2</v>
      </c>
      <c r="E56" s="2">
        <f t="shared" si="12"/>
        <v>9.6072895141078862E-2</v>
      </c>
      <c r="F56" s="2">
        <f t="shared" si="13"/>
        <v>9.5778937060084501E-2</v>
      </c>
      <c r="G56" s="2">
        <f t="shared" si="26"/>
        <v>1.7725110146959475E-2</v>
      </c>
      <c r="H56" s="2">
        <f t="shared" si="27"/>
        <v>-1.9451258098313547E-2</v>
      </c>
      <c r="M56" s="10"/>
      <c r="N56" s="7">
        <f t="shared" si="20"/>
        <v>1.7725110146959475E-2</v>
      </c>
      <c r="O56" s="7">
        <f t="shared" si="21"/>
        <v>-1.9451258098313547E-2</v>
      </c>
    </row>
    <row r="57" spans="2:24" x14ac:dyDescent="0.3">
      <c r="B57" s="2">
        <v>2.4471741852423234E-2</v>
      </c>
      <c r="C57" s="2">
        <f t="shared" si="10"/>
        <v>2.3723159165808679E-3</v>
      </c>
      <c r="D57" s="2">
        <f t="shared" si="11"/>
        <v>2.5893313174852852E-2</v>
      </c>
      <c r="E57" s="2">
        <f t="shared" si="12"/>
        <v>9.3882064536894169E-2</v>
      </c>
      <c r="F57" s="2">
        <f t="shared" si="13"/>
        <v>9.3607693477345613E-2</v>
      </c>
      <c r="G57" s="2">
        <f t="shared" si="26"/>
        <v>2.6892016988624971E-2</v>
      </c>
      <c r="H57" s="2">
        <f t="shared" si="27"/>
        <v>-2.3407636283454183E-2</v>
      </c>
      <c r="M57" s="10"/>
      <c r="N57" s="7">
        <f t="shared" si="20"/>
        <v>2.6892016988624971E-2</v>
      </c>
      <c r="O57" s="7">
        <f t="shared" si="21"/>
        <v>-2.3407636283454183E-2</v>
      </c>
    </row>
    <row r="58" spans="2:24" x14ac:dyDescent="0.3">
      <c r="B58" s="2">
        <v>3.5111757055874271E-2</v>
      </c>
      <c r="C58" s="2">
        <f t="shared" si="10"/>
        <v>3.3570712701435843E-3</v>
      </c>
      <c r="D58" s="2">
        <f t="shared" si="11"/>
        <v>3.0472870912241847E-2</v>
      </c>
      <c r="E58" s="2">
        <f t="shared" si="12"/>
        <v>9.1222060736031424E-2</v>
      </c>
      <c r="F58" s="2">
        <f t="shared" si="13"/>
        <v>9.0970282932336416E-2</v>
      </c>
      <c r="G58" s="2">
        <f t="shared" si="26"/>
        <v>3.7880060829258849E-2</v>
      </c>
      <c r="H58" s="2">
        <f t="shared" si="27"/>
        <v>-2.6989796045156361E-2</v>
      </c>
      <c r="M58" s="10"/>
      <c r="N58" s="7">
        <f t="shared" si="20"/>
        <v>3.7880060829258849E-2</v>
      </c>
      <c r="O58" s="7">
        <f t="shared" si="21"/>
        <v>-2.6989796045156361E-2</v>
      </c>
    </row>
    <row r="59" spans="2:24" x14ac:dyDescent="0.3">
      <c r="B59" s="2">
        <v>4.7586473766990212E-2</v>
      </c>
      <c r="C59" s="2">
        <f t="shared" si="10"/>
        <v>4.4755883160019641E-3</v>
      </c>
      <c r="D59" s="2">
        <f t="shared" si="11"/>
        <v>3.4802855608929428E-2</v>
      </c>
      <c r="E59" s="2">
        <f t="shared" si="12"/>
        <v>8.8103381558252439E-2</v>
      </c>
      <c r="F59" s="2">
        <f t="shared" si="13"/>
        <v>8.7876478524314017E-2</v>
      </c>
      <c r="G59" s="2">
        <f t="shared" si="26"/>
        <v>5.0640891440101664E-2</v>
      </c>
      <c r="H59" s="2">
        <f t="shared" si="27"/>
        <v>-3.0192975127183497E-2</v>
      </c>
      <c r="M59" s="10"/>
      <c r="N59" s="7">
        <f t="shared" si="20"/>
        <v>5.0640891440101664E-2</v>
      </c>
      <c r="O59" s="7">
        <f t="shared" si="21"/>
        <v>-3.0192975127183497E-2</v>
      </c>
    </row>
    <row r="60" spans="2:24" x14ac:dyDescent="0.3">
      <c r="B60" s="2">
        <v>6.1846659978068208E-2</v>
      </c>
      <c r="C60" s="2">
        <f t="shared" si="10"/>
        <v>5.7065398290014726E-3</v>
      </c>
      <c r="D60" s="2">
        <f t="shared" si="11"/>
        <v>3.885854711932836E-2</v>
      </c>
      <c r="E60" s="2">
        <f t="shared" si="12"/>
        <v>8.453833500548294E-2</v>
      </c>
      <c r="F60" s="2">
        <f t="shared" si="13"/>
        <v>8.4337803305878312E-2</v>
      </c>
      <c r="G60" s="2">
        <f t="shared" si="26"/>
        <v>6.5120020763588402E-2</v>
      </c>
      <c r="H60" s="2">
        <f t="shared" si="27"/>
        <v>-3.3013891384931063E-2</v>
      </c>
      <c r="M60" s="10"/>
      <c r="N60" s="7">
        <f t="shared" si="20"/>
        <v>6.5120020763588402E-2</v>
      </c>
      <c r="O60" s="7">
        <f t="shared" si="21"/>
        <v>-3.3013891384931063E-2</v>
      </c>
    </row>
    <row r="61" spans="2:24" x14ac:dyDescent="0.3">
      <c r="B61" s="2">
        <v>7.7836037248992462E-2</v>
      </c>
      <c r="C61" s="2">
        <f t="shared" si="10"/>
        <v>7.0262976380709267E-3</v>
      </c>
      <c r="D61" s="2">
        <f t="shared" si="11"/>
        <v>4.2615185221405831E-2</v>
      </c>
      <c r="E61" s="2">
        <f t="shared" si="12"/>
        <v>8.0540990687751876E-2</v>
      </c>
      <c r="F61" s="2">
        <f t="shared" si="13"/>
        <v>8.0367512910042765E-2</v>
      </c>
      <c r="G61" s="2">
        <f t="shared" si="26"/>
        <v>8.1257228044298607E-2</v>
      </c>
      <c r="H61" s="2">
        <f t="shared" si="27"/>
        <v>-3.5451337241908423E-2</v>
      </c>
      <c r="M61" s="10"/>
      <c r="N61" s="7">
        <f t="shared" si="20"/>
        <v>8.1257228044298607E-2</v>
      </c>
      <c r="O61" s="7">
        <f t="shared" si="21"/>
        <v>-3.5451337241908423E-2</v>
      </c>
    </row>
    <row r="62" spans="2:24" x14ac:dyDescent="0.3">
      <c r="B62" s="2">
        <v>9.5491502812526274E-2</v>
      </c>
      <c r="C62" s="2">
        <f t="shared" si="10"/>
        <v>8.4093218925782882E-3</v>
      </c>
      <c r="D62" s="2">
        <f t="shared" si="11"/>
        <v>4.6048933169162663E-2</v>
      </c>
      <c r="E62" s="2">
        <f t="shared" si="12"/>
        <v>7.6127124296868423E-2</v>
      </c>
      <c r="F62" s="2">
        <f t="shared" si="13"/>
        <v>7.5980572717842934E-2</v>
      </c>
      <c r="G62" s="2">
        <f t="shared" si="26"/>
        <v>9.8986961619586589E-2</v>
      </c>
      <c r="H62" s="2">
        <f t="shared" si="27"/>
        <v>-3.7506753873390149E-2</v>
      </c>
      <c r="M62" s="10"/>
      <c r="N62" s="7">
        <f t="shared" si="20"/>
        <v>9.8986961619586589E-2</v>
      </c>
      <c r="O62" s="7">
        <f t="shared" si="21"/>
        <v>-3.7506753873390149E-2</v>
      </c>
    </row>
    <row r="63" spans="2:24" x14ac:dyDescent="0.3">
      <c r="B63" s="2">
        <v>0.11474337861210537</v>
      </c>
      <c r="C63" s="2">
        <f t="shared" si="10"/>
        <v>9.828582494295416E-3</v>
      </c>
      <c r="D63" s="2">
        <f t="shared" si="11"/>
        <v>4.9137806558187586E-2</v>
      </c>
      <c r="E63" s="2">
        <f t="shared" si="12"/>
        <v>7.1314155346973648E-2</v>
      </c>
      <c r="F63" s="2">
        <f t="shared" si="13"/>
        <v>7.1193628570863893E-2</v>
      </c>
      <c r="G63" s="2">
        <f t="shared" si="26"/>
        <v>0.11823872290287125</v>
      </c>
      <c r="H63" s="2">
        <f t="shared" si="27"/>
        <v>-3.9184748362103977E-2</v>
      </c>
      <c r="M63" s="10"/>
      <c r="N63" s="7">
        <f t="shared" si="20"/>
        <v>0.11823872290287125</v>
      </c>
      <c r="O63" s="7">
        <f t="shared" si="21"/>
        <v>-3.9184748362103977E-2</v>
      </c>
    </row>
    <row r="64" spans="2:24" x14ac:dyDescent="0.3">
      <c r="B64" s="2">
        <v>0.13551568628929422</v>
      </c>
      <c r="C64" s="2">
        <f t="shared" si="10"/>
        <v>1.125600597512212E-2</v>
      </c>
      <c r="D64" s="2">
        <f t="shared" si="11"/>
        <v>5.186252661958473E-2</v>
      </c>
      <c r="E64" s="2">
        <f t="shared" si="12"/>
        <v>6.6121078427676436E-2</v>
      </c>
      <c r="F64" s="2">
        <f t="shared" si="13"/>
        <v>6.6024970027589128E-2</v>
      </c>
      <c r="G64" s="2">
        <f t="shared" si="26"/>
        <v>0.13893742073069673</v>
      </c>
      <c r="H64" s="2">
        <f t="shared" si="27"/>
        <v>-4.0493519634101145E-2</v>
      </c>
      <c r="M64" s="10"/>
      <c r="N64" s="7">
        <f t="shared" si="20"/>
        <v>0.13893742073069673</v>
      </c>
      <c r="O64" s="7">
        <f t="shared" si="21"/>
        <v>-4.0493519634101145E-2</v>
      </c>
    </row>
    <row r="65" spans="2:15" x14ac:dyDescent="0.3">
      <c r="B65" s="2">
        <v>0.15772644703565569</v>
      </c>
      <c r="C65" s="2">
        <f t="shared" si="10"/>
        <v>1.2662940691754127E-2</v>
      </c>
      <c r="D65" s="2">
        <f t="shared" si="11"/>
        <v>5.4207261901151105E-2</v>
      </c>
      <c r="E65" s="2">
        <f t="shared" si="12"/>
        <v>6.0568388241086069E-2</v>
      </c>
      <c r="F65" s="2">
        <f t="shared" si="13"/>
        <v>6.0494485199524245E-2</v>
      </c>
      <c r="G65" s="2">
        <f t="shared" si="26"/>
        <v>0.16100368769579171</v>
      </c>
      <c r="H65" s="2">
        <f t="shared" si="27"/>
        <v>-4.1445163474586239E-2</v>
      </c>
      <c r="M65" s="10"/>
      <c r="N65" s="7">
        <f t="shared" ref="N65:N96" si="28">G65*COS($A$9)+H65*SIN($A$9)</f>
        <v>0.16100368769579171</v>
      </c>
      <c r="O65" s="7">
        <f t="shared" ref="O65:O96" si="29">-G65*SIN($A$9)+H65*COS($A$9)</f>
        <v>-4.1445163474586239E-2</v>
      </c>
    </row>
    <row r="66" spans="2:15" x14ac:dyDescent="0.3">
      <c r="B66" s="2">
        <v>0.18128800512565513</v>
      </c>
      <c r="C66" s="2">
        <f t="shared" ref="C66:C102" si="30">IF($A$12=$A$13, 0, IF(B66&lt;=$A$6, ($A$5/$A$6^2)*(2*$A$6*B66-B66^2), ($A$5/(1-$A$6)^2)*((1-2*$A$6)+2*$A$6*B66-B66^2)))</f>
        <v>1.4020632912260567E-2</v>
      </c>
      <c r="D66" s="2">
        <f t="shared" ref="D66:D102" si="31">IF($T$4, 5*$A$7*(0.298*SQRT(B66)-0.132*B66-0.3287*B66^2+0.2442*B66^3-0.0815*B66^4), 5*$A$7*(0.2969*SQRT(B66)-0.126*B66-0.3516*B66^2+0.2843*B66^3-0.1015*B66^4))</f>
        <v>5.6160228906708791E-2</v>
      </c>
      <c r="E66" s="2">
        <f t="shared" ref="E66:E102" si="32">IF($A$12=$A$13, 0, IF(B66&lt;=$A$6, ($A$5/$A$6^2) *(2*$A$6-2*B66), ($A$5/(1-$A$6)^2)*(2*$A$6-2*B66)))</f>
        <v>5.467799871858621E-2</v>
      </c>
      <c r="F66" s="2">
        <f t="shared" ref="F66:F102" si="33">IF($A$12=$A$13, 0,  ATAN(E66))</f>
        <v>5.4623606284006004E-2</v>
      </c>
      <c r="G66" s="2">
        <f t="shared" si="26"/>
        <v>0.18435415406296432</v>
      </c>
      <c r="H66" s="2">
        <f t="shared" si="27"/>
        <v>-4.2055833110021604E-2</v>
      </c>
      <c r="M66" s="10"/>
      <c r="N66" s="7">
        <f t="shared" si="28"/>
        <v>0.18435415406296432</v>
      </c>
      <c r="O66" s="7">
        <f t="shared" si="29"/>
        <v>-4.2055833110021604E-2</v>
      </c>
    </row>
    <row r="67" spans="2:15" x14ac:dyDescent="0.3">
      <c r="B67" s="2">
        <v>0.20610737385376338</v>
      </c>
      <c r="C67" s="2">
        <f t="shared" si="30"/>
        <v>1.5300706190764462E-2</v>
      </c>
      <c r="D67" s="2">
        <f t="shared" si="31"/>
        <v>5.7714130243961284E-2</v>
      </c>
      <c r="E67" s="2">
        <f t="shared" si="32"/>
        <v>4.8473156536559148E-2</v>
      </c>
      <c r="F67" s="2">
        <f t="shared" si="33"/>
        <v>4.8435245035337963E-2</v>
      </c>
      <c r="G67" s="2">
        <f t="shared" si="26"/>
        <v>0.2089016790342933</v>
      </c>
      <c r="H67" s="2">
        <f t="shared" si="27"/>
        <v>-4.23457393924195E-2</v>
      </c>
      <c r="M67" s="10"/>
      <c r="N67" s="7">
        <f t="shared" si="28"/>
        <v>0.2089016790342933</v>
      </c>
      <c r="O67" s="7">
        <f t="shared" si="29"/>
        <v>-4.23457393924195E-2</v>
      </c>
    </row>
    <row r="68" spans="2:15" x14ac:dyDescent="0.3">
      <c r="B68" s="2">
        <v>0.23208660251050173</v>
      </c>
      <c r="C68" s="2">
        <f t="shared" si="30"/>
        <v>1.6475636367941717E-2</v>
      </c>
      <c r="D68" s="2">
        <f t="shared" si="31"/>
        <v>5.8866417705252021E-2</v>
      </c>
      <c r="E68" s="2">
        <f t="shared" si="32"/>
        <v>4.1978349372374567E-2</v>
      </c>
      <c r="F68" s="2">
        <f t="shared" si="33"/>
        <v>4.1953717582572624E-2</v>
      </c>
      <c r="G68" s="2">
        <f t="shared" si="26"/>
        <v>0.23455554315558014</v>
      </c>
      <c r="H68" s="2">
        <f t="shared" si="27"/>
        <v>-4.233898312024581E-2</v>
      </c>
      <c r="M68" s="10"/>
      <c r="N68" s="7">
        <f t="shared" si="28"/>
        <v>0.23455554315558014</v>
      </c>
      <c r="O68" s="7">
        <f t="shared" si="29"/>
        <v>-4.233898312024581E-2</v>
      </c>
    </row>
    <row r="69" spans="2:15" x14ac:dyDescent="0.3">
      <c r="B69" s="2">
        <v>0.25912316294914239</v>
      </c>
      <c r="C69" s="2">
        <f t="shared" si="30"/>
        <v>1.7519214597818262E-2</v>
      </c>
      <c r="D69" s="2">
        <f t="shared" si="31"/>
        <v>5.9619376958045922E-2</v>
      </c>
      <c r="E69" s="2">
        <f t="shared" si="32"/>
        <v>3.52192092627144E-2</v>
      </c>
      <c r="F69" s="2">
        <f t="shared" si="33"/>
        <v>3.52046582072248E-2</v>
      </c>
      <c r="G69" s="2">
        <f t="shared" si="26"/>
        <v>0.26122160921695015</v>
      </c>
      <c r="H69" s="2">
        <f t="shared" si="27"/>
        <v>-4.2063221003008772E-2</v>
      </c>
      <c r="M69" s="10"/>
      <c r="N69" s="7">
        <f t="shared" si="28"/>
        <v>0.26122160921695015</v>
      </c>
      <c r="O69" s="7">
        <f t="shared" si="29"/>
        <v>-4.2063221003008772E-2</v>
      </c>
    </row>
    <row r="70" spans="2:15" x14ac:dyDescent="0.3">
      <c r="B70" s="2">
        <v>0.28711035421746367</v>
      </c>
      <c r="C70" s="2">
        <f t="shared" si="30"/>
        <v>1.8406990984386685E-2</v>
      </c>
      <c r="D70" s="2">
        <f t="shared" si="31"/>
        <v>5.9980039624460323E-2</v>
      </c>
      <c r="E70" s="2">
        <f t="shared" si="32"/>
        <v>2.8222411445634081E-2</v>
      </c>
      <c r="F70" s="2">
        <f t="shared" si="33"/>
        <v>2.8214921931921384E-2</v>
      </c>
      <c r="G70" s="2">
        <f t="shared" si="26"/>
        <v>0.28880246182273783</v>
      </c>
      <c r="H70" s="2">
        <f t="shared" si="27"/>
        <v>-4.1549175714327508E-2</v>
      </c>
      <c r="M70" s="10"/>
      <c r="N70" s="7">
        <f t="shared" si="28"/>
        <v>0.28880246182273783</v>
      </c>
      <c r="O70" s="7">
        <f t="shared" si="29"/>
        <v>-4.1549175714327508E-2</v>
      </c>
    </row>
    <row r="71" spans="2:15" x14ac:dyDescent="0.3">
      <c r="B71" s="2">
        <v>0.31593772365766093</v>
      </c>
      <c r="C71" s="2">
        <f t="shared" si="30"/>
        <v>1.9116691712018029E-2</v>
      </c>
      <c r="D71" s="2">
        <f t="shared" si="31"/>
        <v>5.9959936972485903E-2</v>
      </c>
      <c r="E71" s="2">
        <f t="shared" si="32"/>
        <v>2.101556908558477E-2</v>
      </c>
      <c r="F71" s="2">
        <f t="shared" si="33"/>
        <v>2.1012476034120479E-2</v>
      </c>
      <c r="G71" s="2">
        <f t="shared" si="26"/>
        <v>0.31719753768514097</v>
      </c>
      <c r="H71" s="2">
        <f t="shared" si="27"/>
        <v>-4.0830008867418763E-2</v>
      </c>
      <c r="M71" s="10"/>
      <c r="N71" s="7">
        <f t="shared" si="28"/>
        <v>0.31719753768514097</v>
      </c>
      <c r="O71" s="7">
        <f t="shared" si="29"/>
        <v>-4.0830008867418763E-2</v>
      </c>
    </row>
    <row r="72" spans="2:15" x14ac:dyDescent="0.3">
      <c r="B72" s="2">
        <v>0.34549150281252627</v>
      </c>
      <c r="C72" s="2">
        <f t="shared" si="30"/>
        <v>1.9628602966795392E-2</v>
      </c>
      <c r="D72" s="2">
        <f t="shared" si="31"/>
        <v>5.9574716765413573E-2</v>
      </c>
      <c r="E72" s="2">
        <f t="shared" si="32"/>
        <v>1.3627124296868433E-2</v>
      </c>
      <c r="F72" s="2">
        <f t="shared" si="33"/>
        <v>1.3626280878583526E-2</v>
      </c>
      <c r="G72" s="2">
        <f t="shared" si="26"/>
        <v>0.34630325951533025</v>
      </c>
      <c r="H72" s="2">
        <f t="shared" si="27"/>
        <v>-3.9940583100622901E-2</v>
      </c>
      <c r="M72" s="10"/>
      <c r="N72" s="7">
        <f t="shared" si="28"/>
        <v>0.34630325951533025</v>
      </c>
      <c r="O72" s="7">
        <f t="shared" si="29"/>
        <v>-3.9940583100622901E-2</v>
      </c>
    </row>
    <row r="73" spans="2:15" x14ac:dyDescent="0.3">
      <c r="B73" s="2">
        <v>0.37565505641757263</v>
      </c>
      <c r="C73" s="2">
        <f t="shared" si="30"/>
        <v>1.9925915465246052E-2</v>
      </c>
      <c r="D73" s="2">
        <f t="shared" si="31"/>
        <v>5.8843650635762447E-2</v>
      </c>
      <c r="E73" s="2">
        <f t="shared" si="32"/>
        <v>6.0862358956068462E-3</v>
      </c>
      <c r="F73" s="2">
        <f t="shared" si="33"/>
        <v>6.086160747951235E-3</v>
      </c>
      <c r="G73" s="2">
        <f t="shared" si="26"/>
        <v>0.37601318612339379</v>
      </c>
      <c r="H73" s="2">
        <f t="shared" si="27"/>
        <v>-3.8916645349673235E-2</v>
      </c>
      <c r="M73" s="10"/>
      <c r="N73" s="7">
        <f t="shared" si="28"/>
        <v>0.37601318612339379</v>
      </c>
      <c r="O73" s="7">
        <f t="shared" si="29"/>
        <v>-3.8916645349673235E-2</v>
      </c>
    </row>
    <row r="74" spans="2:15" x14ac:dyDescent="0.3">
      <c r="B74" s="2">
        <v>0.40630934270713764</v>
      </c>
      <c r="C74" s="2">
        <f t="shared" si="30"/>
        <v>1.999778845525577E-2</v>
      </c>
      <c r="D74" s="2">
        <f t="shared" si="31"/>
        <v>5.7789063378332818E-2</v>
      </c>
      <c r="E74" s="2">
        <f t="shared" si="32"/>
        <v>-7.0103807857084695E-4</v>
      </c>
      <c r="F74" s="2">
        <f t="shared" si="33"/>
        <v>-7.0103796372813425E-4</v>
      </c>
      <c r="G74" s="2">
        <f t="shared" si="26"/>
        <v>0.40626883038313949</v>
      </c>
      <c r="H74" s="2">
        <f t="shared" si="27"/>
        <v>-3.7791260722737904E-2</v>
      </c>
      <c r="M74" s="10"/>
      <c r="N74" s="7">
        <f t="shared" si="28"/>
        <v>0.40626883038313949</v>
      </c>
      <c r="O74" s="7">
        <f t="shared" si="29"/>
        <v>-3.7791260722737904E-2</v>
      </c>
    </row>
    <row r="75" spans="2:15" x14ac:dyDescent="0.3">
      <c r="B75" s="2">
        <v>0.43733338321784776</v>
      </c>
      <c r="C75" s="2">
        <f t="shared" si="30"/>
        <v>1.9922567694306073E-2</v>
      </c>
      <c r="D75" s="2">
        <f t="shared" si="31"/>
        <v>5.6435717619355723E-2</v>
      </c>
      <c r="E75" s="2">
        <f t="shared" si="32"/>
        <v>-4.1481536908719715E-3</v>
      </c>
      <c r="F75" s="2">
        <f t="shared" si="33"/>
        <v>-4.1481298984431926E-3</v>
      </c>
      <c r="G75" s="2">
        <f t="shared" si="26"/>
        <v>0.43709928120161701</v>
      </c>
      <c r="H75" s="2">
        <f t="shared" si="27"/>
        <v>-3.6512664381567014E-2</v>
      </c>
      <c r="M75" s="10"/>
      <c r="N75" s="7">
        <f t="shared" si="28"/>
        <v>0.43709928120161701</v>
      </c>
      <c r="O75" s="7">
        <f t="shared" si="29"/>
        <v>-3.6512664381567014E-2</v>
      </c>
    </row>
    <row r="76" spans="2:15" x14ac:dyDescent="0.3">
      <c r="B76" s="2">
        <v>0.46860474023534326</v>
      </c>
      <c r="C76" s="2">
        <f t="shared" si="30"/>
        <v>1.9738521645402279E-2</v>
      </c>
      <c r="D76" s="2">
        <f t="shared" si="31"/>
        <v>5.4810187361877094E-2</v>
      </c>
      <c r="E76" s="2">
        <f t="shared" si="32"/>
        <v>-7.6227489150381385E-3</v>
      </c>
      <c r="F76" s="2">
        <f t="shared" si="33"/>
        <v>-7.6226012769376366E-3</v>
      </c>
      <c r="G76" s="2">
        <f t="shared" si="26"/>
        <v>0.4681869480770996</v>
      </c>
      <c r="H76" s="2">
        <f t="shared" si="27"/>
        <v>-3.5070073377245228E-2</v>
      </c>
      <c r="M76" s="10"/>
      <c r="N76" s="7">
        <f t="shared" si="28"/>
        <v>0.4681869480770996</v>
      </c>
      <c r="O76" s="7">
        <f t="shared" si="29"/>
        <v>-3.5070073377245228E-2</v>
      </c>
    </row>
    <row r="77" spans="2:15" x14ac:dyDescent="0.3">
      <c r="B77" s="2">
        <v>0.49999999999999994</v>
      </c>
      <c r="C77" s="2">
        <f t="shared" si="30"/>
        <v>1.9444444444444441E-2</v>
      </c>
      <c r="D77" s="2">
        <f t="shared" si="31"/>
        <v>5.2940252000571585E-2</v>
      </c>
      <c r="E77" s="2">
        <f t="shared" si="32"/>
        <v>-1.1111111111111103E-2</v>
      </c>
      <c r="F77" s="2">
        <f t="shared" si="33"/>
        <v>-1.1110653897607464E-2</v>
      </c>
      <c r="G77" s="2">
        <f t="shared" si="26"/>
        <v>0.49941181128459622</v>
      </c>
      <c r="H77" s="2">
        <f t="shared" si="27"/>
        <v>-3.3492539941890748E-2</v>
      </c>
      <c r="M77" s="10"/>
      <c r="N77" s="7">
        <f t="shared" si="28"/>
        <v>0.49941181128459622</v>
      </c>
      <c r="O77" s="7">
        <f t="shared" si="29"/>
        <v>-3.3492539941890748E-2</v>
      </c>
    </row>
    <row r="78" spans="2:15" x14ac:dyDescent="0.3">
      <c r="B78" s="2">
        <v>0.53139525976465674</v>
      </c>
      <c r="C78" s="2">
        <f t="shared" si="30"/>
        <v>1.9040849206187691E-2</v>
      </c>
      <c r="D78" s="2">
        <f t="shared" si="31"/>
        <v>5.0854338726987594E-2</v>
      </c>
      <c r="E78" s="2">
        <f t="shared" si="32"/>
        <v>-1.459947330718408E-2</v>
      </c>
      <c r="F78" s="2">
        <f t="shared" si="33"/>
        <v>-1.4598436173415663E-2</v>
      </c>
      <c r="G78" s="2">
        <f t="shared" si="26"/>
        <v>0.53065289231545654</v>
      </c>
      <c r="H78" s="2">
        <f t="shared" si="27"/>
        <v>-3.1808070722652078E-2</v>
      </c>
      <c r="M78" s="10"/>
      <c r="N78" s="7">
        <f t="shared" si="28"/>
        <v>0.53065289231545654</v>
      </c>
      <c r="O78" s="7">
        <f t="shared" si="29"/>
        <v>-3.1808070722652078E-2</v>
      </c>
    </row>
    <row r="79" spans="2:15" x14ac:dyDescent="0.3">
      <c r="B79" s="2">
        <v>0.56266661678215213</v>
      </c>
      <c r="C79" s="2">
        <f t="shared" si="30"/>
        <v>1.8529976210258248E-2</v>
      </c>
      <c r="D79" s="2">
        <f t="shared" si="31"/>
        <v>4.8581036095889693E-2</v>
      </c>
      <c r="E79" s="2">
        <f t="shared" si="32"/>
        <v>-1.8074068531350237E-2</v>
      </c>
      <c r="F79" s="2">
        <f t="shared" si="33"/>
        <v>-1.8072100819923262E-2</v>
      </c>
      <c r="G79" s="2">
        <f t="shared" si="26"/>
        <v>0.56178870318959617</v>
      </c>
      <c r="H79" s="2">
        <f t="shared" si="27"/>
        <v>-3.0043126798239606E-2</v>
      </c>
      <c r="M79" s="10"/>
      <c r="N79" s="7">
        <f t="shared" si="28"/>
        <v>0.56178870318959617</v>
      </c>
      <c r="O79" s="7">
        <f t="shared" si="29"/>
        <v>-3.0043126798239606E-2</v>
      </c>
    </row>
    <row r="80" spans="2:15" x14ac:dyDescent="0.3">
      <c r="B80" s="2">
        <v>0.5936906572928623</v>
      </c>
      <c r="C80" s="2">
        <f t="shared" si="30"/>
        <v>1.7915773848747724E-2</v>
      </c>
      <c r="D80" s="2">
        <f t="shared" si="31"/>
        <v>4.6148695264621904E-2</v>
      </c>
      <c r="E80" s="2">
        <f t="shared" si="32"/>
        <v>-2.1521184143651367E-2</v>
      </c>
      <c r="F80" s="2">
        <f t="shared" si="33"/>
        <v>-2.1517862472995482E-2</v>
      </c>
      <c r="G80" s="2">
        <f t="shared" si="26"/>
        <v>0.59269771264426407</v>
      </c>
      <c r="H80" s="2">
        <f t="shared" si="27"/>
        <v>-2.8222237980456148E-2</v>
      </c>
      <c r="M80" s="10"/>
      <c r="N80" s="7">
        <f t="shared" si="28"/>
        <v>0.59269771264426407</v>
      </c>
      <c r="O80" s="7">
        <f t="shared" si="29"/>
        <v>-2.8222237980456148E-2</v>
      </c>
    </row>
    <row r="81" spans="2:15" x14ac:dyDescent="0.3">
      <c r="B81" s="2">
        <v>0.62434494358242743</v>
      </c>
      <c r="C81" s="2">
        <f t="shared" si="30"/>
        <v>1.7203852571610969E-2</v>
      </c>
      <c r="D81" s="2">
        <f t="shared" si="31"/>
        <v>4.3585128478213241E-2</v>
      </c>
      <c r="E81" s="2">
        <f t="shared" si="32"/>
        <v>-2.4927215953603046E-2</v>
      </c>
      <c r="F81" s="2">
        <f t="shared" si="33"/>
        <v>-2.4922054901994197E-2</v>
      </c>
      <c r="G81" s="2">
        <f t="shared" si="26"/>
        <v>0.62325882505869656</v>
      </c>
      <c r="H81" s="2">
        <f t="shared" si="27"/>
        <v>-2.6367741053304371E-2</v>
      </c>
      <c r="M81" s="10"/>
      <c r="N81" s="7">
        <f t="shared" si="28"/>
        <v>0.62325882505869656</v>
      </c>
      <c r="O81" s="7">
        <f t="shared" si="29"/>
        <v>-2.6367741053304371E-2</v>
      </c>
    </row>
    <row r="82" spans="2:15" x14ac:dyDescent="0.3">
      <c r="B82" s="2">
        <v>0.6545084971874735</v>
      </c>
      <c r="C82" s="2">
        <f t="shared" si="30"/>
        <v>1.6401412492187434E-2</v>
      </c>
      <c r="D82" s="2">
        <f t="shared" si="31"/>
        <v>4.0917407211743625E-2</v>
      </c>
      <c r="E82" s="2">
        <f t="shared" si="32"/>
        <v>-2.8278721909719279E-2</v>
      </c>
      <c r="F82" s="2">
        <f t="shared" si="33"/>
        <v>-2.8271187490757722E-2</v>
      </c>
      <c r="G82" s="2">
        <f t="shared" si="26"/>
        <v>0.65335186758556019</v>
      </c>
      <c r="H82" s="2">
        <f t="shared" si="27"/>
        <v>-2.4499643984334386E-2</v>
      </c>
      <c r="M82" s="10"/>
      <c r="N82" s="7">
        <f t="shared" si="28"/>
        <v>0.65335186758556019</v>
      </c>
      <c r="O82" s="7">
        <f t="shared" si="29"/>
        <v>-2.4499643984334386E-2</v>
      </c>
    </row>
    <row r="83" spans="2:15" x14ac:dyDescent="0.3">
      <c r="B83" s="2">
        <v>0.68406227634233885</v>
      </c>
      <c r="C83" s="2">
        <f t="shared" si="30"/>
        <v>1.5517145731067151E-2</v>
      </c>
      <c r="D83" s="2">
        <f t="shared" si="31"/>
        <v>3.8171755458108796E-2</v>
      </c>
      <c r="E83" s="2">
        <f t="shared" si="32"/>
        <v>-3.1562475149148762E-2</v>
      </c>
      <c r="F83" s="2">
        <f t="shared" si="33"/>
        <v>-3.155200067018097E-2</v>
      </c>
      <c r="G83" s="2">
        <f t="shared" si="26"/>
        <v>0.682858080913612</v>
      </c>
      <c r="H83" s="2">
        <f t="shared" si="27"/>
        <v>-2.2635610763360504E-2</v>
      </c>
      <c r="M83" s="10"/>
      <c r="N83" s="7">
        <f t="shared" si="28"/>
        <v>0.682858080913612</v>
      </c>
      <c r="O83" s="7">
        <f t="shared" si="29"/>
        <v>-2.2635610763360504E-2</v>
      </c>
    </row>
    <row r="84" spans="2:15" x14ac:dyDescent="0.3">
      <c r="B84" s="2">
        <v>0.71288964578253633</v>
      </c>
      <c r="C84" s="2">
        <f t="shared" si="30"/>
        <v>1.4561114975671049E-2</v>
      </c>
      <c r="D84" s="2">
        <f t="shared" si="31"/>
        <v>3.5373527396150788E-2</v>
      </c>
      <c r="E84" s="2">
        <f t="shared" si="32"/>
        <v>-3.4765516198059593E-2</v>
      </c>
      <c r="F84" s="2">
        <f t="shared" si="33"/>
        <v>-3.4751520002380361E-2</v>
      </c>
      <c r="G84" s="2">
        <f t="shared" si="26"/>
        <v>0.71166060935055708</v>
      </c>
      <c r="H84" s="2">
        <f t="shared" si="27"/>
        <v>-2.0791054828954776E-2</v>
      </c>
      <c r="M84" s="10"/>
      <c r="N84" s="7">
        <f t="shared" si="28"/>
        <v>0.71166060935055708</v>
      </c>
      <c r="O84" s="7">
        <f t="shared" si="29"/>
        <v>-2.0791054828954776E-2</v>
      </c>
    </row>
    <row r="85" spans="2:15" x14ac:dyDescent="0.3">
      <c r="B85" s="2">
        <v>0.74087683705085772</v>
      </c>
      <c r="C85" s="2">
        <f t="shared" si="30"/>
        <v>1.3544610109011276E-2</v>
      </c>
      <c r="D85" s="2">
        <f t="shared" si="31"/>
        <v>3.254725346943256E-2</v>
      </c>
      <c r="E85" s="2">
        <f t="shared" si="32"/>
        <v>-3.7875204116761971E-2</v>
      </c>
      <c r="F85" s="2">
        <f t="shared" si="33"/>
        <v>-3.7857108636751631E-2</v>
      </c>
      <c r="G85" s="2">
        <f t="shared" si="26"/>
        <v>0.73964498642962029</v>
      </c>
      <c r="H85" s="2">
        <f t="shared" si="27"/>
        <v>-1.8979323423857206E-2</v>
      </c>
      <c r="M85" s="10"/>
      <c r="N85" s="7">
        <f t="shared" si="28"/>
        <v>0.73964498642962029</v>
      </c>
      <c r="O85" s="7">
        <f t="shared" si="29"/>
        <v>-1.8979323423857206E-2</v>
      </c>
    </row>
    <row r="86" spans="2:15" x14ac:dyDescent="0.3">
      <c r="B86" s="2">
        <v>0.76791339748949849</v>
      </c>
      <c r="C86" s="2">
        <f t="shared" si="30"/>
        <v>1.2479985108207465E-2</v>
      </c>
      <c r="D86" s="2">
        <f t="shared" si="31"/>
        <v>2.9716735051076641E-2</v>
      </c>
      <c r="E86" s="2">
        <f t="shared" si="32"/>
        <v>-4.0879266387722053E-2</v>
      </c>
      <c r="F86" s="2">
        <f t="shared" si="33"/>
        <v>-4.0856517882064465E-2</v>
      </c>
      <c r="G86" s="2">
        <f t="shared" si="26"/>
        <v>0.76669961292426558</v>
      </c>
      <c r="H86" s="2">
        <f t="shared" si="27"/>
        <v>-1.7211950987727556E-2</v>
      </c>
      <c r="M86" s="10"/>
      <c r="N86" s="7">
        <f t="shared" si="28"/>
        <v>0.76669961292426558</v>
      </c>
      <c r="O86" s="7">
        <f t="shared" si="29"/>
        <v>-1.7211950987727556E-2</v>
      </c>
    </row>
    <row r="87" spans="2:15" x14ac:dyDescent="0.3">
      <c r="B87" s="2">
        <v>0.79389262614623646</v>
      </c>
      <c r="C87" s="2">
        <f t="shared" si="30"/>
        <v>1.1380477725978957E-2</v>
      </c>
      <c r="D87" s="2">
        <f t="shared" si="31"/>
        <v>2.6905165571800106E-2</v>
      </c>
      <c r="E87" s="2">
        <f t="shared" si="32"/>
        <v>-4.3765847349581832E-2</v>
      </c>
      <c r="F87" s="2">
        <f t="shared" si="33"/>
        <v>-4.3737935665353202E-2</v>
      </c>
      <c r="G87" s="2">
        <f t="shared" si="26"/>
        <v>0.79271622490642391</v>
      </c>
      <c r="H87" s="2">
        <f t="shared" si="27"/>
        <v>-1.5498957062887887E-2</v>
      </c>
      <c r="M87" s="10"/>
      <c r="N87" s="7">
        <f t="shared" si="28"/>
        <v>0.79271622490642391</v>
      </c>
      <c r="O87" s="7">
        <f t="shared" si="29"/>
        <v>-1.5498957062887887E-2</v>
      </c>
    </row>
    <row r="88" spans="2:15" x14ac:dyDescent="0.3">
      <c r="B88" s="2">
        <v>0.81871199487434487</v>
      </c>
      <c r="C88" s="2">
        <f t="shared" si="30"/>
        <v>1.0260014741574812E-2</v>
      </c>
      <c r="D88" s="2">
        <f t="shared" si="31"/>
        <v>2.413525534732517E-2</v>
      </c>
      <c r="E88" s="2">
        <f t="shared" si="32"/>
        <v>-4.6523554986038322E-2</v>
      </c>
      <c r="F88" s="2">
        <f t="shared" si="33"/>
        <v>-4.6490032676948047E-2</v>
      </c>
      <c r="G88" s="2">
        <f t="shared" si="26"/>
        <v>0.81759035020591386</v>
      </c>
      <c r="H88" s="2">
        <f t="shared" si="27"/>
        <v>-1.3849163260139982E-2</v>
      </c>
      <c r="M88" s="10"/>
      <c r="N88" s="7">
        <f t="shared" si="28"/>
        <v>0.81759035020591386</v>
      </c>
      <c r="O88" s="7">
        <f t="shared" si="29"/>
        <v>-1.3849163260139982E-2</v>
      </c>
    </row>
    <row r="89" spans="2:15" x14ac:dyDescent="0.3">
      <c r="B89" s="2">
        <v>0.84227355296434436</v>
      </c>
      <c r="C89" s="2">
        <f t="shared" si="30"/>
        <v>9.1330057971275146E-3</v>
      </c>
      <c r="D89" s="2">
        <f t="shared" si="31"/>
        <v>2.1429338348036415E-2</v>
      </c>
      <c r="E89" s="2">
        <f t="shared" si="32"/>
        <v>-4.9141505884927154E-2</v>
      </c>
      <c r="F89" s="2">
        <f t="shared" si="33"/>
        <v>-4.9102006030696671E-2</v>
      </c>
      <c r="G89" s="2">
        <f t="shared" si="26"/>
        <v>0.84122175223228079</v>
      </c>
      <c r="H89" s="2">
        <f t="shared" si="27"/>
        <v>-1.2270504598474759E-2</v>
      </c>
      <c r="M89" s="10"/>
      <c r="N89" s="7">
        <f t="shared" si="28"/>
        <v>0.84122175223228079</v>
      </c>
      <c r="O89" s="7">
        <f t="shared" si="29"/>
        <v>-1.2270504598474759E-2</v>
      </c>
    </row>
    <row r="90" spans="2:15" x14ac:dyDescent="0.3">
      <c r="B90" s="2">
        <v>0.86448431371070567</v>
      </c>
      <c r="C90" s="2">
        <f t="shared" si="30"/>
        <v>8.0141290175941553E-3</v>
      </c>
      <c r="D90" s="2">
        <f t="shared" si="31"/>
        <v>1.8809441690572703E-2</v>
      </c>
      <c r="E90" s="2">
        <f t="shared" si="32"/>
        <v>-5.1609368190078407E-2</v>
      </c>
      <c r="F90" s="2">
        <f t="shared" si="33"/>
        <v>-5.156362029840024E-2</v>
      </c>
      <c r="G90" s="2">
        <f t="shared" si="26"/>
        <v>0.86351486053278359</v>
      </c>
      <c r="H90" s="2">
        <f t="shared" si="27"/>
        <v>-1.0770312875815166E-2</v>
      </c>
      <c r="M90" s="10"/>
      <c r="N90" s="7">
        <f t="shared" si="28"/>
        <v>0.86351486053278359</v>
      </c>
      <c r="O90" s="7">
        <f t="shared" si="29"/>
        <v>-1.0770312875815166E-2</v>
      </c>
    </row>
    <row r="91" spans="2:15" x14ac:dyDescent="0.3">
      <c r="B91" s="2">
        <v>0.88525662138789452</v>
      </c>
      <c r="C91" s="2">
        <f t="shared" si="30"/>
        <v>6.9181117444003116E-3</v>
      </c>
      <c r="D91" s="2">
        <f t="shared" si="31"/>
        <v>1.6297302482185236E-2</v>
      </c>
      <c r="E91" s="2">
        <f t="shared" si="32"/>
        <v>-5.3917402376432728E-2</v>
      </c>
      <c r="F91" s="2">
        <f t="shared" si="33"/>
        <v>-5.3865245806891358E-2</v>
      </c>
      <c r="G91" s="2">
        <f t="shared" si="26"/>
        <v>0.88437918763455392</v>
      </c>
      <c r="H91" s="2">
        <f t="shared" si="27"/>
        <v>-9.3555534298724961E-3</v>
      </c>
      <c r="M91" s="10"/>
      <c r="N91" s="7">
        <f t="shared" si="28"/>
        <v>0.88437918763455392</v>
      </c>
      <c r="O91" s="7">
        <f t="shared" si="29"/>
        <v>-9.3555534298724961E-3</v>
      </c>
    </row>
    <row r="92" spans="2:15" x14ac:dyDescent="0.3">
      <c r="B92" s="2">
        <v>0.90450849718747373</v>
      </c>
      <c r="C92" s="2">
        <f t="shared" si="30"/>
        <v>5.8595097925353808E-3</v>
      </c>
      <c r="D92" s="2">
        <f t="shared" si="31"/>
        <v>1.3914321515786228E-2</v>
      </c>
      <c r="E92" s="2">
        <f t="shared" si="32"/>
        <v>-5.6056499687497083E-2</v>
      </c>
      <c r="F92" s="2">
        <f t="shared" si="33"/>
        <v>-5.5997894114239874E-2</v>
      </c>
      <c r="G92" s="2">
        <f t="shared" si="26"/>
        <v>0.90372973163768999</v>
      </c>
      <c r="H92" s="2">
        <f t="shared" si="27"/>
        <v>-8.0330014082210036E-3</v>
      </c>
      <c r="M92" s="10"/>
      <c r="N92" s="7">
        <f t="shared" si="28"/>
        <v>0.90372973163768999</v>
      </c>
      <c r="O92" s="7">
        <f t="shared" si="29"/>
        <v>-8.0330014082210036E-3</v>
      </c>
    </row>
    <row r="93" spans="2:15" x14ac:dyDescent="0.3">
      <c r="B93" s="2">
        <v>0.92216396275100743</v>
      </c>
      <c r="C93" s="2">
        <f t="shared" si="30"/>
        <v>4.852488666898031E-3</v>
      </c>
      <c r="D93" s="2">
        <f t="shared" si="31"/>
        <v>1.1681448836568331E-2</v>
      </c>
      <c r="E93" s="2">
        <f t="shared" si="32"/>
        <v>-5.8018218083445268E-2</v>
      </c>
      <c r="F93" s="2">
        <f t="shared" si="33"/>
        <v>-5.795325060757997E-2</v>
      </c>
      <c r="G93" s="2">
        <f t="shared" si="26"/>
        <v>0.9214873637028308</v>
      </c>
      <c r="H93" s="2">
        <f t="shared" si="27"/>
        <v>-6.8093491234920466E-3</v>
      </c>
      <c r="M93" s="10"/>
      <c r="N93" s="7">
        <f t="shared" si="28"/>
        <v>0.9214873637028308</v>
      </c>
      <c r="O93" s="7">
        <f t="shared" si="29"/>
        <v>-6.8093491234920466E-3</v>
      </c>
    </row>
    <row r="94" spans="2:15" x14ac:dyDescent="0.3">
      <c r="B94" s="2">
        <v>0.93815334002193174</v>
      </c>
      <c r="C94" s="2">
        <f t="shared" si="30"/>
        <v>3.9106101457355037E-3</v>
      </c>
      <c r="D94" s="2">
        <f t="shared" si="31"/>
        <v>9.6190019827081304E-3</v>
      </c>
      <c r="E94" s="2">
        <f t="shared" si="32"/>
        <v>-5.9794815557992417E-2</v>
      </c>
      <c r="F94" s="2">
        <f t="shared" si="33"/>
        <v>-5.9723704188408264E-2</v>
      </c>
      <c r="G94" s="2">
        <f t="shared" si="26"/>
        <v>0.93757919905424969</v>
      </c>
      <c r="H94" s="2">
        <f t="shared" si="27"/>
        <v>-5.6912418262838552E-3</v>
      </c>
      <c r="M94" s="10"/>
      <c r="N94" s="7">
        <f t="shared" si="28"/>
        <v>0.93757919905424969</v>
      </c>
      <c r="O94" s="7">
        <f t="shared" si="29"/>
        <v>-5.6912418262838552E-3</v>
      </c>
    </row>
    <row r="95" spans="2:15" x14ac:dyDescent="0.3">
      <c r="B95" s="2">
        <v>0.95241352623300968</v>
      </c>
      <c r="C95" s="2">
        <f t="shared" si="30"/>
        <v>3.0466275574895477E-3</v>
      </c>
      <c r="D95" s="2">
        <f t="shared" si="31"/>
        <v>7.7464233354163246E-3</v>
      </c>
      <c r="E95" s="2">
        <f t="shared" si="32"/>
        <v>-6.1379280692556631E-2</v>
      </c>
      <c r="F95" s="2">
        <f t="shared" si="33"/>
        <v>-6.1302374031424113E-2</v>
      </c>
      <c r="G95" s="2">
        <f t="shared" si="26"/>
        <v>0.95193894946441937</v>
      </c>
      <c r="H95" s="2">
        <f t="shared" si="27"/>
        <v>-4.685244879520583E-3</v>
      </c>
      <c r="M95" s="10"/>
      <c r="N95" s="7">
        <f t="shared" si="28"/>
        <v>0.95193894946441937</v>
      </c>
      <c r="O95" s="7">
        <f t="shared" si="29"/>
        <v>-4.685244879520583E-3</v>
      </c>
    </row>
    <row r="96" spans="2:15" x14ac:dyDescent="0.3">
      <c r="B96" s="2">
        <v>0.96488824294412567</v>
      </c>
      <c r="C96" s="2">
        <f t="shared" si="30"/>
        <v>2.2722929435276974E-3</v>
      </c>
      <c r="D96" s="2">
        <f t="shared" si="31"/>
        <v>6.0819881066428022E-3</v>
      </c>
      <c r="E96" s="2">
        <f t="shared" si="32"/>
        <v>-6.2765360327125083E-2</v>
      </c>
      <c r="F96" s="2">
        <f t="shared" si="33"/>
        <v>-6.2683133419719012E-2</v>
      </c>
      <c r="G96" s="2">
        <f t="shared" si="26"/>
        <v>0.96450725448166741</v>
      </c>
      <c r="H96" s="2">
        <f t="shared" si="27"/>
        <v>-3.7977504764832477E-3</v>
      </c>
      <c r="M96" s="10"/>
      <c r="N96" s="7">
        <f t="shared" si="28"/>
        <v>0.96450725448166741</v>
      </c>
      <c r="O96" s="7">
        <f t="shared" si="29"/>
        <v>-3.7977504764832477E-3</v>
      </c>
    </row>
    <row r="97" spans="2:15" x14ac:dyDescent="0.3">
      <c r="B97" s="2">
        <v>0.97552825814757682</v>
      </c>
      <c r="C97" s="2">
        <f t="shared" si="30"/>
        <v>1.5981791152009004E-3</v>
      </c>
      <c r="D97" s="2">
        <f t="shared" si="31"/>
        <v>4.6424786977890429E-3</v>
      </c>
      <c r="E97" s="2">
        <f t="shared" si="32"/>
        <v>-6.3947584238619654E-2</v>
      </c>
      <c r="F97" s="2">
        <f t="shared" si="33"/>
        <v>-6.3860630672153126E-2</v>
      </c>
      <c r="G97" s="2">
        <f t="shared" si="26"/>
        <v>0.97523198799974575</v>
      </c>
      <c r="H97" s="2">
        <f t="shared" si="27"/>
        <v>-3.0348363670664714E-3</v>
      </c>
      <c r="M97" s="10"/>
      <c r="N97" s="7">
        <f t="shared" ref="N97:N102" si="34">G97*COS($A$9)+H97*SIN($A$9)</f>
        <v>0.97523198799974575</v>
      </c>
      <c r="O97" s="7">
        <f t="shared" ref="O97:O102" si="35">-G97*SIN($A$9)+H97*COS($A$9)</f>
        <v>-3.0348363670664714E-3</v>
      </c>
    </row>
    <row r="98" spans="2:15" x14ac:dyDescent="0.3">
      <c r="B98" s="2">
        <v>0.98429158056431554</v>
      </c>
      <c r="C98" s="2">
        <f t="shared" si="30"/>
        <v>1.0335193823141076E-3</v>
      </c>
      <c r="D98" s="2">
        <f t="shared" si="31"/>
        <v>3.4428441967132516E-3</v>
      </c>
      <c r="E98" s="2">
        <f t="shared" si="32"/>
        <v>-6.4921286729368394E-2</v>
      </c>
      <c r="F98" s="2">
        <f t="shared" si="33"/>
        <v>-6.4830307188015121E-2</v>
      </c>
      <c r="G98" s="2">
        <f t="shared" si="26"/>
        <v>0.98406853623547841</v>
      </c>
      <c r="H98" s="2">
        <f t="shared" si="27"/>
        <v>-2.4020922648625223E-3</v>
      </c>
      <c r="M98" s="10"/>
      <c r="N98" s="7">
        <f t="shared" si="34"/>
        <v>0.98406853623547841</v>
      </c>
      <c r="O98" s="7">
        <f t="shared" si="35"/>
        <v>-2.4020922648625223E-3</v>
      </c>
    </row>
    <row r="99" spans="2:15" x14ac:dyDescent="0.3">
      <c r="B99" s="2">
        <v>0.99114362536434442</v>
      </c>
      <c r="C99" s="2">
        <f t="shared" si="30"/>
        <v>5.8606745506109255E-4</v>
      </c>
      <c r="D99" s="2">
        <f t="shared" si="31"/>
        <v>2.4958654435023042E-3</v>
      </c>
      <c r="E99" s="2">
        <f t="shared" si="32"/>
        <v>-6.5682625040482709E-2</v>
      </c>
      <c r="F99" s="2">
        <f t="shared" si="33"/>
        <v>-6.5588412639605298E-2</v>
      </c>
      <c r="G99" s="2">
        <f t="shared" si="26"/>
        <v>0.99098004285492614</v>
      </c>
      <c r="H99" s="2">
        <f t="shared" si="27"/>
        <v>-1.9044315059267201E-3</v>
      </c>
      <c r="M99" s="10"/>
      <c r="N99" s="7">
        <f t="shared" si="34"/>
        <v>0.99098004285492614</v>
      </c>
      <c r="O99" s="7">
        <f t="shared" si="35"/>
        <v>-1.9044315059267201E-3</v>
      </c>
    </row>
    <row r="100" spans="2:15" x14ac:dyDescent="0.3">
      <c r="B100" s="2">
        <v>0.99605735065723888</v>
      </c>
      <c r="C100" s="2">
        <f t="shared" si="30"/>
        <v>2.6197970708185468E-4</v>
      </c>
      <c r="D100" s="2">
        <f t="shared" si="31"/>
        <v>1.8118462843302291E-3</v>
      </c>
      <c r="E100" s="2">
        <f t="shared" si="32"/>
        <v>-6.6228594517470984E-2</v>
      </c>
      <c r="F100" s="2">
        <f t="shared" si="33"/>
        <v>-6.6132017345411367E-2</v>
      </c>
      <c r="G100" s="2">
        <f t="shared" si="26"/>
        <v>0.99593761692667615</v>
      </c>
      <c r="H100" s="2">
        <f t="shared" si="27"/>
        <v>-1.5459060171293835E-3</v>
      </c>
      <c r="M100" s="10"/>
      <c r="N100" s="7">
        <f t="shared" si="34"/>
        <v>0.99593761692667615</v>
      </c>
      <c r="O100" s="7">
        <f t="shared" si="35"/>
        <v>-1.5459060171293835E-3</v>
      </c>
    </row>
    <row r="101" spans="2:15" x14ac:dyDescent="0.3">
      <c r="B101" s="2">
        <v>0.99901336421413578</v>
      </c>
      <c r="C101" s="2">
        <f t="shared" si="30"/>
        <v>6.5721638492394823E-5</v>
      </c>
      <c r="D101" s="2">
        <f t="shared" si="31"/>
        <v>1.3983503458363576E-3</v>
      </c>
      <c r="E101" s="2">
        <f t="shared" si="32"/>
        <v>-6.6557040468237308E-2</v>
      </c>
      <c r="F101" s="2">
        <f t="shared" si="33"/>
        <v>-6.6459021855377456E-2</v>
      </c>
      <c r="G101" s="2">
        <f t="shared" si="26"/>
        <v>0.99892049961393492</v>
      </c>
      <c r="H101" s="2">
        <f t="shared" si="27"/>
        <v>-1.3295417257977262E-3</v>
      </c>
      <c r="M101" s="10"/>
      <c r="N101" s="7">
        <f t="shared" si="34"/>
        <v>0.99892049961393492</v>
      </c>
      <c r="O101" s="7">
        <f t="shared" si="35"/>
        <v>-1.3295417257977262E-3</v>
      </c>
    </row>
    <row r="102" spans="2:15" x14ac:dyDescent="0.3">
      <c r="B102" s="2">
        <v>1</v>
      </c>
      <c r="C102" s="2">
        <f t="shared" si="30"/>
        <v>0</v>
      </c>
      <c r="D102" s="2">
        <f t="shared" si="31"/>
        <v>1.2599999999999777E-3</v>
      </c>
      <c r="E102" s="2">
        <f t="shared" si="32"/>
        <v>-6.6666666666666666E-2</v>
      </c>
      <c r="F102" s="2">
        <f t="shared" si="33"/>
        <v>-6.6568163775823808E-2</v>
      </c>
      <c r="G102" s="2">
        <v>1</v>
      </c>
      <c r="H102" s="2">
        <v>0</v>
      </c>
      <c r="M102" s="10"/>
      <c r="N102" s="7">
        <f t="shared" si="34"/>
        <v>1</v>
      </c>
      <c r="O102" s="7">
        <f t="shared" si="35"/>
        <v>0</v>
      </c>
    </row>
    <row r="103" spans="2:15" x14ac:dyDescent="0.3">
      <c r="M103" s="10"/>
    </row>
    <row r="104" spans="2:15" x14ac:dyDescent="0.3">
      <c r="M104" s="10"/>
    </row>
    <row r="105" spans="2:15" x14ac:dyDescent="0.3">
      <c r="M105" s="10"/>
    </row>
    <row r="106" spans="2:15" x14ac:dyDescent="0.3">
      <c r="M106" s="10"/>
    </row>
    <row r="107" spans="2:15" x14ac:dyDescent="0.3">
      <c r="M107" s="10"/>
    </row>
    <row r="108" spans="2:15" x14ac:dyDescent="0.3">
      <c r="M108" s="10"/>
    </row>
    <row r="109" spans="2:15" x14ac:dyDescent="0.3">
      <c r="M109" s="10"/>
    </row>
    <row r="110" spans="2:15" x14ac:dyDescent="0.3">
      <c r="M110" s="10"/>
    </row>
    <row r="111" spans="2:15" x14ac:dyDescent="0.3">
      <c r="M111" s="10"/>
    </row>
    <row r="112" spans="2:15" x14ac:dyDescent="0.3">
      <c r="M112" s="10"/>
    </row>
    <row r="113" spans="13:13" x14ac:dyDescent="0.3">
      <c r="M113" s="10"/>
    </row>
    <row r="114" spans="13:13" x14ac:dyDescent="0.3">
      <c r="M114" s="10"/>
    </row>
    <row r="115" spans="13:13" x14ac:dyDescent="0.3">
      <c r="M115" s="10"/>
    </row>
    <row r="116" spans="13:13" x14ac:dyDescent="0.3">
      <c r="M116" s="10"/>
    </row>
    <row r="117" spans="13:13" x14ac:dyDescent="0.3">
      <c r="M117" s="10"/>
    </row>
    <row r="118" spans="13:13" x14ac:dyDescent="0.3">
      <c r="M118" s="10"/>
    </row>
    <row r="119" spans="13:13" x14ac:dyDescent="0.3">
      <c r="M119" s="10"/>
    </row>
    <row r="120" spans="13:13" x14ac:dyDescent="0.3">
      <c r="M120" s="10"/>
    </row>
    <row r="121" spans="13:13" x14ac:dyDescent="0.3">
      <c r="M121" s="10"/>
    </row>
    <row r="122" spans="13:13" x14ac:dyDescent="0.3">
      <c r="M122" s="10"/>
    </row>
    <row r="123" spans="13:13" x14ac:dyDescent="0.3">
      <c r="M123" s="10"/>
    </row>
    <row r="124" spans="13:13" x14ac:dyDescent="0.3">
      <c r="M124" s="10"/>
    </row>
    <row r="125" spans="13:13" x14ac:dyDescent="0.3">
      <c r="M125" s="10"/>
    </row>
    <row r="126" spans="13:13" x14ac:dyDescent="0.3">
      <c r="M126" s="10"/>
    </row>
    <row r="127" spans="13:13" x14ac:dyDescent="0.3">
      <c r="M127" s="10"/>
    </row>
    <row r="128" spans="13:13" x14ac:dyDescent="0.3">
      <c r="M128" s="10"/>
    </row>
    <row r="129" spans="13:13" x14ac:dyDescent="0.3">
      <c r="M129" s="10"/>
    </row>
    <row r="130" spans="13:13" x14ac:dyDescent="0.3">
      <c r="M130" s="10"/>
    </row>
    <row r="131" spans="13:13" x14ac:dyDescent="0.3">
      <c r="M131" s="10"/>
    </row>
    <row r="132" spans="13:13" x14ac:dyDescent="0.3">
      <c r="M132" s="10"/>
    </row>
    <row r="133" spans="13:13" x14ac:dyDescent="0.3">
      <c r="M133" s="10"/>
    </row>
    <row r="134" spans="13:13" x14ac:dyDescent="0.3">
      <c r="M134" s="10"/>
    </row>
    <row r="135" spans="13:13" x14ac:dyDescent="0.3">
      <c r="M135" s="10"/>
    </row>
    <row r="136" spans="13:13" x14ac:dyDescent="0.3">
      <c r="M136" s="10"/>
    </row>
    <row r="137" spans="13:13" x14ac:dyDescent="0.3">
      <c r="M137" s="10"/>
    </row>
    <row r="138" spans="13:13" x14ac:dyDescent="0.3">
      <c r="M138" s="10"/>
    </row>
    <row r="139" spans="13:13" x14ac:dyDescent="0.3">
      <c r="M139" s="10"/>
    </row>
    <row r="140" spans="13:13" x14ac:dyDescent="0.3">
      <c r="M140" s="10"/>
    </row>
    <row r="141" spans="13:13" x14ac:dyDescent="0.3">
      <c r="M141" s="10"/>
    </row>
    <row r="142" spans="13:13" x14ac:dyDescent="0.3">
      <c r="M142" s="10"/>
    </row>
    <row r="143" spans="13:13" x14ac:dyDescent="0.3">
      <c r="M143" s="10"/>
    </row>
    <row r="144" spans="13:13" x14ac:dyDescent="0.3">
      <c r="M144" s="10"/>
    </row>
    <row r="145" spans="13:13" x14ac:dyDescent="0.3">
      <c r="M145" s="10"/>
    </row>
    <row r="146" spans="13:13" x14ac:dyDescent="0.3">
      <c r="M146" s="10"/>
    </row>
    <row r="147" spans="13:13" x14ac:dyDescent="0.3">
      <c r="M147" s="10"/>
    </row>
    <row r="148" spans="13:13" x14ac:dyDescent="0.3">
      <c r="M148" s="10"/>
    </row>
    <row r="149" spans="13:13" x14ac:dyDescent="0.3">
      <c r="M149" s="10"/>
    </row>
    <row r="150" spans="13:13" x14ac:dyDescent="0.3">
      <c r="M150" s="10"/>
    </row>
    <row r="151" spans="13:13" x14ac:dyDescent="0.3">
      <c r="M151" s="10"/>
    </row>
    <row r="152" spans="13:13" x14ac:dyDescent="0.3">
      <c r="M152" s="10"/>
    </row>
    <row r="153" spans="13:13" x14ac:dyDescent="0.3">
      <c r="M153" s="10"/>
    </row>
    <row r="154" spans="13:13" x14ac:dyDescent="0.3">
      <c r="M154" s="10"/>
    </row>
    <row r="155" spans="13:13" x14ac:dyDescent="0.3">
      <c r="M155" s="10"/>
    </row>
    <row r="156" spans="13:13" x14ac:dyDescent="0.3">
      <c r="M156" s="10"/>
    </row>
    <row r="157" spans="13:13" x14ac:dyDescent="0.3">
      <c r="M157" s="10"/>
    </row>
    <row r="158" spans="13:13" x14ac:dyDescent="0.3">
      <c r="M158" s="10"/>
    </row>
    <row r="159" spans="13:13" x14ac:dyDescent="0.3">
      <c r="M159" s="10"/>
    </row>
    <row r="160" spans="13:13" x14ac:dyDescent="0.3">
      <c r="M160" s="10"/>
    </row>
    <row r="161" spans="13:13" x14ac:dyDescent="0.3">
      <c r="M161" s="10"/>
    </row>
    <row r="162" spans="13:13" x14ac:dyDescent="0.3">
      <c r="M162" s="10"/>
    </row>
    <row r="163" spans="13:13" x14ac:dyDescent="0.3">
      <c r="M163" s="10"/>
    </row>
    <row r="164" spans="13:13" x14ac:dyDescent="0.3">
      <c r="M164" s="10"/>
    </row>
    <row r="165" spans="13:13" x14ac:dyDescent="0.3">
      <c r="M165" s="10"/>
    </row>
    <row r="166" spans="13:13" x14ac:dyDescent="0.3">
      <c r="M166" s="10"/>
    </row>
    <row r="167" spans="13:13" x14ac:dyDescent="0.3">
      <c r="M167" s="10"/>
    </row>
    <row r="168" spans="13:13" x14ac:dyDescent="0.3">
      <c r="M168" s="10"/>
    </row>
    <row r="169" spans="13:13" x14ac:dyDescent="0.3">
      <c r="M169" s="10"/>
    </row>
    <row r="170" spans="13:13" x14ac:dyDescent="0.3">
      <c r="M170" s="10"/>
    </row>
    <row r="171" spans="13:13" x14ac:dyDescent="0.3">
      <c r="M171" s="10"/>
    </row>
    <row r="172" spans="13:13" x14ac:dyDescent="0.3">
      <c r="M172" s="10"/>
    </row>
    <row r="173" spans="13:13" x14ac:dyDescent="0.3">
      <c r="M173" s="10"/>
    </row>
    <row r="174" spans="13:13" x14ac:dyDescent="0.3">
      <c r="M174" s="10"/>
    </row>
    <row r="175" spans="13:13" x14ac:dyDescent="0.3">
      <c r="M175" s="10"/>
    </row>
    <row r="176" spans="13:13" x14ac:dyDescent="0.3">
      <c r="M176" s="10"/>
    </row>
    <row r="177" spans="13:13" x14ac:dyDescent="0.3">
      <c r="M177" s="10"/>
    </row>
    <row r="178" spans="13:13" x14ac:dyDescent="0.3">
      <c r="M178" s="10"/>
    </row>
    <row r="179" spans="13:13" x14ac:dyDescent="0.3">
      <c r="M179" s="10"/>
    </row>
    <row r="180" spans="13:13" x14ac:dyDescent="0.3">
      <c r="M180" s="10"/>
    </row>
    <row r="181" spans="13:13" x14ac:dyDescent="0.3">
      <c r="M181" s="10"/>
    </row>
    <row r="182" spans="13:13" x14ac:dyDescent="0.3">
      <c r="M182" s="10"/>
    </row>
    <row r="183" spans="13:13" x14ac:dyDescent="0.3">
      <c r="M183" s="10"/>
    </row>
    <row r="184" spans="13:13" x14ac:dyDescent="0.3">
      <c r="M184" s="10"/>
    </row>
    <row r="185" spans="13:13" x14ac:dyDescent="0.3">
      <c r="M185" s="10"/>
    </row>
    <row r="186" spans="13:13" x14ac:dyDescent="0.3">
      <c r="M186" s="10"/>
    </row>
    <row r="187" spans="13:13" x14ac:dyDescent="0.3">
      <c r="M187" s="10"/>
    </row>
    <row r="188" spans="13:13" x14ac:dyDescent="0.3">
      <c r="M188" s="10"/>
    </row>
    <row r="189" spans="13:13" x14ac:dyDescent="0.3">
      <c r="M189" s="10"/>
    </row>
    <row r="190" spans="13:13" x14ac:dyDescent="0.3">
      <c r="M190" s="10"/>
    </row>
    <row r="191" spans="13:13" x14ac:dyDescent="0.3">
      <c r="M191" s="10"/>
    </row>
    <row r="192" spans="13:13" x14ac:dyDescent="0.3">
      <c r="M192" s="10"/>
    </row>
    <row r="193" spans="13:13" x14ac:dyDescent="0.3">
      <c r="M193" s="10"/>
    </row>
    <row r="194" spans="13:13" x14ac:dyDescent="0.3">
      <c r="M194" s="10"/>
    </row>
    <row r="195" spans="13:13" x14ac:dyDescent="0.3">
      <c r="M195" s="10"/>
    </row>
    <row r="196" spans="13:13" x14ac:dyDescent="0.3">
      <c r="M196" s="10"/>
    </row>
    <row r="197" spans="13:13" x14ac:dyDescent="0.3">
      <c r="M197" s="10"/>
    </row>
    <row r="198" spans="13:13" x14ac:dyDescent="0.3">
      <c r="M198" s="10"/>
    </row>
    <row r="199" spans="13:13" x14ac:dyDescent="0.3">
      <c r="M199" s="10"/>
    </row>
    <row r="200" spans="13:13" x14ac:dyDescent="0.3">
      <c r="M200" s="10"/>
    </row>
    <row r="201" spans="13:13" x14ac:dyDescent="0.3">
      <c r="M201" s="10"/>
    </row>
    <row r="202" spans="13:13" x14ac:dyDescent="0.3">
      <c r="M202" s="10"/>
    </row>
    <row r="203" spans="13:13" x14ac:dyDescent="0.3">
      <c r="M203" s="10"/>
    </row>
    <row r="204" spans="13:13" x14ac:dyDescent="0.3">
      <c r="M204" s="10"/>
    </row>
    <row r="205" spans="13:13" x14ac:dyDescent="0.3">
      <c r="M205" s="10"/>
    </row>
    <row r="206" spans="13:13" x14ac:dyDescent="0.3">
      <c r="M206" s="10"/>
    </row>
    <row r="207" spans="13:13" x14ac:dyDescent="0.3">
      <c r="M207" s="10"/>
    </row>
    <row r="208" spans="13:13" x14ac:dyDescent="0.3">
      <c r="M208" s="10"/>
    </row>
    <row r="209" spans="13:13" x14ac:dyDescent="0.3">
      <c r="M209" s="10"/>
    </row>
    <row r="210" spans="13:13" x14ac:dyDescent="0.3">
      <c r="M210" s="10"/>
    </row>
    <row r="211" spans="13:13" x14ac:dyDescent="0.3">
      <c r="M211" s="10"/>
    </row>
    <row r="212" spans="13:13" x14ac:dyDescent="0.3">
      <c r="M212" s="10"/>
    </row>
    <row r="213" spans="13:13" x14ac:dyDescent="0.3">
      <c r="M213" s="10"/>
    </row>
    <row r="214" spans="13:13" x14ac:dyDescent="0.3">
      <c r="M214" s="10"/>
    </row>
    <row r="215" spans="13:13" x14ac:dyDescent="0.3">
      <c r="M215" s="10"/>
    </row>
    <row r="216" spans="13:13" x14ac:dyDescent="0.3">
      <c r="M216" s="10"/>
    </row>
    <row r="217" spans="13:13" x14ac:dyDescent="0.3">
      <c r="M217" s="10"/>
    </row>
    <row r="218" spans="13:13" x14ac:dyDescent="0.3">
      <c r="M218" s="10"/>
    </row>
    <row r="219" spans="13:13" x14ac:dyDescent="0.3">
      <c r="M219" s="10"/>
    </row>
    <row r="220" spans="13:13" x14ac:dyDescent="0.3">
      <c r="M220" s="10"/>
    </row>
    <row r="221" spans="13:13" x14ac:dyDescent="0.3">
      <c r="M221" s="10"/>
    </row>
    <row r="222" spans="13:13" x14ac:dyDescent="0.3">
      <c r="M222" s="10"/>
    </row>
    <row r="223" spans="13:13" x14ac:dyDescent="0.3">
      <c r="M223" s="10"/>
    </row>
    <row r="224" spans="13:13" x14ac:dyDescent="0.3">
      <c r="M224" s="10"/>
    </row>
    <row r="225" spans="13:13" x14ac:dyDescent="0.3">
      <c r="M225" s="10"/>
    </row>
    <row r="226" spans="13:13" x14ac:dyDescent="0.3">
      <c r="M226" s="10"/>
    </row>
    <row r="227" spans="13:13" x14ac:dyDescent="0.3">
      <c r="M227" s="10"/>
    </row>
    <row r="228" spans="13:13" x14ac:dyDescent="0.3">
      <c r="M228" s="10"/>
    </row>
    <row r="229" spans="13:13" x14ac:dyDescent="0.3">
      <c r="M229" s="10"/>
    </row>
    <row r="230" spans="13:13" x14ac:dyDescent="0.3">
      <c r="M230" s="10"/>
    </row>
    <row r="231" spans="13:13" x14ac:dyDescent="0.3">
      <c r="M231" s="10"/>
    </row>
    <row r="232" spans="13:13" x14ac:dyDescent="0.3">
      <c r="M232" s="10"/>
    </row>
    <row r="233" spans="13:13" x14ac:dyDescent="0.3">
      <c r="M233" s="10"/>
    </row>
    <row r="234" spans="13:13" x14ac:dyDescent="0.3">
      <c r="M234" s="10"/>
    </row>
    <row r="235" spans="13:13" x14ac:dyDescent="0.3">
      <c r="M235" s="10"/>
    </row>
    <row r="236" spans="13:13" x14ac:dyDescent="0.3">
      <c r="M236" s="10"/>
    </row>
    <row r="237" spans="13:13" x14ac:dyDescent="0.3">
      <c r="M237" s="10"/>
    </row>
    <row r="238" spans="13:13" x14ac:dyDescent="0.3">
      <c r="M238" s="10"/>
    </row>
    <row r="239" spans="13:13" x14ac:dyDescent="0.3">
      <c r="M239" s="10"/>
    </row>
    <row r="240" spans="13:13" x14ac:dyDescent="0.3">
      <c r="M240" s="10"/>
    </row>
    <row r="241" spans="13:13" x14ac:dyDescent="0.3">
      <c r="M241" s="10"/>
    </row>
    <row r="242" spans="13:13" x14ac:dyDescent="0.3">
      <c r="M242" s="10"/>
    </row>
    <row r="243" spans="13:13" x14ac:dyDescent="0.3">
      <c r="M243" s="10"/>
    </row>
    <row r="244" spans="13:13" x14ac:dyDescent="0.3">
      <c r="M244" s="10"/>
    </row>
    <row r="245" spans="13:13" x14ac:dyDescent="0.3">
      <c r="M245" s="10"/>
    </row>
    <row r="246" spans="13:13" x14ac:dyDescent="0.3">
      <c r="M246" s="10"/>
    </row>
    <row r="247" spans="13:13" x14ac:dyDescent="0.3">
      <c r="M247" s="10"/>
    </row>
    <row r="248" spans="13:13" x14ac:dyDescent="0.3">
      <c r="M248" s="10"/>
    </row>
    <row r="249" spans="13:13" x14ac:dyDescent="0.3">
      <c r="M249" s="10"/>
    </row>
    <row r="250" spans="13:13" x14ac:dyDescent="0.3">
      <c r="M250" s="10"/>
    </row>
    <row r="251" spans="13:13" x14ac:dyDescent="0.3">
      <c r="M251" s="10"/>
    </row>
    <row r="252" spans="13:13" x14ac:dyDescent="0.3">
      <c r="M252" s="10"/>
    </row>
    <row r="253" spans="13:13" x14ac:dyDescent="0.3">
      <c r="M253" s="10"/>
    </row>
    <row r="254" spans="13:13" x14ac:dyDescent="0.3">
      <c r="M254" s="10"/>
    </row>
    <row r="255" spans="13:13" x14ac:dyDescent="0.3">
      <c r="M255" s="10"/>
    </row>
    <row r="256" spans="13:13" x14ac:dyDescent="0.3">
      <c r="M256" s="10"/>
    </row>
    <row r="257" spans="13:13" x14ac:dyDescent="0.3">
      <c r="M257" s="10"/>
    </row>
    <row r="258" spans="13:13" x14ac:dyDescent="0.3">
      <c r="M258" s="10"/>
    </row>
    <row r="259" spans="13:13" x14ac:dyDescent="0.3">
      <c r="M259" s="10"/>
    </row>
    <row r="260" spans="13:13" x14ac:dyDescent="0.3">
      <c r="M260" s="10"/>
    </row>
    <row r="261" spans="13:13" x14ac:dyDescent="0.3">
      <c r="M261" s="10"/>
    </row>
    <row r="262" spans="13:13" x14ac:dyDescent="0.3">
      <c r="M262" s="10"/>
    </row>
    <row r="263" spans="13:13" x14ac:dyDescent="0.3">
      <c r="M263" s="10"/>
    </row>
    <row r="264" spans="13:13" x14ac:dyDescent="0.3">
      <c r="M264" s="10"/>
    </row>
    <row r="265" spans="13:13" x14ac:dyDescent="0.3">
      <c r="M265" s="10"/>
    </row>
    <row r="266" spans="13:13" x14ac:dyDescent="0.3">
      <c r="M266" s="10"/>
    </row>
    <row r="267" spans="13:13" x14ac:dyDescent="0.3">
      <c r="M267" s="10"/>
    </row>
    <row r="268" spans="13:13" x14ac:dyDescent="0.3">
      <c r="M268" s="10"/>
    </row>
    <row r="269" spans="13:13" x14ac:dyDescent="0.3">
      <c r="M269" s="10"/>
    </row>
    <row r="270" spans="13:13" x14ac:dyDescent="0.3">
      <c r="M270" s="10"/>
    </row>
    <row r="271" spans="13:13" x14ac:dyDescent="0.3">
      <c r="M271" s="10"/>
    </row>
    <row r="272" spans="13:13" x14ac:dyDescent="0.3">
      <c r="M272" s="10"/>
    </row>
    <row r="273" spans="13:13" x14ac:dyDescent="0.3">
      <c r="M273" s="10"/>
    </row>
    <row r="274" spans="13:13" x14ac:dyDescent="0.3">
      <c r="M274" s="10"/>
    </row>
    <row r="275" spans="13:13" x14ac:dyDescent="0.3">
      <c r="M275" s="10"/>
    </row>
    <row r="276" spans="13:13" x14ac:dyDescent="0.3">
      <c r="M276" s="10"/>
    </row>
    <row r="277" spans="13:13" x14ac:dyDescent="0.3">
      <c r="M277" s="10"/>
    </row>
    <row r="278" spans="13:13" x14ac:dyDescent="0.3">
      <c r="M278" s="10"/>
    </row>
    <row r="279" spans="13:13" x14ac:dyDescent="0.3">
      <c r="M279" s="10"/>
    </row>
    <row r="280" spans="13:13" x14ac:dyDescent="0.3">
      <c r="M280" s="10"/>
    </row>
    <row r="281" spans="13:13" x14ac:dyDescent="0.3">
      <c r="M281" s="10"/>
    </row>
    <row r="282" spans="13:13" x14ac:dyDescent="0.3">
      <c r="M282" s="10"/>
    </row>
    <row r="283" spans="13:13" x14ac:dyDescent="0.3">
      <c r="M283" s="10"/>
    </row>
    <row r="284" spans="13:13" x14ac:dyDescent="0.3">
      <c r="M284" s="10"/>
    </row>
    <row r="285" spans="13:13" x14ac:dyDescent="0.3">
      <c r="M285" s="10"/>
    </row>
    <row r="286" spans="13:13" x14ac:dyDescent="0.3">
      <c r="M286" s="10"/>
    </row>
    <row r="287" spans="13:13" x14ac:dyDescent="0.3">
      <c r="M287" s="10"/>
    </row>
    <row r="288" spans="13:13" x14ac:dyDescent="0.3">
      <c r="M288" s="10"/>
    </row>
    <row r="289" spans="13:13" x14ac:dyDescent="0.3">
      <c r="M289" s="10"/>
    </row>
    <row r="290" spans="13:13" x14ac:dyDescent="0.3">
      <c r="M290" s="10"/>
    </row>
    <row r="291" spans="13:13" x14ac:dyDescent="0.3">
      <c r="M291" s="10"/>
    </row>
    <row r="292" spans="13:13" x14ac:dyDescent="0.3">
      <c r="M292" s="10"/>
    </row>
    <row r="293" spans="13:13" x14ac:dyDescent="0.3">
      <c r="M293" s="10"/>
    </row>
    <row r="294" spans="13:13" x14ac:dyDescent="0.3">
      <c r="M294" s="10"/>
    </row>
    <row r="295" spans="13:13" x14ac:dyDescent="0.3">
      <c r="M295" s="10"/>
    </row>
    <row r="296" spans="13:13" x14ac:dyDescent="0.3">
      <c r="M296" s="10"/>
    </row>
    <row r="297" spans="13:13" x14ac:dyDescent="0.3">
      <c r="M297" s="10"/>
    </row>
    <row r="298" spans="13:13" x14ac:dyDescent="0.3">
      <c r="M298" s="10"/>
    </row>
    <row r="299" spans="13:13" x14ac:dyDescent="0.3">
      <c r="M299" s="10"/>
    </row>
    <row r="300" spans="13:13" x14ac:dyDescent="0.3">
      <c r="M300" s="10"/>
    </row>
    <row r="301" spans="13:13" x14ac:dyDescent="0.3">
      <c r="M301" s="10"/>
    </row>
    <row r="302" spans="13:13" x14ac:dyDescent="0.3">
      <c r="M302" s="10"/>
    </row>
    <row r="303" spans="13:13" x14ac:dyDescent="0.3">
      <c r="M303" s="10"/>
    </row>
    <row r="304" spans="13:13" x14ac:dyDescent="0.3">
      <c r="M304" s="10"/>
    </row>
    <row r="305" spans="13:13" x14ac:dyDescent="0.3">
      <c r="M305" s="10"/>
    </row>
    <row r="306" spans="13:13" x14ac:dyDescent="0.3">
      <c r="M306" s="10"/>
    </row>
    <row r="307" spans="13:13" x14ac:dyDescent="0.3">
      <c r="M307" s="10"/>
    </row>
    <row r="308" spans="13:13" x14ac:dyDescent="0.3">
      <c r="M308" s="10"/>
    </row>
    <row r="309" spans="13:13" x14ac:dyDescent="0.3">
      <c r="M309" s="10"/>
    </row>
    <row r="310" spans="13:13" x14ac:dyDescent="0.3">
      <c r="M310" s="10"/>
    </row>
    <row r="311" spans="13:13" x14ac:dyDescent="0.3">
      <c r="M311" s="10"/>
    </row>
    <row r="312" spans="13:13" x14ac:dyDescent="0.3">
      <c r="M312" s="10"/>
    </row>
    <row r="313" spans="13:13" x14ac:dyDescent="0.3">
      <c r="M313" s="10"/>
    </row>
    <row r="314" spans="13:13" x14ac:dyDescent="0.3">
      <c r="M314" s="10"/>
    </row>
    <row r="315" spans="13:13" x14ac:dyDescent="0.3">
      <c r="M315" s="10"/>
    </row>
    <row r="316" spans="13:13" x14ac:dyDescent="0.3">
      <c r="M316" s="10"/>
    </row>
    <row r="317" spans="13:13" x14ac:dyDescent="0.3">
      <c r="M317" s="10"/>
    </row>
    <row r="318" spans="13:13" x14ac:dyDescent="0.3">
      <c r="M318" s="10"/>
    </row>
    <row r="319" spans="13:13" x14ac:dyDescent="0.3">
      <c r="M319" s="10"/>
    </row>
    <row r="320" spans="13:13" x14ac:dyDescent="0.3">
      <c r="M320" s="10"/>
    </row>
    <row r="321" spans="13:13" x14ac:dyDescent="0.3">
      <c r="M321" s="10"/>
    </row>
    <row r="322" spans="13:13" x14ac:dyDescent="0.3">
      <c r="M322" s="10"/>
    </row>
    <row r="323" spans="13:13" x14ac:dyDescent="0.3">
      <c r="M323" s="10"/>
    </row>
    <row r="324" spans="13:13" x14ac:dyDescent="0.3">
      <c r="M324" s="10"/>
    </row>
    <row r="325" spans="13:13" x14ac:dyDescent="0.3">
      <c r="M325" s="10"/>
    </row>
    <row r="326" spans="13:13" x14ac:dyDescent="0.3">
      <c r="M326" s="10"/>
    </row>
    <row r="327" spans="13:13" x14ac:dyDescent="0.3">
      <c r="M327" s="10"/>
    </row>
    <row r="328" spans="13:13" x14ac:dyDescent="0.3">
      <c r="M328" s="10"/>
    </row>
    <row r="329" spans="13:13" x14ac:dyDescent="0.3">
      <c r="M329" s="10"/>
    </row>
    <row r="330" spans="13:13" x14ac:dyDescent="0.3">
      <c r="M330" s="10"/>
    </row>
    <row r="331" spans="13:13" x14ac:dyDescent="0.3">
      <c r="M331" s="10"/>
    </row>
    <row r="332" spans="13:13" x14ac:dyDescent="0.3">
      <c r="M332" s="10"/>
    </row>
    <row r="333" spans="13:13" x14ac:dyDescent="0.3">
      <c r="M333" s="10"/>
    </row>
    <row r="334" spans="13:13" x14ac:dyDescent="0.3">
      <c r="M334" s="10"/>
    </row>
    <row r="335" spans="13:13" x14ac:dyDescent="0.3">
      <c r="M335" s="10"/>
    </row>
    <row r="336" spans="13:13" x14ac:dyDescent="0.3">
      <c r="M336" s="10"/>
    </row>
    <row r="337" spans="13:13" x14ac:dyDescent="0.3">
      <c r="M337" s="10"/>
    </row>
    <row r="338" spans="13:13" x14ac:dyDescent="0.3">
      <c r="M338" s="10"/>
    </row>
    <row r="339" spans="13:13" x14ac:dyDescent="0.3">
      <c r="M339" s="10"/>
    </row>
    <row r="340" spans="13:13" x14ac:dyDescent="0.3">
      <c r="M340" s="10"/>
    </row>
    <row r="341" spans="13:13" x14ac:dyDescent="0.3">
      <c r="M341" s="10"/>
    </row>
    <row r="342" spans="13:13" x14ac:dyDescent="0.3">
      <c r="M342" s="10"/>
    </row>
    <row r="343" spans="13:13" x14ac:dyDescent="0.3">
      <c r="M343" s="10"/>
    </row>
    <row r="344" spans="13:13" x14ac:dyDescent="0.3">
      <c r="M344" s="10"/>
    </row>
    <row r="345" spans="13:13" x14ac:dyDescent="0.3">
      <c r="M345" s="10"/>
    </row>
    <row r="346" spans="13:13" x14ac:dyDescent="0.3">
      <c r="M346" s="10"/>
    </row>
    <row r="347" spans="13:13" x14ac:dyDescent="0.3">
      <c r="M347" s="10"/>
    </row>
    <row r="348" spans="13:13" x14ac:dyDescent="0.3">
      <c r="M348" s="10"/>
    </row>
    <row r="349" spans="13:13" x14ac:dyDescent="0.3">
      <c r="M349" s="10"/>
    </row>
    <row r="350" spans="13:13" x14ac:dyDescent="0.3">
      <c r="M350" s="10"/>
    </row>
    <row r="351" spans="13:13" x14ac:dyDescent="0.3">
      <c r="M351" s="10"/>
    </row>
    <row r="352" spans="13:13" x14ac:dyDescent="0.3">
      <c r="M352" s="10"/>
    </row>
    <row r="353" spans="13:13" x14ac:dyDescent="0.3">
      <c r="M353" s="10"/>
    </row>
    <row r="354" spans="13:13" x14ac:dyDescent="0.3">
      <c r="M354" s="10"/>
    </row>
    <row r="355" spans="13:13" x14ac:dyDescent="0.3">
      <c r="M355" s="10"/>
    </row>
    <row r="356" spans="13:13" x14ac:dyDescent="0.3">
      <c r="M356" s="10"/>
    </row>
    <row r="357" spans="13:13" x14ac:dyDescent="0.3">
      <c r="M357" s="10"/>
    </row>
    <row r="358" spans="13:13" x14ac:dyDescent="0.3">
      <c r="M358" s="10"/>
    </row>
    <row r="359" spans="13:13" x14ac:dyDescent="0.3">
      <c r="M359" s="10"/>
    </row>
    <row r="360" spans="13:13" x14ac:dyDescent="0.3">
      <c r="M360" s="10"/>
    </row>
    <row r="361" spans="13:13" x14ac:dyDescent="0.3">
      <c r="M361" s="10"/>
    </row>
    <row r="362" spans="13:13" x14ac:dyDescent="0.3">
      <c r="M362" s="10"/>
    </row>
    <row r="363" spans="13:13" x14ac:dyDescent="0.3">
      <c r="M363" s="10"/>
    </row>
    <row r="364" spans="13:13" x14ac:dyDescent="0.3">
      <c r="M364" s="10"/>
    </row>
    <row r="365" spans="13:13" x14ac:dyDescent="0.3">
      <c r="M365" s="10"/>
    </row>
    <row r="366" spans="13:13" x14ac:dyDescent="0.3">
      <c r="M366" s="10"/>
    </row>
    <row r="367" spans="13:13" x14ac:dyDescent="0.3">
      <c r="M367" s="10"/>
    </row>
    <row r="368" spans="13:13" x14ac:dyDescent="0.3">
      <c r="M368" s="10"/>
    </row>
    <row r="369" spans="13:13" x14ac:dyDescent="0.3">
      <c r="M369" s="10"/>
    </row>
    <row r="370" spans="13:13" x14ac:dyDescent="0.3">
      <c r="M370" s="10"/>
    </row>
    <row r="371" spans="13:13" x14ac:dyDescent="0.3">
      <c r="M371" s="10"/>
    </row>
    <row r="372" spans="13:13" x14ac:dyDescent="0.3">
      <c r="M372" s="10"/>
    </row>
    <row r="373" spans="13:13" x14ac:dyDescent="0.3">
      <c r="M373" s="10"/>
    </row>
    <row r="374" spans="13:13" x14ac:dyDescent="0.3">
      <c r="M374" s="10"/>
    </row>
    <row r="375" spans="13:13" x14ac:dyDescent="0.3">
      <c r="M375" s="10"/>
    </row>
    <row r="376" spans="13:13" x14ac:dyDescent="0.3">
      <c r="M376" s="10"/>
    </row>
    <row r="377" spans="13:13" x14ac:dyDescent="0.3">
      <c r="M377" s="10"/>
    </row>
    <row r="378" spans="13:13" x14ac:dyDescent="0.3">
      <c r="M378" s="10"/>
    </row>
    <row r="379" spans="13:13" x14ac:dyDescent="0.3">
      <c r="M379" s="10"/>
    </row>
    <row r="380" spans="13:13" x14ac:dyDescent="0.3">
      <c r="M380" s="10"/>
    </row>
    <row r="381" spans="13:13" x14ac:dyDescent="0.3">
      <c r="M381" s="10"/>
    </row>
    <row r="382" spans="13:13" x14ac:dyDescent="0.3">
      <c r="M382" s="10"/>
    </row>
    <row r="383" spans="13:13" x14ac:dyDescent="0.3">
      <c r="M383" s="10"/>
    </row>
    <row r="384" spans="13:13" x14ac:dyDescent="0.3">
      <c r="M384" s="10"/>
    </row>
    <row r="385" spans="13:13" x14ac:dyDescent="0.3">
      <c r="M385" s="10"/>
    </row>
    <row r="386" spans="13:13" x14ac:dyDescent="0.3">
      <c r="M386" s="10"/>
    </row>
    <row r="387" spans="13:13" x14ac:dyDescent="0.3">
      <c r="M387" s="10"/>
    </row>
    <row r="388" spans="13:13" x14ac:dyDescent="0.3">
      <c r="M388" s="10"/>
    </row>
    <row r="389" spans="13:13" x14ac:dyDescent="0.3">
      <c r="M389" s="10"/>
    </row>
    <row r="390" spans="13:13" x14ac:dyDescent="0.3">
      <c r="M390" s="10"/>
    </row>
    <row r="391" spans="13:13" x14ac:dyDescent="0.3">
      <c r="M391" s="10"/>
    </row>
    <row r="392" spans="13:13" x14ac:dyDescent="0.3">
      <c r="M392" s="10"/>
    </row>
    <row r="393" spans="13:13" x14ac:dyDescent="0.3">
      <c r="M393" s="10"/>
    </row>
    <row r="394" spans="13:13" x14ac:dyDescent="0.3">
      <c r="M394" s="10"/>
    </row>
    <row r="395" spans="13:13" x14ac:dyDescent="0.3">
      <c r="M395" s="10"/>
    </row>
    <row r="396" spans="13:13" x14ac:dyDescent="0.3">
      <c r="M396" s="10"/>
    </row>
    <row r="397" spans="13:13" x14ac:dyDescent="0.3">
      <c r="M397" s="10"/>
    </row>
    <row r="398" spans="13:13" x14ac:dyDescent="0.3">
      <c r="M398" s="10"/>
    </row>
    <row r="399" spans="13:13" x14ac:dyDescent="0.3">
      <c r="M399" s="10"/>
    </row>
    <row r="400" spans="13:13" x14ac:dyDescent="0.3">
      <c r="M400" s="10"/>
    </row>
    <row r="401" spans="13:13" x14ac:dyDescent="0.3">
      <c r="M401" s="10"/>
    </row>
    <row r="402" spans="13:13" x14ac:dyDescent="0.3">
      <c r="M402" s="10"/>
    </row>
    <row r="403" spans="13:13" x14ac:dyDescent="0.3">
      <c r="M403" s="10"/>
    </row>
    <row r="404" spans="13:13" x14ac:dyDescent="0.3">
      <c r="M404" s="10"/>
    </row>
    <row r="405" spans="13:13" x14ac:dyDescent="0.3">
      <c r="M405" s="10"/>
    </row>
    <row r="406" spans="13:13" x14ac:dyDescent="0.3">
      <c r="M406" s="10"/>
    </row>
    <row r="407" spans="13:13" x14ac:dyDescent="0.3">
      <c r="M407" s="10"/>
    </row>
    <row r="408" spans="13:13" x14ac:dyDescent="0.3">
      <c r="M408" s="10"/>
    </row>
    <row r="409" spans="13:13" x14ac:dyDescent="0.3">
      <c r="M409" s="10"/>
    </row>
    <row r="410" spans="13:13" x14ac:dyDescent="0.3">
      <c r="M410" s="10"/>
    </row>
    <row r="411" spans="13:13" x14ac:dyDescent="0.3">
      <c r="M411" s="10"/>
    </row>
    <row r="412" spans="13:13" x14ac:dyDescent="0.3">
      <c r="M412" s="10"/>
    </row>
    <row r="413" spans="13:13" x14ac:dyDescent="0.3">
      <c r="M413" s="10"/>
    </row>
    <row r="414" spans="13:13" x14ac:dyDescent="0.3">
      <c r="M414" s="10"/>
    </row>
    <row r="415" spans="13:13" x14ac:dyDescent="0.3">
      <c r="M415" s="10"/>
    </row>
    <row r="416" spans="13:13" x14ac:dyDescent="0.3">
      <c r="M416" s="10"/>
    </row>
    <row r="417" spans="13:13" x14ac:dyDescent="0.3">
      <c r="M417" s="10"/>
    </row>
    <row r="418" spans="13:13" x14ac:dyDescent="0.3">
      <c r="M418" s="10"/>
    </row>
    <row r="419" spans="13:13" x14ac:dyDescent="0.3">
      <c r="M419" s="10"/>
    </row>
    <row r="420" spans="13:13" x14ac:dyDescent="0.3">
      <c r="M420" s="10"/>
    </row>
    <row r="421" spans="13:13" x14ac:dyDescent="0.3">
      <c r="M421" s="10"/>
    </row>
    <row r="422" spans="13:13" x14ac:dyDescent="0.3">
      <c r="M422" s="10"/>
    </row>
    <row r="423" spans="13:13" x14ac:dyDescent="0.3">
      <c r="M423" s="10"/>
    </row>
    <row r="424" spans="13:13" x14ac:dyDescent="0.3">
      <c r="M424" s="10"/>
    </row>
    <row r="425" spans="13:13" x14ac:dyDescent="0.3">
      <c r="M425" s="10"/>
    </row>
    <row r="426" spans="13:13" x14ac:dyDescent="0.3">
      <c r="M426" s="10"/>
    </row>
    <row r="427" spans="13:13" x14ac:dyDescent="0.3">
      <c r="M427" s="10"/>
    </row>
    <row r="428" spans="13:13" x14ac:dyDescent="0.3">
      <c r="M428" s="10"/>
    </row>
    <row r="429" spans="13:13" x14ac:dyDescent="0.3">
      <c r="M429" s="10"/>
    </row>
    <row r="430" spans="13:13" x14ac:dyDescent="0.3">
      <c r="M430" s="10"/>
    </row>
    <row r="431" spans="13:13" x14ac:dyDescent="0.3">
      <c r="M431" s="10"/>
    </row>
    <row r="432" spans="13:13" x14ac:dyDescent="0.3">
      <c r="M432" s="10"/>
    </row>
    <row r="433" spans="13:13" x14ac:dyDescent="0.3">
      <c r="M433" s="10"/>
    </row>
    <row r="434" spans="13:13" x14ac:dyDescent="0.3">
      <c r="M434" s="10"/>
    </row>
    <row r="435" spans="13:13" x14ac:dyDescent="0.3">
      <c r="M435" s="10"/>
    </row>
    <row r="436" spans="13:13" x14ac:dyDescent="0.3">
      <c r="M436" s="10"/>
    </row>
    <row r="437" spans="13:13" x14ac:dyDescent="0.3">
      <c r="M437" s="10"/>
    </row>
    <row r="438" spans="13:13" x14ac:dyDescent="0.3">
      <c r="M438" s="10"/>
    </row>
    <row r="439" spans="13:13" x14ac:dyDescent="0.3">
      <c r="M439" s="10"/>
    </row>
    <row r="440" spans="13:13" x14ac:dyDescent="0.3">
      <c r="M440" s="10"/>
    </row>
    <row r="441" spans="13:13" x14ac:dyDescent="0.3">
      <c r="M441" s="10"/>
    </row>
    <row r="442" spans="13:13" x14ac:dyDescent="0.3">
      <c r="M442" s="10"/>
    </row>
    <row r="443" spans="13:13" x14ac:dyDescent="0.3">
      <c r="M443" s="10"/>
    </row>
    <row r="444" spans="13:13" x14ac:dyDescent="0.3">
      <c r="M444" s="10"/>
    </row>
    <row r="445" spans="13:13" x14ac:dyDescent="0.3">
      <c r="M445" s="10"/>
    </row>
    <row r="446" spans="13:13" x14ac:dyDescent="0.3">
      <c r="M446" s="10"/>
    </row>
    <row r="447" spans="13:13" x14ac:dyDescent="0.3">
      <c r="M447" s="10"/>
    </row>
    <row r="448" spans="13:13" x14ac:dyDescent="0.3">
      <c r="M448" s="10"/>
    </row>
    <row r="449" spans="13:13" x14ac:dyDescent="0.3">
      <c r="M449" s="10"/>
    </row>
    <row r="450" spans="13:13" x14ac:dyDescent="0.3">
      <c r="M450" s="10"/>
    </row>
    <row r="451" spans="13:13" x14ac:dyDescent="0.3">
      <c r="M451" s="10"/>
    </row>
    <row r="452" spans="13:13" x14ac:dyDescent="0.3">
      <c r="M452" s="10"/>
    </row>
    <row r="453" spans="13:13" x14ac:dyDescent="0.3">
      <c r="M453" s="10"/>
    </row>
    <row r="454" spans="13:13" x14ac:dyDescent="0.3">
      <c r="M454" s="10"/>
    </row>
    <row r="455" spans="13:13" x14ac:dyDescent="0.3">
      <c r="M455" s="10"/>
    </row>
    <row r="456" spans="13:13" x14ac:dyDescent="0.3">
      <c r="M456" s="10"/>
    </row>
    <row r="457" spans="13:13" x14ac:dyDescent="0.3">
      <c r="M457" s="10"/>
    </row>
    <row r="458" spans="13:13" x14ac:dyDescent="0.3">
      <c r="M458" s="10"/>
    </row>
    <row r="459" spans="13:13" x14ac:dyDescent="0.3">
      <c r="M459" s="10"/>
    </row>
    <row r="460" spans="13:13" x14ac:dyDescent="0.3">
      <c r="M460" s="10"/>
    </row>
    <row r="461" spans="13:13" x14ac:dyDescent="0.3">
      <c r="M461" s="10"/>
    </row>
    <row r="462" spans="13:13" x14ac:dyDescent="0.3">
      <c r="M462" s="10"/>
    </row>
    <row r="463" spans="13:13" x14ac:dyDescent="0.3">
      <c r="M463" s="10"/>
    </row>
    <row r="464" spans="13:13" x14ac:dyDescent="0.3">
      <c r="M464" s="10"/>
    </row>
    <row r="465" spans="13:13" x14ac:dyDescent="0.3">
      <c r="M465" s="10"/>
    </row>
    <row r="466" spans="13:13" x14ac:dyDescent="0.3">
      <c r="M466" s="10"/>
    </row>
    <row r="467" spans="13:13" x14ac:dyDescent="0.3">
      <c r="M467" s="10"/>
    </row>
    <row r="468" spans="13:13" x14ac:dyDescent="0.3">
      <c r="M468" s="10"/>
    </row>
    <row r="469" spans="13:13" x14ac:dyDescent="0.3">
      <c r="M469" s="10"/>
    </row>
    <row r="470" spans="13:13" x14ac:dyDescent="0.3">
      <c r="M470" s="10"/>
    </row>
    <row r="471" spans="13:13" x14ac:dyDescent="0.3">
      <c r="M471" s="10"/>
    </row>
    <row r="472" spans="13:13" x14ac:dyDescent="0.3">
      <c r="M472" s="10"/>
    </row>
    <row r="473" spans="13:13" x14ac:dyDescent="0.3">
      <c r="M473" s="10"/>
    </row>
    <row r="474" spans="13:13" x14ac:dyDescent="0.3">
      <c r="M474" s="10"/>
    </row>
    <row r="475" spans="13:13" x14ac:dyDescent="0.3">
      <c r="M475" s="10"/>
    </row>
    <row r="476" spans="13:13" x14ac:dyDescent="0.3">
      <c r="M476" s="10"/>
    </row>
    <row r="477" spans="13:13" x14ac:dyDescent="0.3">
      <c r="M477" s="10"/>
    </row>
    <row r="478" spans="13:13" x14ac:dyDescent="0.3">
      <c r="M478" s="10"/>
    </row>
    <row r="479" spans="13:13" x14ac:dyDescent="0.3">
      <c r="M479" s="10"/>
    </row>
    <row r="480" spans="13:13" x14ac:dyDescent="0.3">
      <c r="M480" s="10"/>
    </row>
    <row r="481" spans="13:13" x14ac:dyDescent="0.3">
      <c r="M481" s="10"/>
    </row>
    <row r="482" spans="13:13" x14ac:dyDescent="0.3">
      <c r="M482" s="10"/>
    </row>
    <row r="483" spans="13:13" x14ac:dyDescent="0.3">
      <c r="M483" s="10"/>
    </row>
    <row r="484" spans="13:13" x14ac:dyDescent="0.3">
      <c r="M484" s="10"/>
    </row>
    <row r="485" spans="13:13" x14ac:dyDescent="0.3">
      <c r="M485" s="10"/>
    </row>
    <row r="486" spans="13:13" x14ac:dyDescent="0.3">
      <c r="M486" s="10"/>
    </row>
    <row r="487" spans="13:13" x14ac:dyDescent="0.3">
      <c r="M487" s="10"/>
    </row>
    <row r="488" spans="13:13" x14ac:dyDescent="0.3">
      <c r="M488" s="10"/>
    </row>
    <row r="489" spans="13:13" x14ac:dyDescent="0.3">
      <c r="M489" s="10"/>
    </row>
    <row r="490" spans="13:13" x14ac:dyDescent="0.3">
      <c r="M490" s="10"/>
    </row>
    <row r="491" spans="13:13" x14ac:dyDescent="0.3">
      <c r="M491" s="10"/>
    </row>
    <row r="492" spans="13:13" x14ac:dyDescent="0.3">
      <c r="M492" s="10"/>
    </row>
    <row r="493" spans="13:13" x14ac:dyDescent="0.3">
      <c r="M493" s="10"/>
    </row>
    <row r="494" spans="13:13" x14ac:dyDescent="0.3">
      <c r="M494" s="10"/>
    </row>
    <row r="495" spans="13:13" x14ac:dyDescent="0.3">
      <c r="M495" s="10"/>
    </row>
    <row r="496" spans="13:13" x14ac:dyDescent="0.3">
      <c r="M496" s="10"/>
    </row>
    <row r="497" spans="13:13" x14ac:dyDescent="0.3">
      <c r="M497" s="10"/>
    </row>
    <row r="498" spans="13:13" x14ac:dyDescent="0.3">
      <c r="M498" s="10"/>
    </row>
    <row r="499" spans="13:13" x14ac:dyDescent="0.3">
      <c r="M499" s="10"/>
    </row>
    <row r="500" spans="13:13" x14ac:dyDescent="0.3">
      <c r="M500" s="10"/>
    </row>
  </sheetData>
  <sheetProtection algorithmName="SHA-512" hashValue="MMUU69f8tdLach00B+mPs6i2T4932EbQRdasvR2L4AFPvO3ZEr2Z7y9LpGw9FaeEJrcGq1skReAlTuLwwKRviA==" saltValue="srTtYvB5p3xyJLMSyC3w9A==" spinCount="100000" sheet="1" objects="1" scenarios="1"/>
  <pageMargins left="0.7" right="0.7" top="0.75" bottom="0.75" header="0.3" footer="0.3"/>
  <pageSetup paperSize="9" orientation="portrait" r:id="rId1"/>
  <ignoredErrors>
    <ignoredError sqref="A6" 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83116-A4E7-4334-BDF0-B86B1258A737}">
  <sheetPr codeName="Sheet2">
    <tabColor theme="9" tint="0.79998168889431442"/>
    <pageSetUpPr autoPageBreaks="0" fitToPage="1"/>
  </sheetPr>
  <dimension ref="A1:S54"/>
  <sheetViews>
    <sheetView showGridLines="0" showRowColHeaders="0" showWhiteSpace="0" zoomScale="120" zoomScaleNormal="120" zoomScaleSheetLayoutView="130" workbookViewId="0">
      <selection activeCell="D2" sqref="D2:E2"/>
    </sheetView>
  </sheetViews>
  <sheetFormatPr defaultRowHeight="14.4" x14ac:dyDescent="0.3"/>
  <cols>
    <col min="1" max="2" width="5.77734375" style="3" customWidth="1"/>
    <col min="3" max="3" width="0.88671875" style="3" customWidth="1"/>
    <col min="4" max="4" width="15.77734375" style="3" customWidth="1"/>
    <col min="5" max="5" width="6.77734375" style="3" customWidth="1"/>
    <col min="6" max="6" width="5.77734375" style="14" customWidth="1"/>
    <col min="7" max="7" width="18.77734375" style="3" customWidth="1"/>
    <col min="8" max="8" width="18.77734375" style="4" customWidth="1"/>
    <col min="9" max="9" width="7.77734375" style="4" customWidth="1"/>
    <col min="10" max="11" width="18.77734375" style="4" customWidth="1"/>
    <col min="12" max="12" width="5.77734375" style="4" customWidth="1"/>
    <col min="13" max="13" width="22.77734375" style="4" customWidth="1"/>
    <col min="14" max="14" width="0.88671875" style="4" customWidth="1"/>
    <col min="15" max="18" width="8.88671875" style="3"/>
    <col min="19" max="19" width="8.88671875" style="15"/>
    <col min="20" max="16384" width="8.88671875" style="3"/>
  </cols>
  <sheetData>
    <row r="1" spans="1:19" ht="4.95" customHeight="1" x14ac:dyDescent="0.3">
      <c r="C1" s="66"/>
      <c r="D1" s="66"/>
      <c r="E1" s="66"/>
      <c r="F1" s="67"/>
      <c r="G1" s="66"/>
      <c r="H1" s="68"/>
      <c r="I1" s="68"/>
      <c r="J1" s="68"/>
      <c r="K1" s="68"/>
      <c r="L1" s="68"/>
      <c r="M1" s="68"/>
      <c r="N1" s="68"/>
    </row>
    <row r="2" spans="1:19" s="16" customFormat="1" ht="19.95" customHeight="1" x14ac:dyDescent="0.3">
      <c r="A2" s="3"/>
      <c r="B2" s="3"/>
      <c r="C2" s="160"/>
      <c r="D2" s="294" t="s">
        <v>28</v>
      </c>
      <c r="E2" s="295"/>
      <c r="F2" s="178"/>
      <c r="G2" s="180" t="s">
        <v>1</v>
      </c>
      <c r="H2" s="179">
        <f>IF(Data1!A12=Data1!A13, Data1!A3, Data1!A1*10^3+Data1!A2*100+Data1!A3)</f>
        <v>2412</v>
      </c>
      <c r="I2" s="161"/>
      <c r="J2" s="70"/>
      <c r="K2" s="70"/>
      <c r="L2" s="69"/>
      <c r="M2" s="69"/>
      <c r="N2" s="69"/>
      <c r="Q2" s="17"/>
    </row>
    <row r="3" spans="1:19" ht="7.05" customHeight="1" x14ac:dyDescent="0.3">
      <c r="C3" s="66"/>
      <c r="D3" s="66"/>
      <c r="E3" s="66"/>
      <c r="F3" s="67"/>
      <c r="G3" s="214"/>
      <c r="H3" s="68"/>
      <c r="I3" s="68"/>
      <c r="J3" s="68"/>
      <c r="K3" s="223"/>
      <c r="L3" s="68"/>
      <c r="M3" s="71"/>
      <c r="N3" s="66"/>
      <c r="Q3" s="20"/>
      <c r="S3" s="3"/>
    </row>
    <row r="4" spans="1:19" s="21" customFormat="1" ht="22.8" customHeight="1" x14ac:dyDescent="0.3">
      <c r="C4" s="72"/>
      <c r="D4" s="182" t="s">
        <v>22</v>
      </c>
      <c r="E4" s="183">
        <v>0</v>
      </c>
      <c r="F4" s="215"/>
      <c r="G4" s="222" t="s">
        <v>2</v>
      </c>
      <c r="H4" s="227">
        <f>IF(Data1!A12=Data1!A13, "N/A", Data1!A5)</f>
        <v>0.02</v>
      </c>
      <c r="I4" s="220"/>
      <c r="J4" s="222" t="s">
        <v>0</v>
      </c>
      <c r="K4" s="224">
        <f xml:space="preserve"> Data1!U2</f>
        <v>1.5866929799999999E-2</v>
      </c>
      <c r="L4" s="225"/>
      <c r="M4" s="60"/>
      <c r="N4" s="72"/>
      <c r="Q4" s="5"/>
    </row>
    <row r="5" spans="1:19" ht="4.95" customHeight="1" x14ac:dyDescent="0.3">
      <c r="C5" s="66"/>
      <c r="D5" s="73"/>
      <c r="E5" s="73"/>
      <c r="F5" s="67"/>
      <c r="G5" s="75"/>
      <c r="H5" s="216"/>
      <c r="I5" s="68"/>
      <c r="J5" s="221"/>
      <c r="K5" s="219"/>
      <c r="L5" s="74"/>
      <c r="M5" s="61"/>
      <c r="N5" s="66"/>
      <c r="Q5" s="15"/>
      <c r="S5" s="3"/>
    </row>
    <row r="6" spans="1:19" ht="22.8" customHeight="1" x14ac:dyDescent="0.3">
      <c r="C6" s="66"/>
      <c r="D6" s="181" t="s">
        <v>16</v>
      </c>
      <c r="E6" s="184">
        <v>1</v>
      </c>
      <c r="F6" s="80"/>
      <c r="G6" s="229" t="s">
        <v>3</v>
      </c>
      <c r="H6" s="227">
        <f>IF(Data1!A12=Data1!A13, "N/A", Data1!A6)</f>
        <v>0.4</v>
      </c>
      <c r="I6" s="66"/>
      <c r="J6" s="218" t="s">
        <v>23</v>
      </c>
      <c r="K6" s="226">
        <f>DEGREES(2*ATAN(1.16925*H8))</f>
        <v>15.974059813936858</v>
      </c>
      <c r="L6" s="104"/>
      <c r="M6" s="62"/>
      <c r="N6" s="66"/>
      <c r="Q6" s="15"/>
      <c r="S6" s="3"/>
    </row>
    <row r="7" spans="1:19" ht="4.95" customHeight="1" x14ac:dyDescent="0.3">
      <c r="C7" s="66"/>
      <c r="D7" s="66"/>
      <c r="E7" s="66"/>
      <c r="F7" s="67"/>
      <c r="G7" s="75"/>
      <c r="H7" s="76"/>
      <c r="I7" s="66"/>
      <c r="J7" s="65"/>
      <c r="K7" s="65"/>
      <c r="L7" s="77"/>
      <c r="M7" s="62"/>
      <c r="N7" s="66"/>
    </row>
    <row r="8" spans="1:19" ht="22.8" customHeight="1" x14ac:dyDescent="0.5">
      <c r="C8" s="66"/>
      <c r="D8" s="58"/>
      <c r="E8" s="59"/>
      <c r="F8" s="217"/>
      <c r="G8" s="222" t="s">
        <v>8</v>
      </c>
      <c r="H8" s="228">
        <f>Data1!A7</f>
        <v>0.12</v>
      </c>
      <c r="I8" s="66"/>
      <c r="J8" s="292" t="s">
        <v>14</v>
      </c>
      <c r="K8" s="293"/>
      <c r="L8" s="77"/>
      <c r="M8" s="63"/>
      <c r="N8" s="80"/>
      <c r="R8" s="22"/>
    </row>
    <row r="9" spans="1:19" ht="19.95" customHeight="1" x14ac:dyDescent="0.5">
      <c r="C9" s="66"/>
      <c r="D9" s="65"/>
      <c r="E9" s="66"/>
      <c r="F9" s="66"/>
      <c r="G9" s="81"/>
      <c r="H9" s="82"/>
      <c r="I9" s="66"/>
      <c r="J9" s="78"/>
      <c r="K9" s="79"/>
      <c r="L9" s="66"/>
      <c r="M9" s="64"/>
      <c r="N9" s="80"/>
      <c r="R9" s="22"/>
    </row>
    <row r="10" spans="1:19" ht="4.95" customHeight="1" x14ac:dyDescent="0.3">
      <c r="C10" s="66"/>
      <c r="D10" s="66"/>
      <c r="E10" s="66"/>
      <c r="F10" s="66"/>
      <c r="G10" s="83"/>
      <c r="H10" s="66"/>
      <c r="I10" s="66"/>
      <c r="J10" s="68"/>
      <c r="K10" s="68"/>
      <c r="L10" s="66"/>
      <c r="M10" s="66"/>
      <c r="N10" s="66"/>
    </row>
    <row r="11" spans="1:19" x14ac:dyDescent="0.3">
      <c r="C11" s="18"/>
      <c r="D11" s="18"/>
      <c r="E11" s="18"/>
      <c r="F11" s="18"/>
      <c r="G11" s="15"/>
      <c r="H11" s="3"/>
      <c r="I11" s="3"/>
      <c r="J11" s="3"/>
      <c r="K11" s="3"/>
      <c r="L11" s="3"/>
      <c r="M11" s="18"/>
      <c r="N11" s="18"/>
    </row>
    <row r="12" spans="1:19" x14ac:dyDescent="0.3">
      <c r="C12" s="18"/>
      <c r="D12" s="18"/>
      <c r="E12" s="18"/>
      <c r="F12" s="18"/>
      <c r="G12" s="15"/>
      <c r="H12" s="3"/>
      <c r="I12" s="3"/>
      <c r="J12" s="3"/>
      <c r="K12" s="3"/>
      <c r="L12" s="3"/>
      <c r="M12" s="18"/>
      <c r="N12" s="18"/>
    </row>
    <row r="13" spans="1:19" x14ac:dyDescent="0.3">
      <c r="C13" s="18"/>
      <c r="D13" s="18"/>
      <c r="E13" s="18"/>
      <c r="F13" s="18"/>
      <c r="G13" s="15"/>
      <c r="H13" s="3"/>
      <c r="I13" s="3"/>
      <c r="J13" s="3"/>
      <c r="K13" s="3"/>
      <c r="L13" s="3"/>
      <c r="M13" s="18"/>
      <c r="N13" s="18"/>
    </row>
    <row r="14" spans="1:19" x14ac:dyDescent="0.3">
      <c r="C14" s="18"/>
      <c r="D14" s="18"/>
      <c r="E14" s="18"/>
      <c r="F14" s="18"/>
      <c r="G14" s="15"/>
      <c r="H14" s="3"/>
      <c r="I14" s="3"/>
      <c r="J14" s="3"/>
      <c r="K14" s="3"/>
      <c r="L14" s="3"/>
      <c r="M14" s="18"/>
      <c r="N14" s="18"/>
    </row>
    <row r="15" spans="1:19" x14ac:dyDescent="0.3">
      <c r="C15" s="18"/>
      <c r="D15" s="18"/>
      <c r="E15" s="18"/>
      <c r="F15" s="18"/>
      <c r="G15" s="15"/>
      <c r="H15" s="3"/>
      <c r="I15" s="3"/>
      <c r="J15" s="3"/>
      <c r="K15" s="3"/>
      <c r="L15" s="3"/>
      <c r="M15" s="18"/>
      <c r="N15" s="18"/>
    </row>
    <row r="16" spans="1:19" ht="17.399999999999999" customHeight="1" x14ac:dyDescent="0.3">
      <c r="C16" s="18"/>
      <c r="D16" s="18"/>
      <c r="E16" s="18"/>
      <c r="F16" s="18"/>
      <c r="G16" s="5"/>
      <c r="H16" s="3"/>
      <c r="I16" s="3"/>
      <c r="J16" s="3"/>
      <c r="K16" s="3"/>
      <c r="L16" s="3"/>
      <c r="M16" s="18"/>
      <c r="N16" s="18"/>
    </row>
    <row r="17" spans="3:19" x14ac:dyDescent="0.3">
      <c r="C17" s="18"/>
      <c r="D17" s="18"/>
      <c r="E17" s="18"/>
      <c r="F17" s="18"/>
      <c r="G17" s="15"/>
      <c r="H17" s="3"/>
      <c r="I17" s="3"/>
      <c r="J17" s="3"/>
      <c r="K17" s="3"/>
      <c r="L17" s="3"/>
      <c r="M17" s="18"/>
      <c r="N17" s="18"/>
    </row>
    <row r="18" spans="3:19" x14ac:dyDescent="0.3">
      <c r="C18" s="18"/>
      <c r="D18" s="18"/>
      <c r="E18" s="18"/>
      <c r="F18" s="18"/>
      <c r="G18" s="15"/>
      <c r="H18" s="3"/>
      <c r="I18" s="3"/>
      <c r="J18" s="3"/>
      <c r="K18" s="3"/>
      <c r="L18" s="3"/>
      <c r="M18" s="18"/>
      <c r="N18" s="18"/>
    </row>
    <row r="19" spans="3:19" x14ac:dyDescent="0.3">
      <c r="C19" s="18"/>
      <c r="D19" s="18"/>
      <c r="E19" s="18"/>
      <c r="F19" s="18"/>
      <c r="G19" s="15"/>
      <c r="H19" s="3"/>
      <c r="I19" s="3"/>
      <c r="J19" s="3"/>
      <c r="K19" s="3"/>
      <c r="L19" s="3"/>
      <c r="M19" s="18"/>
      <c r="N19" s="18"/>
    </row>
    <row r="20" spans="3:19" x14ac:dyDescent="0.3">
      <c r="C20" s="18"/>
      <c r="D20" s="18"/>
      <c r="E20" s="18"/>
      <c r="F20" s="18"/>
      <c r="G20" s="15"/>
      <c r="H20" s="3"/>
      <c r="I20" s="3"/>
      <c r="J20" s="3"/>
      <c r="K20" s="3"/>
      <c r="L20" s="3"/>
      <c r="M20" s="18"/>
      <c r="N20" s="18"/>
    </row>
    <row r="21" spans="3:19" x14ac:dyDescent="0.3">
      <c r="C21" s="18"/>
      <c r="D21" s="18"/>
      <c r="E21" s="18"/>
      <c r="F21" s="18"/>
      <c r="G21" s="15"/>
      <c r="H21" s="3"/>
      <c r="I21" s="3"/>
      <c r="J21" s="3"/>
      <c r="K21" s="3"/>
      <c r="L21" s="3"/>
      <c r="M21" s="18"/>
      <c r="N21" s="18"/>
    </row>
    <row r="22" spans="3:19" x14ac:dyDescent="0.3">
      <c r="C22" s="18"/>
      <c r="D22" s="18"/>
      <c r="E22" s="18"/>
      <c r="F22" s="18"/>
      <c r="G22" s="15"/>
      <c r="H22" s="3"/>
      <c r="I22" s="3"/>
      <c r="J22" s="3"/>
      <c r="K22" s="3"/>
      <c r="L22" s="3"/>
      <c r="M22" s="18"/>
      <c r="N22" s="18"/>
    </row>
    <row r="23" spans="3:19" x14ac:dyDescent="0.3">
      <c r="C23" s="18"/>
      <c r="D23" s="18"/>
      <c r="E23" s="18"/>
      <c r="F23" s="18"/>
      <c r="G23" s="15"/>
      <c r="H23" s="3"/>
      <c r="I23" s="3"/>
      <c r="J23" s="3"/>
      <c r="K23" s="3"/>
      <c r="L23" s="3"/>
      <c r="M23" s="18"/>
      <c r="N23" s="18"/>
    </row>
    <row r="24" spans="3:19" ht="14.4" customHeight="1" x14ac:dyDescent="0.3">
      <c r="C24" s="18"/>
      <c r="D24" s="18"/>
      <c r="E24" s="18"/>
      <c r="F24" s="19"/>
      <c r="H24" s="3"/>
      <c r="I24" s="3"/>
      <c r="J24" s="3"/>
      <c r="K24" s="3"/>
      <c r="L24" s="3"/>
      <c r="M24" s="9"/>
      <c r="N24" s="18"/>
    </row>
    <row r="25" spans="3:19" ht="11.4" customHeight="1" x14ac:dyDescent="0.3">
      <c r="C25" s="9"/>
      <c r="D25" s="9"/>
      <c r="E25" s="9"/>
      <c r="F25" s="23"/>
      <c r="G25" s="24"/>
      <c r="H25" s="24"/>
      <c r="I25" s="24"/>
      <c r="K25" s="24"/>
      <c r="L25" s="3"/>
      <c r="M25" s="18"/>
      <c r="N25" s="18"/>
      <c r="P25" s="15"/>
      <c r="S25" s="3"/>
    </row>
    <row r="26" spans="3:19" x14ac:dyDescent="0.3">
      <c r="C26" s="25"/>
      <c r="D26" s="25"/>
      <c r="E26" s="25"/>
      <c r="F26" s="19"/>
      <c r="I26" s="3"/>
      <c r="J26" s="3"/>
      <c r="K26" s="3"/>
      <c r="L26" s="3"/>
      <c r="M26" s="9"/>
      <c r="N26" s="18"/>
    </row>
    <row r="27" spans="3:19" x14ac:dyDescent="0.3">
      <c r="C27" s="18"/>
      <c r="D27" s="18"/>
      <c r="E27" s="18"/>
      <c r="F27" s="18"/>
      <c r="H27" s="3"/>
      <c r="I27" s="3"/>
      <c r="J27" s="3"/>
      <c r="K27" s="3"/>
      <c r="L27" s="3"/>
      <c r="M27" s="18"/>
      <c r="N27" s="18"/>
    </row>
    <row r="28" spans="3:19" x14ac:dyDescent="0.3">
      <c r="F28" s="3"/>
      <c r="H28" s="3"/>
      <c r="I28" s="3"/>
      <c r="J28" s="3"/>
      <c r="K28" s="3"/>
      <c r="L28" s="3"/>
      <c r="M28" s="9"/>
      <c r="N28" s="18"/>
    </row>
    <row r="29" spans="3:19" x14ac:dyDescent="0.3">
      <c r="F29" s="3"/>
      <c r="H29" s="3"/>
      <c r="I29" s="3"/>
      <c r="J29" s="3"/>
      <c r="K29" s="3"/>
      <c r="L29" s="3"/>
      <c r="M29" s="9"/>
      <c r="N29" s="18"/>
    </row>
    <row r="30" spans="3:19" x14ac:dyDescent="0.3">
      <c r="F30" s="3"/>
      <c r="H30" s="3"/>
      <c r="I30" s="3"/>
      <c r="J30" s="3"/>
      <c r="K30" s="3"/>
      <c r="L30" s="3"/>
      <c r="M30" s="3"/>
      <c r="N30" s="3"/>
    </row>
    <row r="31" spans="3:19" x14ac:dyDescent="0.3">
      <c r="G31" s="14"/>
      <c r="H31" s="3"/>
      <c r="I31" s="3"/>
      <c r="J31" s="3"/>
      <c r="K31" s="3"/>
      <c r="L31" s="3"/>
      <c r="M31" s="3"/>
      <c r="N31" s="3"/>
    </row>
    <row r="32" spans="3:19" x14ac:dyDescent="0.3">
      <c r="G32" s="14"/>
      <c r="H32" s="3"/>
      <c r="I32" s="3"/>
      <c r="J32" s="3"/>
      <c r="K32" s="3"/>
      <c r="L32" s="3"/>
      <c r="M32" s="3"/>
      <c r="N32" s="3"/>
    </row>
    <row r="33" spans="7:14" x14ac:dyDescent="0.3">
      <c r="G33" s="14"/>
      <c r="H33" s="3"/>
      <c r="I33" s="3"/>
      <c r="J33" s="3"/>
      <c r="K33" s="3"/>
      <c r="L33" s="3"/>
      <c r="M33" s="3"/>
      <c r="N33" s="3"/>
    </row>
    <row r="34" spans="7:14" x14ac:dyDescent="0.3">
      <c r="G34" s="14"/>
      <c r="H34" s="3"/>
      <c r="I34" s="3"/>
      <c r="J34" s="3"/>
      <c r="K34" s="3"/>
      <c r="L34" s="3"/>
      <c r="M34" s="3"/>
      <c r="N34" s="3"/>
    </row>
    <row r="35" spans="7:14" x14ac:dyDescent="0.3">
      <c r="G35" s="14"/>
      <c r="H35" s="26"/>
    </row>
    <row r="36" spans="7:14" x14ac:dyDescent="0.3">
      <c r="G36" s="14"/>
      <c r="H36" s="26"/>
    </row>
    <row r="37" spans="7:14" x14ac:dyDescent="0.3">
      <c r="G37" s="14"/>
      <c r="H37" s="26"/>
    </row>
    <row r="38" spans="7:14" x14ac:dyDescent="0.3">
      <c r="G38" s="14"/>
      <c r="H38" s="26"/>
    </row>
    <row r="39" spans="7:14" x14ac:dyDescent="0.3">
      <c r="G39" s="14"/>
      <c r="H39" s="26"/>
    </row>
    <row r="40" spans="7:14" x14ac:dyDescent="0.3">
      <c r="G40" s="14"/>
      <c r="H40" s="26"/>
    </row>
    <row r="41" spans="7:14" x14ac:dyDescent="0.3">
      <c r="G41" s="14"/>
      <c r="H41" s="26"/>
    </row>
    <row r="42" spans="7:14" x14ac:dyDescent="0.3">
      <c r="G42" s="14"/>
      <c r="H42" s="26"/>
    </row>
    <row r="43" spans="7:14" x14ac:dyDescent="0.3">
      <c r="G43" s="14"/>
      <c r="H43" s="26"/>
    </row>
    <row r="44" spans="7:14" x14ac:dyDescent="0.3">
      <c r="G44" s="14"/>
      <c r="H44" s="26"/>
    </row>
    <row r="45" spans="7:14" x14ac:dyDescent="0.3">
      <c r="G45" s="14"/>
      <c r="H45" s="26"/>
    </row>
    <row r="46" spans="7:14" x14ac:dyDescent="0.3">
      <c r="G46" s="14"/>
      <c r="H46" s="26"/>
    </row>
    <row r="47" spans="7:14" x14ac:dyDescent="0.3">
      <c r="G47" s="14"/>
      <c r="H47" s="26"/>
    </row>
    <row r="48" spans="7:14" x14ac:dyDescent="0.3">
      <c r="G48" s="14"/>
      <c r="H48" s="26"/>
    </row>
    <row r="49" spans="7:8" x14ac:dyDescent="0.3">
      <c r="G49" s="14"/>
      <c r="H49" s="26"/>
    </row>
    <row r="50" spans="7:8" x14ac:dyDescent="0.3">
      <c r="G50" s="14"/>
      <c r="H50" s="26"/>
    </row>
    <row r="51" spans="7:8" x14ac:dyDescent="0.3">
      <c r="H51" s="26"/>
    </row>
    <row r="52" spans="7:8" x14ac:dyDescent="0.3">
      <c r="H52" s="26"/>
    </row>
    <row r="53" spans="7:8" x14ac:dyDescent="0.3">
      <c r="H53" s="26"/>
    </row>
    <row r="54" spans="7:8" x14ac:dyDescent="0.3">
      <c r="H54" s="26"/>
    </row>
  </sheetData>
  <sheetProtection algorithmName="SHA-512" hashValue="X4HgmDa75pfFX/inWnzv7kpoLzMvfesFDX4gwbf13u/RtBIVaz7yGXXTHGX+nsFsCSpCMq3QnitFEaz/Ljtd+Q==" saltValue="cKtZ6maChm6Xy4oZ7ezw2A==" spinCount="100000" sheet="1" objects="1" scenarios="1" selectLockedCells="1"/>
  <mergeCells count="2">
    <mergeCell ref="J8:K8"/>
    <mergeCell ref="D2:E2"/>
  </mergeCells>
  <pageMargins left="0.25" right="0.25" top="0.75" bottom="0.75" header="0.3" footer="0.3"/>
  <pageSetup paperSize="9"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Spinner 4">
              <controlPr defaultSize="0" print="0" autoPict="0">
                <anchor moveWithCells="1">
                  <from>
                    <xdr:col>7</xdr:col>
                    <xdr:colOff>1287780</xdr:colOff>
                    <xdr:row>3</xdr:row>
                    <xdr:rowOff>0</xdr:rowOff>
                  </from>
                  <to>
                    <xdr:col>8</xdr:col>
                    <xdr:colOff>144780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Spinner 8">
              <controlPr defaultSize="0" print="0" autoPict="0">
                <anchor moveWithCells="1">
                  <from>
                    <xdr:col>7</xdr:col>
                    <xdr:colOff>1287780</xdr:colOff>
                    <xdr:row>5</xdr:row>
                    <xdr:rowOff>0</xdr:rowOff>
                  </from>
                  <to>
                    <xdr:col>8</xdr:col>
                    <xdr:colOff>144780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Spinner 9">
              <controlPr defaultSize="0" print="0" autoPict="0">
                <anchor moveWithCells="1">
                  <from>
                    <xdr:col>7</xdr:col>
                    <xdr:colOff>1287780</xdr:colOff>
                    <xdr:row>7</xdr:row>
                    <xdr:rowOff>0</xdr:rowOff>
                  </from>
                  <to>
                    <xdr:col>8</xdr:col>
                    <xdr:colOff>144780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7" name="Check Box 14">
              <controlPr defaultSize="0" autoFill="0" autoLine="0" autoPict="0">
                <anchor moveWithCells="1">
                  <from>
                    <xdr:col>12</xdr:col>
                    <xdr:colOff>68580</xdr:colOff>
                    <xdr:row>5</xdr:row>
                    <xdr:rowOff>15240</xdr:rowOff>
                  </from>
                  <to>
                    <xdr:col>12</xdr:col>
                    <xdr:colOff>1386840</xdr:colOff>
                    <xdr:row>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8" name="Check Box 15">
              <controlPr defaultSize="0" autoFill="0" autoLine="0" autoPict="0">
                <anchor moveWithCells="1">
                  <from>
                    <xdr:col>12</xdr:col>
                    <xdr:colOff>68580</xdr:colOff>
                    <xdr:row>5</xdr:row>
                    <xdr:rowOff>289560</xdr:rowOff>
                  </from>
                  <to>
                    <xdr:col>12</xdr:col>
                    <xdr:colOff>1478280</xdr:colOff>
                    <xdr:row>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9" name="Check Box 16">
              <controlPr defaultSize="0" autoFill="0" autoLine="0" autoPict="0">
                <anchor moveWithCells="1">
                  <from>
                    <xdr:col>12</xdr:col>
                    <xdr:colOff>68580</xdr:colOff>
                    <xdr:row>7</xdr:row>
                    <xdr:rowOff>175260</xdr:rowOff>
                  </from>
                  <to>
                    <xdr:col>12</xdr:col>
                    <xdr:colOff>1272540</xdr:colOff>
                    <xdr:row>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0" name="Check Box 17">
              <controlPr defaultSize="0" autoFill="0" autoLine="0" autoPict="0">
                <anchor moveWithCells="1">
                  <from>
                    <xdr:col>12</xdr:col>
                    <xdr:colOff>68580</xdr:colOff>
                    <xdr:row>3</xdr:row>
                    <xdr:rowOff>121920</xdr:rowOff>
                  </from>
                  <to>
                    <xdr:col>12</xdr:col>
                    <xdr:colOff>1143000</xdr:colOff>
                    <xdr:row>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1" name="Check Box 18">
              <controlPr defaultSize="0" autoFill="0" autoLine="0" autoPict="0" macro="[0]!n4_axes.ToggleAxesAndGridlinesKeepingFormat" altText="Show coordinate system">
                <anchor moveWithCells="1">
                  <from>
                    <xdr:col>3</xdr:col>
                    <xdr:colOff>91440</xdr:colOff>
                    <xdr:row>7</xdr:row>
                    <xdr:rowOff>38100</xdr:rowOff>
                  </from>
                  <to>
                    <xdr:col>4</xdr:col>
                    <xdr:colOff>373380</xdr:colOff>
                    <xdr:row>7</xdr:row>
                    <xdr:rowOff>251460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8533864-3965-4276-8C3D-C880BC5426A0}">
          <x14:formula1>
            <xm:f>Data1!$A$13:$A$14</xm:f>
          </x14:formula1>
          <xm:sqref>D2:E2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BDE02-EF9E-4BBF-85BB-5FD205D9CC8F}">
  <sheetPr codeName="Sheet12">
    <tabColor theme="9" tint="0.79998168889431442"/>
  </sheetPr>
  <dimension ref="A1:B103"/>
  <sheetViews>
    <sheetView showGridLines="0" showRowColHeaders="0" zoomScaleNormal="100" workbookViewId="0">
      <selection sqref="A1:B1"/>
    </sheetView>
  </sheetViews>
  <sheetFormatPr defaultRowHeight="14.4" x14ac:dyDescent="0.3"/>
  <cols>
    <col min="1" max="2" width="12.77734375" style="52" customWidth="1"/>
    <col min="3" max="16384" width="8.88671875" style="3"/>
  </cols>
  <sheetData>
    <row r="1" spans="1:2" ht="19.95" customHeight="1" x14ac:dyDescent="0.3">
      <c r="A1" s="296">
        <f>'naca_4-digit_plot'!H2</f>
        <v>2412</v>
      </c>
      <c r="B1" s="296"/>
    </row>
    <row r="2" spans="1:2" ht="15" x14ac:dyDescent="0.3">
      <c r="A2" s="185">
        <f>IFERROR(ROUND(Data1!N1*Data1!$A$10, 5-INT(LOG10(ABS(Data1!N1*Data1!$A$10)))), 0)</f>
        <v>1</v>
      </c>
      <c r="B2" s="185">
        <f>IFERROR( ROUND(Data1!O1*Data1!$A$10, 5-INT(LOG10(ABS(Data1!O1*Data1!$A$10)))), 0)</f>
        <v>0</v>
      </c>
    </row>
    <row r="3" spans="1:2" ht="15" x14ac:dyDescent="0.3">
      <c r="A3" s="185">
        <f>IFERROR(ROUND(Data1!N2*Data1!$A$10, 5-INT(LOG10(ABS(Data1!N2*Data1!$A$10)))), 0)</f>
        <v>0.99910600000000005</v>
      </c>
      <c r="B3" s="185">
        <f>IFERROR( ROUND(Data1!O2*Data1!$A$10, 5-INT(LOG10(ABS(Data1!O2*Data1!$A$10)))), 0)</f>
        <v>1.4609899999999999E-3</v>
      </c>
    </row>
    <row r="4" spans="1:2" ht="15" x14ac:dyDescent="0.3">
      <c r="A4" s="185">
        <f>IFERROR(ROUND(Data1!N3*Data1!$A$10, 5-INT(LOG10(ABS(Data1!N3*Data1!$A$10)))), 0)</f>
        <v>0.99617699999999998</v>
      </c>
      <c r="B4" s="185">
        <f>IFERROR( ROUND(Data1!O3*Data1!$A$10, 5-INT(LOG10(ABS(Data1!O3*Data1!$A$10)))), 0)</f>
        <v>2.0698700000000001E-3</v>
      </c>
    </row>
    <row r="5" spans="1:2" ht="15" x14ac:dyDescent="0.3">
      <c r="A5" s="185">
        <f>IFERROR(ROUND(Data1!N4*Data1!$A$10, 5-INT(LOG10(ABS(Data1!N4*Data1!$A$10)))), 0)</f>
        <v>0.99130700000000005</v>
      </c>
      <c r="B5" s="185">
        <f>IFERROR( ROUND(Data1!O4*Data1!$A$10, 5-INT(LOG10(ABS(Data1!O4*Data1!$A$10)))), 0)</f>
        <v>3.0765699999999998E-3</v>
      </c>
    </row>
    <row r="6" spans="1:2" ht="15" x14ac:dyDescent="0.3">
      <c r="A6" s="185">
        <f>IFERROR(ROUND(Data1!N5*Data1!$A$10, 5-INT(LOG10(ABS(Data1!N5*Data1!$A$10)))), 0)</f>
        <v>0.98451500000000003</v>
      </c>
      <c r="B6" s="185">
        <f>IFERROR( ROUND(Data1!O5*Data1!$A$10, 5-INT(LOG10(ABS(Data1!O5*Data1!$A$10)))), 0)</f>
        <v>4.46913E-3</v>
      </c>
    </row>
    <row r="7" spans="1:2" ht="15" x14ac:dyDescent="0.3">
      <c r="A7" s="185">
        <f>IFERROR(ROUND(Data1!N6*Data1!$A$10, 5-INT(LOG10(ABS(Data1!N6*Data1!$A$10)))), 0)</f>
        <v>0.97582500000000005</v>
      </c>
      <c r="B7" s="185">
        <f>IFERROR( ROUND(Data1!O6*Data1!$A$10, 5-INT(LOG10(ABS(Data1!O6*Data1!$A$10)))), 0)</f>
        <v>6.2311900000000002E-3</v>
      </c>
    </row>
    <row r="8" spans="1:2" ht="15" x14ac:dyDescent="0.3">
      <c r="A8" s="185">
        <f>IFERROR(ROUND(Data1!N7*Data1!$A$10, 5-INT(LOG10(ABS(Data1!N7*Data1!$A$10)))), 0)</f>
        <v>0.96526900000000004</v>
      </c>
      <c r="B8" s="185">
        <f>IFERROR( ROUND(Data1!O7*Data1!$A$10, 5-INT(LOG10(ABS(Data1!O7*Data1!$A$10)))), 0)</f>
        <v>8.3423400000000002E-3</v>
      </c>
    </row>
    <row r="9" spans="1:2" ht="15" x14ac:dyDescent="0.3">
      <c r="A9" s="185">
        <f>IFERROR(ROUND(Data1!N8*Data1!$A$10, 5-INT(LOG10(ABS(Data1!N8*Data1!$A$10)))), 0)</f>
        <v>0.95288799999999996</v>
      </c>
      <c r="B9" s="185">
        <f>IFERROR( ROUND(Data1!O8*Data1!$A$10, 5-INT(LOG10(ABS(Data1!O8*Data1!$A$10)))), 0)</f>
        <v>1.07785E-2</v>
      </c>
    </row>
    <row r="10" spans="1:2" ht="15" x14ac:dyDescent="0.3">
      <c r="A10" s="185">
        <f>IFERROR(ROUND(Data1!N9*Data1!$A$10, 5-INT(LOG10(ABS(Data1!N9*Data1!$A$10)))), 0)</f>
        <v>0.93872699999999998</v>
      </c>
      <c r="B10" s="185">
        <f>IFERROR( ROUND(Data1!O9*Data1!$A$10, 5-INT(LOG10(ABS(Data1!O9*Data1!$A$10)))), 0)</f>
        <v>1.35125E-2</v>
      </c>
    </row>
    <row r="11" spans="1:2" ht="15" x14ac:dyDescent="0.3">
      <c r="A11" s="185">
        <f>IFERROR(ROUND(Data1!N10*Data1!$A$10, 5-INT(LOG10(ABS(Data1!N10*Data1!$A$10)))), 0)</f>
        <v>0.92284100000000002</v>
      </c>
      <c r="B11" s="185">
        <f>IFERROR( ROUND(Data1!O10*Data1!$A$10, 5-INT(LOG10(ABS(Data1!O10*Data1!$A$10)))), 0)</f>
        <v>1.6514299999999999E-2</v>
      </c>
    </row>
    <row r="12" spans="1:2" ht="15" x14ac:dyDescent="0.3">
      <c r="A12" s="185">
        <f>IFERROR(ROUND(Data1!N11*Data1!$A$10, 5-INT(LOG10(ABS(Data1!N11*Data1!$A$10)))), 0)</f>
        <v>0.90528699999999995</v>
      </c>
      <c r="B12" s="185">
        <f>IFERROR( ROUND(Data1!O11*Data1!$A$10, 5-INT(LOG10(ABS(Data1!O11*Data1!$A$10)))), 0)</f>
        <v>1.9751999999999999E-2</v>
      </c>
    </row>
    <row r="13" spans="1:2" ht="15" x14ac:dyDescent="0.3">
      <c r="A13" s="185">
        <f>IFERROR(ROUND(Data1!N12*Data1!$A$10, 5-INT(LOG10(ABS(Data1!N12*Data1!$A$10)))), 0)</f>
        <v>0.88613399999999998</v>
      </c>
      <c r="B13" s="185">
        <f>IFERROR( ROUND(Data1!O12*Data1!$A$10, 5-INT(LOG10(ABS(Data1!O12*Data1!$A$10)))), 0)</f>
        <v>2.3191799999999999E-2</v>
      </c>
    </row>
    <row r="14" spans="1:2" ht="15" x14ac:dyDescent="0.3">
      <c r="A14" s="185">
        <f>IFERROR(ROUND(Data1!N13*Data1!$A$10, 5-INT(LOG10(ABS(Data1!N13*Data1!$A$10)))), 0)</f>
        <v>0.86545399999999995</v>
      </c>
      <c r="B14" s="185">
        <f>IFERROR( ROUND(Data1!O13*Data1!$A$10, 5-INT(LOG10(ABS(Data1!O13*Data1!$A$10)))), 0)</f>
        <v>2.6798599999999999E-2</v>
      </c>
    </row>
    <row r="15" spans="1:2" ht="15" x14ac:dyDescent="0.3">
      <c r="A15" s="185">
        <f>IFERROR(ROUND(Data1!N14*Data1!$A$10, 5-INT(LOG10(ABS(Data1!N14*Data1!$A$10)))), 0)</f>
        <v>0.84332499999999999</v>
      </c>
      <c r="B15" s="185">
        <f>IFERROR( ROUND(Data1!O14*Data1!$A$10, 5-INT(LOG10(ABS(Data1!O14*Data1!$A$10)))), 0)</f>
        <v>3.0536500000000001E-2</v>
      </c>
    </row>
    <row r="16" spans="1:2" ht="15" x14ac:dyDescent="0.3">
      <c r="A16" s="185">
        <f>IFERROR(ROUND(Data1!N15*Data1!$A$10, 5-INT(LOG10(ABS(Data1!N15*Data1!$A$10)))), 0)</f>
        <v>0.81983399999999995</v>
      </c>
      <c r="B16" s="185">
        <f>IFERROR( ROUND(Data1!O15*Data1!$A$10, 5-INT(LOG10(ABS(Data1!O15*Data1!$A$10)))), 0)</f>
        <v>3.4369200000000003E-2</v>
      </c>
    </row>
    <row r="17" spans="1:2" ht="15" x14ac:dyDescent="0.3">
      <c r="A17" s="185">
        <f>IFERROR(ROUND(Data1!N16*Data1!$A$10, 5-INT(LOG10(ABS(Data1!N16*Data1!$A$10)))), 0)</f>
        <v>0.79506900000000003</v>
      </c>
      <c r="B17" s="185">
        <f>IFERROR( ROUND(Data1!O16*Data1!$A$10, 5-INT(LOG10(ABS(Data1!O16*Data1!$A$10)))), 0)</f>
        <v>3.8259899999999999E-2</v>
      </c>
    </row>
    <row r="18" spans="1:2" ht="15" x14ac:dyDescent="0.3">
      <c r="A18" s="185">
        <f>IFERROR(ROUND(Data1!N17*Data1!$A$10, 5-INT(LOG10(ABS(Data1!N17*Data1!$A$10)))), 0)</f>
        <v>0.76912700000000001</v>
      </c>
      <c r="B18" s="185">
        <f>IFERROR( ROUND(Data1!O17*Data1!$A$10, 5-INT(LOG10(ABS(Data1!O17*Data1!$A$10)))), 0)</f>
        <v>4.2171899999999998E-2</v>
      </c>
    </row>
    <row r="19" spans="1:2" ht="15" x14ac:dyDescent="0.3">
      <c r="A19" s="185">
        <f>IFERROR(ROUND(Data1!N18*Data1!$A$10, 5-INT(LOG10(ABS(Data1!N18*Data1!$A$10)))), 0)</f>
        <v>0.74210900000000002</v>
      </c>
      <c r="B19" s="185">
        <f>IFERROR( ROUND(Data1!O18*Data1!$A$10, 5-INT(LOG10(ABS(Data1!O18*Data1!$A$10)))), 0)</f>
        <v>4.6068499999999998E-2</v>
      </c>
    </row>
    <row r="20" spans="1:2" ht="15" x14ac:dyDescent="0.3">
      <c r="A20" s="185">
        <f>IFERROR(ROUND(Data1!N19*Data1!$A$10, 5-INT(LOG10(ABS(Data1!N19*Data1!$A$10)))), 0)</f>
        <v>0.71411899999999995</v>
      </c>
      <c r="B20" s="185">
        <f>IFERROR( ROUND(Data1!O19*Data1!$A$10, 5-INT(LOG10(ABS(Data1!O19*Data1!$A$10)))), 0)</f>
        <v>4.9913300000000001E-2</v>
      </c>
    </row>
    <row r="21" spans="1:2" ht="15" x14ac:dyDescent="0.3">
      <c r="A21" s="185">
        <f>IFERROR(ROUND(Data1!N20*Data1!$A$10, 5-INT(LOG10(ABS(Data1!N20*Data1!$A$10)))), 0)</f>
        <v>0.68526600000000004</v>
      </c>
      <c r="B21" s="185">
        <f>IFERROR( ROUND(Data1!O20*Data1!$A$10, 5-INT(LOG10(ABS(Data1!O20*Data1!$A$10)))), 0)</f>
        <v>5.36699E-2</v>
      </c>
    </row>
    <row r="22" spans="1:2" ht="15" x14ac:dyDescent="0.3">
      <c r="A22" s="185">
        <f>IFERROR(ROUND(Data1!N21*Data1!$A$10, 5-INT(LOG10(ABS(Data1!N21*Data1!$A$10)))), 0)</f>
        <v>0.65566500000000005</v>
      </c>
      <c r="B22" s="185">
        <f>IFERROR( ROUND(Data1!O21*Data1!$A$10, 5-INT(LOG10(ABS(Data1!O21*Data1!$A$10)))), 0)</f>
        <v>5.7302499999999999E-2</v>
      </c>
    </row>
    <row r="23" spans="1:2" ht="15" x14ac:dyDescent="0.3">
      <c r="A23" s="185">
        <f>IFERROR(ROUND(Data1!N22*Data1!$A$10, 5-INT(LOG10(ABS(Data1!N22*Data1!$A$10)))), 0)</f>
        <v>0.62543099999999996</v>
      </c>
      <c r="B23" s="185">
        <f>IFERROR( ROUND(Data1!O22*Data1!$A$10, 5-INT(LOG10(ABS(Data1!O22*Data1!$A$10)))), 0)</f>
        <v>6.07754E-2</v>
      </c>
    </row>
    <row r="24" spans="1:2" ht="15" x14ac:dyDescent="0.3">
      <c r="A24" s="185">
        <f>IFERROR(ROUND(Data1!N23*Data1!$A$10, 5-INT(LOG10(ABS(Data1!N23*Data1!$A$10)))), 0)</f>
        <v>0.59468399999999999</v>
      </c>
      <c r="B24" s="185">
        <f>IFERROR( ROUND(Data1!O23*Data1!$A$10, 5-INT(LOG10(ABS(Data1!O23*Data1!$A$10)))), 0)</f>
        <v>6.4053799999999994E-2</v>
      </c>
    </row>
    <row r="25" spans="1:2" ht="15" x14ac:dyDescent="0.3">
      <c r="A25" s="185">
        <f>IFERROR(ROUND(Data1!N24*Data1!$A$10, 5-INT(LOG10(ABS(Data1!N24*Data1!$A$10)))), 0)</f>
        <v>0.56354499999999996</v>
      </c>
      <c r="B25" s="185">
        <f>IFERROR( ROUND(Data1!O24*Data1!$A$10, 5-INT(LOG10(ABS(Data1!O24*Data1!$A$10)))), 0)</f>
        <v>6.7103099999999999E-2</v>
      </c>
    </row>
    <row r="26" spans="1:2" ht="15" x14ac:dyDescent="0.3">
      <c r="A26" s="185">
        <f>IFERROR(ROUND(Data1!N25*Data1!$A$10, 5-INT(LOG10(ABS(Data1!N25*Data1!$A$10)))), 0)</f>
        <v>0.532138</v>
      </c>
      <c r="B26" s="185">
        <f>IFERROR( ROUND(Data1!O25*Data1!$A$10, 5-INT(LOG10(ABS(Data1!O25*Data1!$A$10)))), 0)</f>
        <v>6.9889800000000002E-2</v>
      </c>
    </row>
    <row r="27" spans="1:2" ht="15" x14ac:dyDescent="0.3">
      <c r="A27" s="185">
        <f>IFERROR(ROUND(Data1!N26*Data1!$A$10, 5-INT(LOG10(ABS(Data1!N26*Data1!$A$10)))), 0)</f>
        <v>0.50058800000000003</v>
      </c>
      <c r="B27" s="185">
        <f>IFERROR( ROUND(Data1!O26*Data1!$A$10, 5-INT(LOG10(ABS(Data1!O26*Data1!$A$10)))), 0)</f>
        <v>7.2381399999999999E-2</v>
      </c>
    </row>
    <row r="28" spans="1:2" ht="15" x14ac:dyDescent="0.3">
      <c r="A28" s="185">
        <f>IFERROR(ROUND(Data1!N27*Data1!$A$10, 5-INT(LOG10(ABS(Data1!N27*Data1!$A$10)))), 0)</f>
        <v>0.46902300000000002</v>
      </c>
      <c r="B28" s="185">
        <f>IFERROR( ROUND(Data1!O27*Data1!$A$10, 5-INT(LOG10(ABS(Data1!O27*Data1!$A$10)))), 0)</f>
        <v>7.4547100000000005E-2</v>
      </c>
    </row>
    <row r="29" spans="1:2" ht="15" x14ac:dyDescent="0.3">
      <c r="A29" s="185">
        <f>IFERROR(ROUND(Data1!N28*Data1!$A$10, 5-INT(LOG10(ABS(Data1!N28*Data1!$A$10)))), 0)</f>
        <v>0.43756699999999998</v>
      </c>
      <c r="B29" s="185">
        <f>IFERROR( ROUND(Data1!O28*Data1!$A$10, 5-INT(LOG10(ABS(Data1!O28*Data1!$A$10)))), 0)</f>
        <v>7.6357800000000003E-2</v>
      </c>
    </row>
    <row r="30" spans="1:2" ht="15" x14ac:dyDescent="0.3">
      <c r="A30" s="185">
        <f>IFERROR(ROUND(Data1!N29*Data1!$A$10, 5-INT(LOG10(ABS(Data1!N29*Data1!$A$10)))), 0)</f>
        <v>0.40634999999999999</v>
      </c>
      <c r="B30" s="185">
        <f>IFERROR( ROUND(Data1!O29*Data1!$A$10, 5-INT(LOG10(ABS(Data1!O29*Data1!$A$10)))), 0)</f>
        <v>7.7786800000000003E-2</v>
      </c>
    </row>
    <row r="31" spans="1:2" ht="15" x14ac:dyDescent="0.3">
      <c r="A31" s="185">
        <f>IFERROR(ROUND(Data1!N30*Data1!$A$10, 5-INT(LOG10(ABS(Data1!N30*Data1!$A$10)))), 0)</f>
        <v>0.37529699999999999</v>
      </c>
      <c r="B31" s="185">
        <f>IFERROR( ROUND(Data1!O30*Data1!$A$10, 5-INT(LOG10(ABS(Data1!O30*Data1!$A$10)))), 0)</f>
        <v>7.8768500000000005E-2</v>
      </c>
    </row>
    <row r="32" spans="1:2" ht="15" x14ac:dyDescent="0.3">
      <c r="A32" s="185">
        <f>IFERROR(ROUND(Data1!N31*Data1!$A$10, 5-INT(LOG10(ABS(Data1!N31*Data1!$A$10)))), 0)</f>
        <v>0.34467999999999999</v>
      </c>
      <c r="B32" s="185">
        <f>IFERROR( ROUND(Data1!O31*Data1!$A$10, 5-INT(LOG10(ABS(Data1!O31*Data1!$A$10)))), 0)</f>
        <v>7.9197799999999999E-2</v>
      </c>
    </row>
    <row r="33" spans="1:2" ht="15" x14ac:dyDescent="0.3">
      <c r="A33" s="185">
        <f>IFERROR(ROUND(Data1!N32*Data1!$A$10, 5-INT(LOG10(ABS(Data1!N32*Data1!$A$10)))), 0)</f>
        <v>0.31467800000000001</v>
      </c>
      <c r="B33" s="185">
        <f>IFERROR( ROUND(Data1!O32*Data1!$A$10, 5-INT(LOG10(ABS(Data1!O32*Data1!$A$10)))), 0)</f>
        <v>7.9063400000000006E-2</v>
      </c>
    </row>
    <row r="34" spans="1:2" ht="15" x14ac:dyDescent="0.3">
      <c r="A34" s="185">
        <f>IFERROR(ROUND(Data1!N33*Data1!$A$10, 5-INT(LOG10(ABS(Data1!N33*Data1!$A$10)))), 0)</f>
        <v>0.28541800000000001</v>
      </c>
      <c r="B34" s="185">
        <f>IFERROR( ROUND(Data1!O33*Data1!$A$10, 5-INT(LOG10(ABS(Data1!O33*Data1!$A$10)))), 0)</f>
        <v>7.8363199999999994E-2</v>
      </c>
    </row>
    <row r="35" spans="1:2" ht="15" x14ac:dyDescent="0.3">
      <c r="A35" s="185">
        <f>IFERROR(ROUND(Data1!N34*Data1!$A$10, 5-INT(LOG10(ABS(Data1!N34*Data1!$A$10)))), 0)</f>
        <v>0.257025</v>
      </c>
      <c r="B35" s="185">
        <f>IFERROR( ROUND(Data1!O34*Data1!$A$10, 5-INT(LOG10(ABS(Data1!O34*Data1!$A$10)))), 0)</f>
        <v>7.7101699999999995E-2</v>
      </c>
    </row>
    <row r="36" spans="1:2" ht="15" x14ac:dyDescent="0.3">
      <c r="A36" s="185">
        <f>IFERROR(ROUND(Data1!N35*Data1!$A$10, 5-INT(LOG10(ABS(Data1!N35*Data1!$A$10)))), 0)</f>
        <v>0.22961799999999999</v>
      </c>
      <c r="B36" s="185">
        <f>IFERROR( ROUND(Data1!O35*Data1!$A$10, 5-INT(LOG10(ABS(Data1!O35*Data1!$A$10)))), 0)</f>
        <v>7.5290300000000004E-2</v>
      </c>
    </row>
    <row r="37" spans="1:2" ht="15" x14ac:dyDescent="0.3">
      <c r="A37" s="185">
        <f>IFERROR(ROUND(Data1!N36*Data1!$A$10, 5-INT(LOG10(ABS(Data1!N36*Data1!$A$10)))), 0)</f>
        <v>0.20331299999999999</v>
      </c>
      <c r="B37" s="185">
        <f>IFERROR( ROUND(Data1!O36*Data1!$A$10, 5-INT(LOG10(ABS(Data1!O36*Data1!$A$10)))), 0)</f>
        <v>7.2947200000000004E-2</v>
      </c>
    </row>
    <row r="38" spans="1:2" ht="15" x14ac:dyDescent="0.3">
      <c r="A38" s="185">
        <f>IFERROR(ROUND(Data1!N37*Data1!$A$10, 5-INT(LOG10(ABS(Data1!N37*Data1!$A$10)))), 0)</f>
        <v>0.17822199999999999</v>
      </c>
      <c r="B38" s="185">
        <f>IFERROR( ROUND(Data1!O37*Data1!$A$10, 5-INT(LOG10(ABS(Data1!O37*Data1!$A$10)))), 0)</f>
        <v>7.0097099999999996E-2</v>
      </c>
    </row>
    <row r="39" spans="1:2" ht="15" x14ac:dyDescent="0.3">
      <c r="A39" s="185">
        <f>IFERROR(ROUND(Data1!N38*Data1!$A$10, 5-INT(LOG10(ABS(Data1!N38*Data1!$A$10)))), 0)</f>
        <v>0.154449</v>
      </c>
      <c r="B39" s="185">
        <f>IFERROR( ROUND(Data1!O38*Data1!$A$10, 5-INT(LOG10(ABS(Data1!O38*Data1!$A$10)))), 0)</f>
        <v>6.6770999999999997E-2</v>
      </c>
    </row>
    <row r="40" spans="1:2" ht="15" x14ac:dyDescent="0.3">
      <c r="A40" s="185">
        <f>IFERROR(ROUND(Data1!N39*Data1!$A$10, 5-INT(LOG10(ABS(Data1!N39*Data1!$A$10)))), 0)</f>
        <v>0.13209399999999999</v>
      </c>
      <c r="B40" s="185">
        <f>IFERROR( ROUND(Data1!O39*Data1!$A$10, 5-INT(LOG10(ABS(Data1!O39*Data1!$A$10)))), 0)</f>
        <v>6.3005500000000006E-2</v>
      </c>
    </row>
    <row r="41" spans="1:2" ht="15" x14ac:dyDescent="0.3">
      <c r="A41" s="185">
        <f>IFERROR(ROUND(Data1!N40*Data1!$A$10, 5-INT(LOG10(ABS(Data1!N40*Data1!$A$10)))), 0)</f>
        <v>0.111248</v>
      </c>
      <c r="B41" s="185">
        <f>IFERROR( ROUND(Data1!O40*Data1!$A$10, 5-INT(LOG10(ABS(Data1!O40*Data1!$A$10)))), 0)</f>
        <v>5.8841900000000003E-2</v>
      </c>
    </row>
    <row r="42" spans="1:2" ht="15" x14ac:dyDescent="0.3">
      <c r="A42" s="185">
        <f>IFERROR(ROUND(Data1!N41*Data1!$A$10, 5-INT(LOG10(ABS(Data1!N41*Data1!$A$10)))), 0)</f>
        <v>9.1995999999999994E-2</v>
      </c>
      <c r="B42" s="185">
        <f>IFERROR( ROUND(Data1!O41*Data1!$A$10, 5-INT(LOG10(ABS(Data1!O41*Data1!$A$10)))), 0)</f>
        <v>5.4325400000000003E-2</v>
      </c>
    </row>
    <row r="43" spans="1:2" ht="15" x14ac:dyDescent="0.3">
      <c r="A43" s="185">
        <f>IFERROR(ROUND(Data1!N42*Data1!$A$10, 5-INT(LOG10(ABS(Data1!N42*Data1!$A$10)))), 0)</f>
        <v>7.4414800000000003E-2</v>
      </c>
      <c r="B43" s="185">
        <f>IFERROR( ROUND(Data1!O42*Data1!$A$10, 5-INT(LOG10(ABS(Data1!O42*Data1!$A$10)))), 0)</f>
        <v>4.9503900000000003E-2</v>
      </c>
    </row>
    <row r="44" spans="1:2" ht="15" x14ac:dyDescent="0.3">
      <c r="A44" s="185">
        <f>IFERROR(ROUND(Data1!N43*Data1!$A$10, 5-INT(LOG10(ABS(Data1!N43*Data1!$A$10)))), 0)</f>
        <v>5.8573300000000002E-2</v>
      </c>
      <c r="B44" s="185">
        <f>IFERROR( ROUND(Data1!O43*Data1!$A$10, 5-INT(LOG10(ABS(Data1!O43*Data1!$A$10)))), 0)</f>
        <v>4.4427000000000001E-2</v>
      </c>
    </row>
    <row r="45" spans="1:2" ht="15" x14ac:dyDescent="0.3">
      <c r="A45" s="185">
        <f>IFERROR(ROUND(Data1!N44*Data1!$A$10, 5-INT(LOG10(ABS(Data1!N44*Data1!$A$10)))), 0)</f>
        <v>4.4532099999999998E-2</v>
      </c>
      <c r="B45" s="185">
        <f>IFERROR( ROUND(Data1!O44*Data1!$A$10, 5-INT(LOG10(ABS(Data1!O44*Data1!$A$10)))), 0)</f>
        <v>3.9144199999999997E-2</v>
      </c>
    </row>
    <row r="46" spans="1:2" ht="15" x14ac:dyDescent="0.3">
      <c r="A46" s="185">
        <f>IFERROR(ROUND(Data1!N45*Data1!$A$10, 5-INT(LOG10(ABS(Data1!N45*Data1!$A$10)))), 0)</f>
        <v>3.2343499999999997E-2</v>
      </c>
      <c r="B46" s="185">
        <f>IFERROR( ROUND(Data1!O45*Data1!$A$10, 5-INT(LOG10(ABS(Data1!O45*Data1!$A$10)))), 0)</f>
        <v>3.3703900000000002E-2</v>
      </c>
    </row>
    <row r="47" spans="1:2" ht="15" x14ac:dyDescent="0.3">
      <c r="A47" s="185">
        <f>IFERROR(ROUND(Data1!N46*Data1!$A$10, 5-INT(LOG10(ABS(Data1!N46*Data1!$A$10)))), 0)</f>
        <v>2.2051500000000002E-2</v>
      </c>
      <c r="B47" s="185">
        <f>IFERROR( ROUND(Data1!O46*Data1!$A$10, 5-INT(LOG10(ABS(Data1!O46*Data1!$A$10)))), 0)</f>
        <v>2.8152300000000002E-2</v>
      </c>
    </row>
    <row r="48" spans="1:2" ht="15" x14ac:dyDescent="0.3">
      <c r="A48" s="185">
        <f>IFERROR(ROUND(Data1!N47*Data1!$A$10, 5-INT(LOG10(ABS(Data1!N47*Data1!$A$10)))), 0)</f>
        <v>1.3691699999999999E-2</v>
      </c>
      <c r="B48" s="185">
        <f>IFERROR( ROUND(Data1!O47*Data1!$A$10, 5-INT(LOG10(ABS(Data1!O47*Data1!$A$10)))), 0)</f>
        <v>2.2531300000000001E-2</v>
      </c>
    </row>
    <row r="49" spans="1:2" ht="15" x14ac:dyDescent="0.3">
      <c r="A49" s="185">
        <f>IFERROR(ROUND(Data1!N48*Data1!$A$10, 5-INT(LOG10(ABS(Data1!N48*Data1!$A$10)))), 0)</f>
        <v>7.2915899999999997E-3</v>
      </c>
      <c r="B49" s="185">
        <f>IFERROR( ROUND(Data1!O48*Data1!$A$10, 5-INT(LOG10(ABS(Data1!O48*Data1!$A$10)))), 0)</f>
        <v>1.6878000000000001E-2</v>
      </c>
    </row>
    <row r="50" spans="1:2" ht="15" x14ac:dyDescent="0.3">
      <c r="A50" s="185">
        <f>IFERROR(ROUND(Data1!N49*Data1!$A$10, 5-INT(LOG10(ABS(Data1!N49*Data1!$A$10)))), 0)</f>
        <v>2.8701999999999998E-3</v>
      </c>
      <c r="B50" s="185">
        <f>IFERROR( ROUND(Data1!O49*Data1!$A$10, 5-INT(LOG10(ABS(Data1!O49*Data1!$A$10)))), 0)</f>
        <v>1.1223500000000001E-2</v>
      </c>
    </row>
    <row r="51" spans="1:2" ht="15" x14ac:dyDescent="0.3">
      <c r="A51" s="185">
        <f>IFERROR(ROUND(Data1!N50*Data1!$A$10, 5-INT(LOG10(ABS(Data1!N50*Data1!$A$10)))), 0)</f>
        <v>4.3864499999999999E-4</v>
      </c>
      <c r="B51" s="185">
        <f>IFERROR( ROUND(Data1!O50*Data1!$A$10, 5-INT(LOG10(ABS(Data1!O50*Data1!$A$10)))), 0)</f>
        <v>5.5919999999999997E-3</v>
      </c>
    </row>
    <row r="52" spans="1:2" ht="15" x14ac:dyDescent="0.3">
      <c r="A52" s="185">
        <f>IFERROR(ROUND(Data1!N51*Data1!$A$10, 5-INT(LOG10(ABS(Data1!N51*Data1!$A$10)))), 0)</f>
        <v>0</v>
      </c>
      <c r="B52" s="185">
        <f>IFERROR( ROUND(Data1!O51*Data1!$A$10, 5-INT(LOG10(ABS(Data1!O51*Data1!$A$10)))), 0)</f>
        <v>0</v>
      </c>
    </row>
    <row r="53" spans="1:2" ht="15" x14ac:dyDescent="0.3">
      <c r="A53" s="185">
        <f>IFERROR(ROUND(Data1!N52*Data1!$A$10, 5-INT(LOG10(ABS(Data1!N52*Data1!$A$10)))), 0)</f>
        <v>0</v>
      </c>
      <c r="B53" s="185">
        <f>IFERROR( ROUND(Data1!O52*Data1!$A$10, 5-INT(LOG10(ABS(Data1!O52*Data1!$A$10)))), 0)</f>
        <v>0</v>
      </c>
    </row>
    <row r="54" spans="1:2" ht="15" x14ac:dyDescent="0.3">
      <c r="A54" s="185">
        <f>IFERROR(ROUND(Data1!N53*Data1!$A$10, 5-INT(LOG10(ABS(Data1!N53*Data1!$A$10)))), 0)</f>
        <v>1.5346299999999999E-3</v>
      </c>
      <c r="B54" s="185">
        <f>IFERROR( ROUND(Data1!O53*Data1!$A$10, 5-INT(LOG10(ABS(Data1!O53*Data1!$A$10)))), 0)</f>
        <v>-5.3949100000000002E-3</v>
      </c>
    </row>
    <row r="55" spans="1:2" ht="15" x14ac:dyDescent="0.3">
      <c r="A55" s="185">
        <f>IFERROR(ROUND(Data1!N54*Data1!$A$10, 5-INT(LOG10(ABS(Data1!N54*Data1!$A$10)))), 0)</f>
        <v>5.0150899999999998E-3</v>
      </c>
      <c r="B55" s="185">
        <f>IFERROR( ROUND(Data1!O54*Data1!$A$10, 5-INT(LOG10(ABS(Data1!O54*Data1!$A$10)))), 0)</f>
        <v>-1.0438899999999999E-2</v>
      </c>
    </row>
    <row r="56" spans="1:2" ht="15" x14ac:dyDescent="0.3">
      <c r="A56" s="185">
        <f>IFERROR(ROUND(Data1!N55*Data1!$A$10, 5-INT(LOG10(ABS(Data1!N55*Data1!$A$10)))), 0)</f>
        <v>1.04212E-2</v>
      </c>
      <c r="B56" s="185">
        <f>IFERROR( ROUND(Data1!O55*Data1!$A$10, 5-INT(LOG10(ABS(Data1!O55*Data1!$A$10)))), 0)</f>
        <v>-1.5126300000000001E-2</v>
      </c>
    </row>
    <row r="57" spans="1:2" ht="15" x14ac:dyDescent="0.3">
      <c r="A57" s="185">
        <f>IFERROR(ROUND(Data1!N56*Data1!$A$10, 5-INT(LOG10(ABS(Data1!N56*Data1!$A$10)))), 0)</f>
        <v>1.7725100000000001E-2</v>
      </c>
      <c r="B57" s="185">
        <f>IFERROR( ROUND(Data1!O56*Data1!$A$10, 5-INT(LOG10(ABS(Data1!O56*Data1!$A$10)))), 0)</f>
        <v>-1.9451300000000001E-2</v>
      </c>
    </row>
    <row r="58" spans="1:2" ht="15" x14ac:dyDescent="0.3">
      <c r="A58" s="185">
        <f>IFERROR(ROUND(Data1!N57*Data1!$A$10, 5-INT(LOG10(ABS(Data1!N57*Data1!$A$10)))), 0)</f>
        <v>2.6891999999999999E-2</v>
      </c>
      <c r="B58" s="185">
        <f>IFERROR( ROUND(Data1!O57*Data1!$A$10, 5-INT(LOG10(ABS(Data1!O57*Data1!$A$10)))), 0)</f>
        <v>-2.3407600000000001E-2</v>
      </c>
    </row>
    <row r="59" spans="1:2" ht="15" x14ac:dyDescent="0.3">
      <c r="A59" s="185">
        <f>IFERROR(ROUND(Data1!N58*Data1!$A$10, 5-INT(LOG10(ABS(Data1!N58*Data1!$A$10)))), 0)</f>
        <v>3.78801E-2</v>
      </c>
      <c r="B59" s="185">
        <f>IFERROR( ROUND(Data1!O58*Data1!$A$10, 5-INT(LOG10(ABS(Data1!O58*Data1!$A$10)))), 0)</f>
        <v>-2.6989800000000001E-2</v>
      </c>
    </row>
    <row r="60" spans="1:2" ht="15" x14ac:dyDescent="0.3">
      <c r="A60" s="185">
        <f>IFERROR(ROUND(Data1!N59*Data1!$A$10, 5-INT(LOG10(ABS(Data1!N59*Data1!$A$10)))), 0)</f>
        <v>5.0640900000000003E-2</v>
      </c>
      <c r="B60" s="185">
        <f>IFERROR( ROUND(Data1!O59*Data1!$A$10, 5-INT(LOG10(ABS(Data1!O59*Data1!$A$10)))), 0)</f>
        <v>-3.0193000000000001E-2</v>
      </c>
    </row>
    <row r="61" spans="1:2" ht="15" x14ac:dyDescent="0.3">
      <c r="A61" s="185">
        <f>IFERROR(ROUND(Data1!N60*Data1!$A$10, 5-INT(LOG10(ABS(Data1!N60*Data1!$A$10)))), 0)</f>
        <v>6.5119999999999997E-2</v>
      </c>
      <c r="B61" s="185">
        <f>IFERROR( ROUND(Data1!O60*Data1!$A$10, 5-INT(LOG10(ABS(Data1!O60*Data1!$A$10)))), 0)</f>
        <v>-3.3013899999999999E-2</v>
      </c>
    </row>
    <row r="62" spans="1:2" ht="15" x14ac:dyDescent="0.3">
      <c r="A62" s="185">
        <f>IFERROR(ROUND(Data1!N61*Data1!$A$10, 5-INT(LOG10(ABS(Data1!N61*Data1!$A$10)))), 0)</f>
        <v>8.1257200000000002E-2</v>
      </c>
      <c r="B62" s="185">
        <f>IFERROR( ROUND(Data1!O61*Data1!$A$10, 5-INT(LOG10(ABS(Data1!O61*Data1!$A$10)))), 0)</f>
        <v>-3.5451299999999998E-2</v>
      </c>
    </row>
    <row r="63" spans="1:2" ht="15" x14ac:dyDescent="0.3">
      <c r="A63" s="185">
        <f>IFERROR(ROUND(Data1!N62*Data1!$A$10, 5-INT(LOG10(ABS(Data1!N62*Data1!$A$10)))), 0)</f>
        <v>9.8987000000000006E-2</v>
      </c>
      <c r="B63" s="185">
        <f>IFERROR( ROUND(Data1!O62*Data1!$A$10, 5-INT(LOG10(ABS(Data1!O62*Data1!$A$10)))), 0)</f>
        <v>-3.75068E-2</v>
      </c>
    </row>
    <row r="64" spans="1:2" ht="15" x14ac:dyDescent="0.3">
      <c r="A64" s="185">
        <f>IFERROR(ROUND(Data1!N63*Data1!$A$10, 5-INT(LOG10(ABS(Data1!N63*Data1!$A$10)))), 0)</f>
        <v>0.118239</v>
      </c>
      <c r="B64" s="185">
        <f>IFERROR( ROUND(Data1!O63*Data1!$A$10, 5-INT(LOG10(ABS(Data1!O63*Data1!$A$10)))), 0)</f>
        <v>-3.9184700000000003E-2</v>
      </c>
    </row>
    <row r="65" spans="1:2" ht="15" x14ac:dyDescent="0.3">
      <c r="A65" s="185">
        <f>IFERROR(ROUND(Data1!N64*Data1!$A$10, 5-INT(LOG10(ABS(Data1!N64*Data1!$A$10)))), 0)</f>
        <v>0.138937</v>
      </c>
      <c r="B65" s="185">
        <f>IFERROR( ROUND(Data1!O64*Data1!$A$10, 5-INT(LOG10(ABS(Data1!O64*Data1!$A$10)))), 0)</f>
        <v>-4.0493500000000002E-2</v>
      </c>
    </row>
    <row r="66" spans="1:2" ht="15" x14ac:dyDescent="0.3">
      <c r="A66" s="185">
        <f>IFERROR(ROUND(Data1!N65*Data1!$A$10, 5-INT(LOG10(ABS(Data1!N65*Data1!$A$10)))), 0)</f>
        <v>0.16100400000000001</v>
      </c>
      <c r="B66" s="185">
        <f>IFERROR( ROUND(Data1!O65*Data1!$A$10, 5-INT(LOG10(ABS(Data1!O65*Data1!$A$10)))), 0)</f>
        <v>-4.1445200000000001E-2</v>
      </c>
    </row>
    <row r="67" spans="1:2" ht="15" x14ac:dyDescent="0.3">
      <c r="A67" s="185">
        <f>IFERROR(ROUND(Data1!N66*Data1!$A$10, 5-INT(LOG10(ABS(Data1!N66*Data1!$A$10)))), 0)</f>
        <v>0.18435399999999999</v>
      </c>
      <c r="B67" s="185">
        <f>IFERROR( ROUND(Data1!O66*Data1!$A$10, 5-INT(LOG10(ABS(Data1!O66*Data1!$A$10)))), 0)</f>
        <v>-4.2055799999999997E-2</v>
      </c>
    </row>
    <row r="68" spans="1:2" ht="15" x14ac:dyDescent="0.3">
      <c r="A68" s="185">
        <f>IFERROR(ROUND(Data1!N67*Data1!$A$10, 5-INT(LOG10(ABS(Data1!N67*Data1!$A$10)))), 0)</f>
        <v>0.208902</v>
      </c>
      <c r="B68" s="185">
        <f>IFERROR( ROUND(Data1!O67*Data1!$A$10, 5-INT(LOG10(ABS(Data1!O67*Data1!$A$10)))), 0)</f>
        <v>-4.23457E-2</v>
      </c>
    </row>
    <row r="69" spans="1:2" ht="15" x14ac:dyDescent="0.3">
      <c r="A69" s="185">
        <f>IFERROR(ROUND(Data1!N68*Data1!$A$10, 5-INT(LOG10(ABS(Data1!N68*Data1!$A$10)))), 0)</f>
        <v>0.23455599999999999</v>
      </c>
      <c r="B69" s="185">
        <f>IFERROR( ROUND(Data1!O68*Data1!$A$10, 5-INT(LOG10(ABS(Data1!O68*Data1!$A$10)))), 0)</f>
        <v>-4.2339000000000002E-2</v>
      </c>
    </row>
    <row r="70" spans="1:2" ht="15" x14ac:dyDescent="0.3">
      <c r="A70" s="185">
        <f>IFERROR(ROUND(Data1!N69*Data1!$A$10, 5-INT(LOG10(ABS(Data1!N69*Data1!$A$10)))), 0)</f>
        <v>0.26122200000000001</v>
      </c>
      <c r="B70" s="185">
        <f>IFERROR( ROUND(Data1!O69*Data1!$A$10, 5-INT(LOG10(ABS(Data1!O69*Data1!$A$10)))), 0)</f>
        <v>-4.2063200000000002E-2</v>
      </c>
    </row>
    <row r="71" spans="1:2" ht="15" x14ac:dyDescent="0.3">
      <c r="A71" s="185">
        <f>IFERROR(ROUND(Data1!N70*Data1!$A$10, 5-INT(LOG10(ABS(Data1!N70*Data1!$A$10)))), 0)</f>
        <v>0.288802</v>
      </c>
      <c r="B71" s="185">
        <f>IFERROR( ROUND(Data1!O70*Data1!$A$10, 5-INT(LOG10(ABS(Data1!O70*Data1!$A$10)))), 0)</f>
        <v>-4.1549200000000001E-2</v>
      </c>
    </row>
    <row r="72" spans="1:2" ht="15" x14ac:dyDescent="0.3">
      <c r="A72" s="185">
        <f>IFERROR(ROUND(Data1!N71*Data1!$A$10, 5-INT(LOG10(ABS(Data1!N71*Data1!$A$10)))), 0)</f>
        <v>0.31719799999999998</v>
      </c>
      <c r="B72" s="185">
        <f>IFERROR( ROUND(Data1!O71*Data1!$A$10, 5-INT(LOG10(ABS(Data1!O71*Data1!$A$10)))), 0)</f>
        <v>-4.0829999999999998E-2</v>
      </c>
    </row>
    <row r="73" spans="1:2" ht="15" x14ac:dyDescent="0.3">
      <c r="A73" s="185">
        <f>IFERROR(ROUND(Data1!N72*Data1!$A$10, 5-INT(LOG10(ABS(Data1!N72*Data1!$A$10)))), 0)</f>
        <v>0.34630300000000003</v>
      </c>
      <c r="B73" s="185">
        <f>IFERROR( ROUND(Data1!O72*Data1!$A$10, 5-INT(LOG10(ABS(Data1!O72*Data1!$A$10)))), 0)</f>
        <v>-3.99406E-2</v>
      </c>
    </row>
    <row r="74" spans="1:2" ht="15" x14ac:dyDescent="0.3">
      <c r="A74" s="185">
        <f>IFERROR(ROUND(Data1!N73*Data1!$A$10, 5-INT(LOG10(ABS(Data1!N73*Data1!$A$10)))), 0)</f>
        <v>0.37601299999999999</v>
      </c>
      <c r="B74" s="185">
        <f>IFERROR( ROUND(Data1!O73*Data1!$A$10, 5-INT(LOG10(ABS(Data1!O73*Data1!$A$10)))), 0)</f>
        <v>-3.8916600000000003E-2</v>
      </c>
    </row>
    <row r="75" spans="1:2" ht="15" x14ac:dyDescent="0.3">
      <c r="A75" s="185">
        <f>IFERROR(ROUND(Data1!N74*Data1!$A$10, 5-INT(LOG10(ABS(Data1!N74*Data1!$A$10)))), 0)</f>
        <v>0.40626899999999999</v>
      </c>
      <c r="B75" s="185">
        <f>IFERROR( ROUND(Data1!O74*Data1!$A$10, 5-INT(LOG10(ABS(Data1!O74*Data1!$A$10)))), 0)</f>
        <v>-3.77913E-2</v>
      </c>
    </row>
    <row r="76" spans="1:2" ht="15" x14ac:dyDescent="0.3">
      <c r="A76" s="185">
        <f>IFERROR(ROUND(Data1!N75*Data1!$A$10, 5-INT(LOG10(ABS(Data1!N75*Data1!$A$10)))), 0)</f>
        <v>0.43709900000000002</v>
      </c>
      <c r="B76" s="185">
        <f>IFERROR( ROUND(Data1!O75*Data1!$A$10, 5-INT(LOG10(ABS(Data1!O75*Data1!$A$10)))), 0)</f>
        <v>-3.6512700000000002E-2</v>
      </c>
    </row>
    <row r="77" spans="1:2" ht="15" x14ac:dyDescent="0.3">
      <c r="A77" s="185">
        <f>IFERROR(ROUND(Data1!N76*Data1!$A$10, 5-INT(LOG10(ABS(Data1!N76*Data1!$A$10)))), 0)</f>
        <v>0.46818700000000002</v>
      </c>
      <c r="B77" s="185">
        <f>IFERROR( ROUND(Data1!O76*Data1!$A$10, 5-INT(LOG10(ABS(Data1!O76*Data1!$A$10)))), 0)</f>
        <v>-3.50701E-2</v>
      </c>
    </row>
    <row r="78" spans="1:2" ht="15" x14ac:dyDescent="0.3">
      <c r="A78" s="185">
        <f>IFERROR(ROUND(Data1!N77*Data1!$A$10, 5-INT(LOG10(ABS(Data1!N77*Data1!$A$10)))), 0)</f>
        <v>0.49941200000000002</v>
      </c>
      <c r="B78" s="185">
        <f>IFERROR( ROUND(Data1!O77*Data1!$A$10, 5-INT(LOG10(ABS(Data1!O77*Data1!$A$10)))), 0)</f>
        <v>-3.3492500000000001E-2</v>
      </c>
    </row>
    <row r="79" spans="1:2" ht="15" x14ac:dyDescent="0.3">
      <c r="A79" s="185">
        <f>IFERROR(ROUND(Data1!N78*Data1!$A$10, 5-INT(LOG10(ABS(Data1!N78*Data1!$A$10)))), 0)</f>
        <v>0.53065300000000004</v>
      </c>
      <c r="B79" s="185">
        <f>IFERROR( ROUND(Data1!O78*Data1!$A$10, 5-INT(LOG10(ABS(Data1!O78*Data1!$A$10)))), 0)</f>
        <v>-3.1808099999999999E-2</v>
      </c>
    </row>
    <row r="80" spans="1:2" ht="15" x14ac:dyDescent="0.3">
      <c r="A80" s="185">
        <f>IFERROR(ROUND(Data1!N79*Data1!$A$10, 5-INT(LOG10(ABS(Data1!N79*Data1!$A$10)))), 0)</f>
        <v>0.56178899999999998</v>
      </c>
      <c r="B80" s="185">
        <f>IFERROR( ROUND(Data1!O79*Data1!$A$10, 5-INT(LOG10(ABS(Data1!O79*Data1!$A$10)))), 0)</f>
        <v>-3.00431E-2</v>
      </c>
    </row>
    <row r="81" spans="1:2" ht="15" x14ac:dyDescent="0.3">
      <c r="A81" s="185">
        <f>IFERROR(ROUND(Data1!N80*Data1!$A$10, 5-INT(LOG10(ABS(Data1!N80*Data1!$A$10)))), 0)</f>
        <v>0.59269799999999995</v>
      </c>
      <c r="B81" s="185">
        <f>IFERROR( ROUND(Data1!O80*Data1!$A$10, 5-INT(LOG10(ABS(Data1!O80*Data1!$A$10)))), 0)</f>
        <v>-2.8222199999999999E-2</v>
      </c>
    </row>
    <row r="82" spans="1:2" ht="15" x14ac:dyDescent="0.3">
      <c r="A82" s="185">
        <f>IFERROR(ROUND(Data1!N81*Data1!$A$10, 5-INT(LOG10(ABS(Data1!N81*Data1!$A$10)))), 0)</f>
        <v>0.62325900000000001</v>
      </c>
      <c r="B82" s="185">
        <f>IFERROR( ROUND(Data1!O81*Data1!$A$10, 5-INT(LOG10(ABS(Data1!O81*Data1!$A$10)))), 0)</f>
        <v>-2.6367700000000001E-2</v>
      </c>
    </row>
    <row r="83" spans="1:2" ht="15" x14ac:dyDescent="0.3">
      <c r="A83" s="185">
        <f>IFERROR(ROUND(Data1!N82*Data1!$A$10, 5-INT(LOG10(ABS(Data1!N82*Data1!$A$10)))), 0)</f>
        <v>0.65335200000000004</v>
      </c>
      <c r="B83" s="185">
        <f>IFERROR( ROUND(Data1!O82*Data1!$A$10, 5-INT(LOG10(ABS(Data1!O82*Data1!$A$10)))), 0)</f>
        <v>-2.44996E-2</v>
      </c>
    </row>
    <row r="84" spans="1:2" ht="15" x14ac:dyDescent="0.3">
      <c r="A84" s="185">
        <f>IFERROR(ROUND(Data1!N83*Data1!$A$10, 5-INT(LOG10(ABS(Data1!N83*Data1!$A$10)))), 0)</f>
        <v>0.68285799999999997</v>
      </c>
      <c r="B84" s="185">
        <f>IFERROR( ROUND(Data1!O83*Data1!$A$10, 5-INT(LOG10(ABS(Data1!O83*Data1!$A$10)))), 0)</f>
        <v>-2.2635599999999999E-2</v>
      </c>
    </row>
    <row r="85" spans="1:2" ht="15" x14ac:dyDescent="0.3">
      <c r="A85" s="185">
        <f>IFERROR(ROUND(Data1!N84*Data1!$A$10, 5-INT(LOG10(ABS(Data1!N84*Data1!$A$10)))), 0)</f>
        <v>0.71166099999999999</v>
      </c>
      <c r="B85" s="185">
        <f>IFERROR( ROUND(Data1!O84*Data1!$A$10, 5-INT(LOG10(ABS(Data1!O84*Data1!$A$10)))), 0)</f>
        <v>-2.07911E-2</v>
      </c>
    </row>
    <row r="86" spans="1:2" ht="15" x14ac:dyDescent="0.3">
      <c r="A86" s="185">
        <f>IFERROR(ROUND(Data1!N85*Data1!$A$10, 5-INT(LOG10(ABS(Data1!N85*Data1!$A$10)))), 0)</f>
        <v>0.739645</v>
      </c>
      <c r="B86" s="185">
        <f>IFERROR( ROUND(Data1!O85*Data1!$A$10, 5-INT(LOG10(ABS(Data1!O85*Data1!$A$10)))), 0)</f>
        <v>-1.8979300000000001E-2</v>
      </c>
    </row>
    <row r="87" spans="1:2" ht="15" x14ac:dyDescent="0.3">
      <c r="A87" s="185">
        <f>IFERROR(ROUND(Data1!N86*Data1!$A$10, 5-INT(LOG10(ABS(Data1!N86*Data1!$A$10)))), 0)</f>
        <v>0.76670000000000005</v>
      </c>
      <c r="B87" s="185">
        <f>IFERROR( ROUND(Data1!O86*Data1!$A$10, 5-INT(LOG10(ABS(Data1!O86*Data1!$A$10)))), 0)</f>
        <v>-1.7212000000000002E-2</v>
      </c>
    </row>
    <row r="88" spans="1:2" ht="15" x14ac:dyDescent="0.3">
      <c r="A88" s="185">
        <f>IFERROR(ROUND(Data1!N87*Data1!$A$10, 5-INT(LOG10(ABS(Data1!N87*Data1!$A$10)))), 0)</f>
        <v>0.79271599999999998</v>
      </c>
      <c r="B88" s="185">
        <f>IFERROR( ROUND(Data1!O87*Data1!$A$10, 5-INT(LOG10(ABS(Data1!O87*Data1!$A$10)))), 0)</f>
        <v>-1.5499000000000001E-2</v>
      </c>
    </row>
    <row r="89" spans="1:2" ht="15" x14ac:dyDescent="0.3">
      <c r="A89" s="185">
        <f>IFERROR(ROUND(Data1!N88*Data1!$A$10, 5-INT(LOG10(ABS(Data1!N88*Data1!$A$10)))), 0)</f>
        <v>0.81759000000000004</v>
      </c>
      <c r="B89" s="185">
        <f>IFERROR( ROUND(Data1!O88*Data1!$A$10, 5-INT(LOG10(ABS(Data1!O88*Data1!$A$10)))), 0)</f>
        <v>-1.3849200000000001E-2</v>
      </c>
    </row>
    <row r="90" spans="1:2" ht="15" x14ac:dyDescent="0.3">
      <c r="A90" s="185">
        <f>IFERROR(ROUND(Data1!N89*Data1!$A$10, 5-INT(LOG10(ABS(Data1!N89*Data1!$A$10)))), 0)</f>
        <v>0.84122200000000003</v>
      </c>
      <c r="B90" s="185">
        <f>IFERROR( ROUND(Data1!O89*Data1!$A$10, 5-INT(LOG10(ABS(Data1!O89*Data1!$A$10)))), 0)</f>
        <v>-1.22705E-2</v>
      </c>
    </row>
    <row r="91" spans="1:2" ht="15" x14ac:dyDescent="0.3">
      <c r="A91" s="185">
        <f>IFERROR(ROUND(Data1!N90*Data1!$A$10, 5-INT(LOG10(ABS(Data1!N90*Data1!$A$10)))), 0)</f>
        <v>0.86351500000000003</v>
      </c>
      <c r="B91" s="185">
        <f>IFERROR( ROUND(Data1!O90*Data1!$A$10, 5-INT(LOG10(ABS(Data1!O90*Data1!$A$10)))), 0)</f>
        <v>-1.07703E-2</v>
      </c>
    </row>
    <row r="92" spans="1:2" ht="15" x14ac:dyDescent="0.3">
      <c r="A92" s="185">
        <f>IFERROR(ROUND(Data1!N91*Data1!$A$10, 5-INT(LOG10(ABS(Data1!N91*Data1!$A$10)))), 0)</f>
        <v>0.88437900000000003</v>
      </c>
      <c r="B92" s="185">
        <f>IFERROR( ROUND(Data1!O91*Data1!$A$10, 5-INT(LOG10(ABS(Data1!O91*Data1!$A$10)))), 0)</f>
        <v>-9.3555500000000007E-3</v>
      </c>
    </row>
    <row r="93" spans="1:2" ht="15" x14ac:dyDescent="0.3">
      <c r="A93" s="185">
        <f>IFERROR(ROUND(Data1!N92*Data1!$A$10, 5-INT(LOG10(ABS(Data1!N92*Data1!$A$10)))), 0)</f>
        <v>0.90373000000000003</v>
      </c>
      <c r="B93" s="185">
        <f>IFERROR( ROUND(Data1!O92*Data1!$A$10, 5-INT(LOG10(ABS(Data1!O92*Data1!$A$10)))), 0)</f>
        <v>-8.0330000000000002E-3</v>
      </c>
    </row>
    <row r="94" spans="1:2" ht="15" x14ac:dyDescent="0.3">
      <c r="A94" s="185">
        <f>IFERROR(ROUND(Data1!N93*Data1!$A$10, 5-INT(LOG10(ABS(Data1!N93*Data1!$A$10)))), 0)</f>
        <v>0.92148699999999995</v>
      </c>
      <c r="B94" s="185">
        <f>IFERROR( ROUND(Data1!O93*Data1!$A$10, 5-INT(LOG10(ABS(Data1!O93*Data1!$A$10)))), 0)</f>
        <v>-6.8093499999999996E-3</v>
      </c>
    </row>
    <row r="95" spans="1:2" ht="15" x14ac:dyDescent="0.3">
      <c r="A95" s="185">
        <f>IFERROR(ROUND(Data1!N94*Data1!$A$10, 5-INT(LOG10(ABS(Data1!N94*Data1!$A$10)))), 0)</f>
        <v>0.93757900000000005</v>
      </c>
      <c r="B95" s="185">
        <f>IFERROR( ROUND(Data1!O94*Data1!$A$10, 5-INT(LOG10(ABS(Data1!O94*Data1!$A$10)))), 0)</f>
        <v>-5.6912400000000002E-3</v>
      </c>
    </row>
    <row r="96" spans="1:2" ht="15" x14ac:dyDescent="0.3">
      <c r="A96" s="185">
        <f>IFERROR(ROUND(Data1!N95*Data1!$A$10, 5-INT(LOG10(ABS(Data1!N95*Data1!$A$10)))), 0)</f>
        <v>0.95193899999999998</v>
      </c>
      <c r="B96" s="185">
        <f>IFERROR( ROUND(Data1!O95*Data1!$A$10, 5-INT(LOG10(ABS(Data1!O95*Data1!$A$10)))), 0)</f>
        <v>-4.6852400000000002E-3</v>
      </c>
    </row>
    <row r="97" spans="1:2" ht="15" x14ac:dyDescent="0.3">
      <c r="A97" s="185">
        <f>IFERROR(ROUND(Data1!N96*Data1!$A$10, 5-INT(LOG10(ABS(Data1!N96*Data1!$A$10)))), 0)</f>
        <v>0.964507</v>
      </c>
      <c r="B97" s="185">
        <f>IFERROR( ROUND(Data1!O96*Data1!$A$10, 5-INT(LOG10(ABS(Data1!O96*Data1!$A$10)))), 0)</f>
        <v>-3.7977499999999999E-3</v>
      </c>
    </row>
    <row r="98" spans="1:2" ht="15" x14ac:dyDescent="0.3">
      <c r="A98" s="185">
        <f>IFERROR(ROUND(Data1!N97*Data1!$A$10, 5-INT(LOG10(ABS(Data1!N97*Data1!$A$10)))), 0)</f>
        <v>0.97523199999999999</v>
      </c>
      <c r="B98" s="185">
        <f>IFERROR( ROUND(Data1!O97*Data1!$A$10, 5-INT(LOG10(ABS(Data1!O97*Data1!$A$10)))), 0)</f>
        <v>-3.03484E-3</v>
      </c>
    </row>
    <row r="99" spans="1:2" ht="15" x14ac:dyDescent="0.3">
      <c r="A99" s="185">
        <f>IFERROR(ROUND(Data1!N98*Data1!$A$10, 5-INT(LOG10(ABS(Data1!N98*Data1!$A$10)))), 0)</f>
        <v>0.98406899999999997</v>
      </c>
      <c r="B99" s="185">
        <f>IFERROR( ROUND(Data1!O98*Data1!$A$10, 5-INT(LOG10(ABS(Data1!O98*Data1!$A$10)))), 0)</f>
        <v>-2.40209E-3</v>
      </c>
    </row>
    <row r="100" spans="1:2" ht="15" x14ac:dyDescent="0.3">
      <c r="A100" s="185">
        <f>IFERROR(ROUND(Data1!N99*Data1!$A$10, 5-INT(LOG10(ABS(Data1!N99*Data1!$A$10)))), 0)</f>
        <v>0.99097999999999997</v>
      </c>
      <c r="B100" s="185">
        <f>IFERROR( ROUND(Data1!O99*Data1!$A$10, 5-INT(LOG10(ABS(Data1!O99*Data1!$A$10)))), 0)</f>
        <v>-1.9044299999999999E-3</v>
      </c>
    </row>
    <row r="101" spans="1:2" ht="15" x14ac:dyDescent="0.3">
      <c r="A101" s="185">
        <f>IFERROR(ROUND(Data1!N100*Data1!$A$10, 5-INT(LOG10(ABS(Data1!N100*Data1!$A$10)))), 0)</f>
        <v>0.99593799999999999</v>
      </c>
      <c r="B101" s="185">
        <f>IFERROR( ROUND(Data1!O100*Data1!$A$10, 5-INT(LOG10(ABS(Data1!O100*Data1!$A$10)))), 0)</f>
        <v>-1.5459099999999999E-3</v>
      </c>
    </row>
    <row r="102" spans="1:2" ht="15" x14ac:dyDescent="0.3">
      <c r="A102" s="185">
        <f>IFERROR(ROUND(Data1!N101*Data1!$A$10, 5-INT(LOG10(ABS(Data1!N101*Data1!$A$10)))), 0)</f>
        <v>0.99892000000000003</v>
      </c>
      <c r="B102" s="185">
        <f>IFERROR( ROUND(Data1!O101*Data1!$A$10, 5-INT(LOG10(ABS(Data1!O101*Data1!$A$10)))), 0)</f>
        <v>-1.3295399999999999E-3</v>
      </c>
    </row>
    <row r="103" spans="1:2" ht="15" x14ac:dyDescent="0.3">
      <c r="A103" s="185">
        <f>IFERROR(ROUND(Data1!N102*Data1!$A$10, 5-INT(LOG10(ABS(Data1!N102*Data1!$A$10)))), 0)</f>
        <v>1</v>
      </c>
      <c r="B103" s="185">
        <f>IFERROR( ROUND(Data1!O102*Data1!$A$10, 5-INT(LOG10(ABS(Data1!O102*Data1!$A$10)))), 0)</f>
        <v>0</v>
      </c>
    </row>
  </sheetData>
  <sheetProtection algorithmName="SHA-512" hashValue="112AtDcJtMccDNo6k2aBOrnuhcgyD4ITXZFvtHDBPPvnrjoyJnhC0y+1NOGCS2u/AKkbqEdtub00Q4emvBG3LA==" saltValue="/8s+5RwpseqCNkvkooF4yw==" spinCount="100000" sheet="1" objects="1" scenarios="1"/>
  <mergeCells count="1">
    <mergeCell ref="A1:B1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42F68-5F9A-4AB9-AE07-B60638DF1377}">
  <sheetPr codeName="Sheet3">
    <tabColor theme="5" tint="0.79998168889431442"/>
  </sheetPr>
  <dimension ref="A1:AE2000"/>
  <sheetViews>
    <sheetView topLeftCell="G1" zoomScale="85" zoomScaleNormal="85" workbookViewId="0">
      <selection activeCell="AA5" sqref="AA5"/>
    </sheetView>
  </sheetViews>
  <sheetFormatPr defaultRowHeight="14.4" x14ac:dyDescent="0.3"/>
  <cols>
    <col min="1" max="1" width="12.6640625" style="3" bestFit="1" customWidth="1"/>
    <col min="2" max="2" width="10.33203125" style="2" customWidth="1"/>
    <col min="3" max="3" width="9.88671875" style="3" customWidth="1"/>
    <col min="4" max="4" width="10.109375" style="3" customWidth="1"/>
    <col min="5" max="7" width="10.109375" style="2" customWidth="1"/>
    <col min="8" max="8" width="10.33203125" style="2" customWidth="1"/>
    <col min="9" max="9" width="10.109375" style="2" customWidth="1"/>
    <col min="10" max="10" width="10.21875" style="3" customWidth="1"/>
    <col min="11" max="11" width="10.6640625" style="2" customWidth="1"/>
    <col min="12" max="12" width="10.33203125" style="2" customWidth="1"/>
    <col min="13" max="14" width="10" style="2" customWidth="1"/>
    <col min="15" max="15" width="10.44140625" style="2" customWidth="1"/>
    <col min="16" max="22" width="9.77734375" style="7" customWidth="1"/>
    <col min="23" max="23" width="8.88671875" style="3"/>
    <col min="24" max="24" width="9.77734375" style="7" customWidth="1"/>
    <col min="25" max="27" width="8.88671875" style="3"/>
    <col min="28" max="28" width="10.44140625" style="7" customWidth="1"/>
    <col min="29" max="16384" width="8.88671875" style="3"/>
  </cols>
  <sheetData>
    <row r="1" spans="1:31" x14ac:dyDescent="0.3">
      <c r="A1" s="12">
        <v>2</v>
      </c>
      <c r="B1" s="2" cm="1">
        <f t="array" ref="B1:B51">0.5*(1-COS((_xlfn.SEQUENCE(51,1,50,-1)*PI())/50))</f>
        <v>1</v>
      </c>
      <c r="C1" s="2">
        <f>IF($AA$4, 5*$A$7*(0.298*SQRT(B1)-0.132*B1-0.3287*(B1^2)+0.2442*(B1^3)-0.0815*(B1^4)),  5*$A$7*(0.2969*SQRT(B1)-0.126*B1-0.3516*(B1^2)+0.2843*(B1^3)-0.1015*(B1^4)))</f>
        <v>1.1549999999999798E-3</v>
      </c>
      <c r="D1" s="2">
        <f t="shared" ref="D1:D32" si="0">IF($A$20=$A$21, IF(B1&lt;$A$9, ($A$10/6)*((B1^3)-3*$A$9*(B1^2)+($A$9^2)*(3-$A$9)*B1), (($A$10*($A$9^3))/6)*(1-B1)), " ")</f>
        <v>0</v>
      </c>
      <c r="E1" s="2">
        <f t="shared" ref="E1:E32" si="1">IF($A$20=$A$21,IF(B1&lt;$A$9, ($A$10/6)*(3*(B1^2)-6*$A$9*B1+($A$9^2)*(3-$A$9)), -($A$10*($A$9^3))/6), " ")</f>
        <v>-2.2143455707338989E-2</v>
      </c>
      <c r="F1" s="2">
        <f>IF($A$20=$A$21, ATAN(E1), " ")</f>
        <v>-2.2139837552109447E-2</v>
      </c>
      <c r="G1" s="2" t="str">
        <f>IF($A$20=$A$22,  IF(B1&lt;$A$12, ($A$13/6)*((B1-$A$12)^3-$A$14*((1-$A$12)^3)*B1-($A$12^3)*B1+$A$12^3), ($A$13/6)*($A$14*(B1-$A$12)^3-$A$14*((1-$A$12)^3)*B1-($A$12^3)*B1+$A$12^3)), " ")</f>
        <v xml:space="preserve"> </v>
      </c>
      <c r="H1" s="2" t="str">
        <f>IF($A$20=$A$22, IF(B1&lt;$A$12, ($A$13/6)*(3*(B1-$A$12)^2-$A$14*((1-$A$12)^3)-($A$12^3)), ($A$13/6)*(3*$A$14*(B1-$A$12)^2-$A$14*((1-$A$12)^3)-($A$12^3))), " ")</f>
        <v xml:space="preserve"> </v>
      </c>
      <c r="I1" s="2" t="str">
        <f>IF($A$20=$A$22,  ATAN(H1), " ")</f>
        <v xml:space="preserve"> </v>
      </c>
      <c r="J1" s="2">
        <f>IF($A$20=$A$21, D1, G1)</f>
        <v>0</v>
      </c>
      <c r="K1" s="2">
        <f>IF($A$20=$A$21, F1, I1)</f>
        <v>-2.2139837552109447E-2</v>
      </c>
      <c r="L1" s="2">
        <v>1</v>
      </c>
      <c r="M1" s="2">
        <v>0</v>
      </c>
      <c r="O1" s="2">
        <v>0.2</v>
      </c>
      <c r="Q1" s="7">
        <f t="shared" ref="Q1:Q32" si="2">B1*COS($A$17)</f>
        <v>1</v>
      </c>
      <c r="R1" s="7">
        <f t="shared" ref="R1:R32" si="3">-B1*SIN($A$17)</f>
        <v>0</v>
      </c>
      <c r="S1" s="7">
        <f t="shared" ref="S1:S32" si="4">B1*COS($A$17)+J1*SIN($A$17)</f>
        <v>1</v>
      </c>
      <c r="T1" s="7">
        <f t="shared" ref="T1:T32" si="5">-B1*SIN($A$17)+J1*COS($A$17)</f>
        <v>0</v>
      </c>
      <c r="U1" s="7">
        <f t="shared" ref="U1:U32" si="6">L1*COS($A$17)+M1*SIN($A$17)</f>
        <v>1</v>
      </c>
      <c r="V1" s="7">
        <f t="shared" ref="V1:V32" si="7">-L1*SIN($A$17)+M1*COS($A$17)</f>
        <v>0</v>
      </c>
      <c r="X1" s="7">
        <f>IF($AA$1, R1, -1)</f>
        <v>-1</v>
      </c>
      <c r="Y1" s="7">
        <f>IF($AA$2, T1, -1)</f>
        <v>-1</v>
      </c>
      <c r="AA1" s="12" t="b">
        <v>0</v>
      </c>
      <c r="AB1" s="7">
        <f>$K$52-A17</f>
        <v>0.29659852930540098</v>
      </c>
      <c r="AC1" s="13" cm="1">
        <f t="array" ref="AC1:AC51">_xlfn.SEQUENCE(51, 1, 0, (2*PI())/50)</f>
        <v>0</v>
      </c>
      <c r="AD1" s="13">
        <f t="shared" ref="AD1:AD32" si="8">$AB$2*(COS($AB$1)+COS(AC1))</f>
        <v>2.6083103318744284E-2</v>
      </c>
      <c r="AE1" s="13">
        <f>IF($AA$3, $AB$2*(SIN($AB$1)+SIN(AC1)), -1)</f>
        <v>-1</v>
      </c>
    </row>
    <row r="2" spans="1:31" x14ac:dyDescent="0.3">
      <c r="A2" s="3">
        <f>VALUE(MID(A24,2,1))</f>
        <v>3</v>
      </c>
      <c r="B2" s="2">
        <v>0.99901336421413578</v>
      </c>
      <c r="C2" s="2">
        <f t="shared" ref="C2:C65" si="9">IF($AA$4, 5*$A$7*(0.298*SQRT(B2)-0.132*B2-0.3287*(B2^2)+0.2442*(B2^3)-0.0815*(B2^4)),  5*$A$7*(0.2969*SQRT(B2)-0.126*B2-0.3516*(B2^2)+0.2843*(B2^3)-0.1015*(B2^4)))</f>
        <v>1.2818211503499947E-3</v>
      </c>
      <c r="D2" s="2">
        <f t="shared" si="0"/>
        <v>2.1847525823559962E-5</v>
      </c>
      <c r="E2" s="2">
        <f t="shared" si="1"/>
        <v>-2.2143455707338989E-2</v>
      </c>
      <c r="F2" s="2">
        <f t="shared" ref="F2:F65" si="10">IF($A$20=$A$21, ATAN(E2), " ")</f>
        <v>-2.2139837552109447E-2</v>
      </c>
      <c r="G2" s="2" t="str">
        <f t="shared" ref="G2:G65" si="11">IF($A$20=$A$22,  IF(B2&lt;$A$12, ($A$13/6)*((B2-$A$12)^3-$A$14*((1-$A$12)^3)*B2-($A$12^3)*B2+$A$12^3), ($A$13/6)*($A$14*(B2-$A$12)^3-$A$14*((1-$A$12)^3)*B2-($A$12^3)*B2+$A$12^3)), " ")</f>
        <v xml:space="preserve"> </v>
      </c>
      <c r="H2" s="2" t="str">
        <f t="shared" ref="H2:H65" si="12">IF($A$20=$A$22, IF(B2&lt;$A$12, ($A$13/6)*(3*(B2-$A$12)^2-$A$14*((1-$A$12)^3)-($A$12^3)), ($A$13/6)*(3*$A$14*(B2-$A$12)^2-$A$14*((1-$A$12)^3)-($A$12^3))), " ")</f>
        <v xml:space="preserve"> </v>
      </c>
      <c r="I2" s="2" t="str">
        <f t="shared" ref="I2:I65" si="13">IF($A$20=$A$22,  ATAN(H2), " ")</f>
        <v xml:space="preserve"> </v>
      </c>
      <c r="J2" s="2">
        <f t="shared" ref="J2:J65" si="14">IF($A$20=$A$21, D2, G2)</f>
        <v>2.1847525823559962E-5</v>
      </c>
      <c r="K2" s="2">
        <f t="shared" ref="K2:K65" si="15">IF($A$20=$A$21, F2, I2)</f>
        <v>-2.2139837552109447E-2</v>
      </c>
      <c r="L2" s="2">
        <f>B2-C2*SIN(K2)</f>
        <v>0.99904174120777289</v>
      </c>
      <c r="M2" s="2">
        <f t="shared" ref="M2:M51" si="16">J2+C2*COS(K2)</f>
        <v>1.3033545323267242E-3</v>
      </c>
      <c r="O2" s="2">
        <f t="shared" ref="O2:O20" si="17">O1-(O1-O1*SQRT(O1/3)-$A$5)/(1-SQRT(3*O1)/2)</f>
        <v>0.20267630731575903</v>
      </c>
      <c r="Q2" s="7">
        <f t="shared" si="2"/>
        <v>0.99901336421413578</v>
      </c>
      <c r="R2" s="7">
        <f t="shared" si="3"/>
        <v>0</v>
      </c>
      <c r="S2" s="7">
        <f t="shared" si="4"/>
        <v>0.99901336421413578</v>
      </c>
      <c r="T2" s="7">
        <f t="shared" si="5"/>
        <v>2.1847525823559962E-5</v>
      </c>
      <c r="U2" s="7">
        <f t="shared" si="6"/>
        <v>0.99904174120777289</v>
      </c>
      <c r="V2" s="7">
        <f t="shared" si="7"/>
        <v>1.3033545323267242E-3</v>
      </c>
      <c r="X2" s="7">
        <f t="shared" ref="X2:X50" si="18">IF($AA$1, R2, -1)</f>
        <v>-1</v>
      </c>
      <c r="Y2" s="7">
        <f t="shared" ref="Y2:Y51" si="19">IF($AA$2, T2, -1)</f>
        <v>-1</v>
      </c>
      <c r="AA2" s="12" t="b">
        <v>0</v>
      </c>
      <c r="AB2" s="7">
        <f>(0.2969^2/2)*(A7/0.2)^2</f>
        <v>1.3332628512499998E-2</v>
      </c>
      <c r="AC2" s="13">
        <v>0.12566370614359174</v>
      </c>
      <c r="AD2" s="13">
        <f t="shared" si="8"/>
        <v>2.5977971560660115E-2</v>
      </c>
      <c r="AE2" s="13">
        <f t="shared" ref="AE2:AE51" si="20">IF($AA$3, $AB$2*(SIN($AB$1)+SIN(AC2)), -1)</f>
        <v>-1</v>
      </c>
    </row>
    <row r="3" spans="1:31" x14ac:dyDescent="0.3">
      <c r="A3" s="12">
        <v>11</v>
      </c>
      <c r="B3" s="2">
        <v>0.99605735065723888</v>
      </c>
      <c r="C3" s="2">
        <f t="shared" si="9"/>
        <v>1.6608590939693768E-3</v>
      </c>
      <c r="D3" s="2">
        <f t="shared" si="0"/>
        <v>8.7303881090999979E-5</v>
      </c>
      <c r="E3" s="2">
        <f t="shared" si="1"/>
        <v>-2.2143455707338989E-2</v>
      </c>
      <c r="F3" s="2">
        <f t="shared" si="10"/>
        <v>-2.2139837552109447E-2</v>
      </c>
      <c r="G3" s="2" t="str">
        <f t="shared" si="11"/>
        <v xml:space="preserve"> </v>
      </c>
      <c r="H3" s="2" t="str">
        <f t="shared" si="12"/>
        <v xml:space="preserve"> </v>
      </c>
      <c r="I3" s="2" t="str">
        <f t="shared" si="13"/>
        <v xml:space="preserve"> </v>
      </c>
      <c r="J3" s="2">
        <f t="shared" si="14"/>
        <v>8.7303881090999979E-5</v>
      </c>
      <c r="K3" s="2">
        <f t="shared" si="15"/>
        <v>-2.2139837552109447E-2</v>
      </c>
      <c r="L3" s="2">
        <f t="shared" ref="L3:L51" si="21">B3-C3*SIN(K3)</f>
        <v>0.99609411880381604</v>
      </c>
      <c r="M3" s="2">
        <f t="shared" si="16"/>
        <v>1.7477559380375594E-3</v>
      </c>
      <c r="O3" s="2">
        <f t="shared" si="17"/>
        <v>0.20268197816703676</v>
      </c>
      <c r="Q3" s="7">
        <f t="shared" si="2"/>
        <v>0.99605735065723888</v>
      </c>
      <c r="R3" s="7">
        <f t="shared" si="3"/>
        <v>0</v>
      </c>
      <c r="S3" s="7">
        <f t="shared" si="4"/>
        <v>0.99605735065723888</v>
      </c>
      <c r="T3" s="7">
        <f t="shared" si="5"/>
        <v>8.7303881090999979E-5</v>
      </c>
      <c r="U3" s="7">
        <f t="shared" si="6"/>
        <v>0.99609411880381604</v>
      </c>
      <c r="V3" s="7">
        <f t="shared" si="7"/>
        <v>1.7477559380375594E-3</v>
      </c>
      <c r="X3" s="7">
        <f t="shared" si="18"/>
        <v>-1</v>
      </c>
      <c r="Y3" s="7">
        <f t="shared" si="19"/>
        <v>-1</v>
      </c>
      <c r="AA3" s="12" t="b">
        <v>0</v>
      </c>
      <c r="AC3" s="13">
        <v>0.25132741228718347</v>
      </c>
      <c r="AD3" s="13">
        <f t="shared" si="8"/>
        <v>2.5664234277035253E-2</v>
      </c>
      <c r="AE3" s="13">
        <f t="shared" si="20"/>
        <v>-1</v>
      </c>
    </row>
    <row r="4" spans="1:31" x14ac:dyDescent="0.3">
      <c r="B4" s="2">
        <v>0.99114362536434442</v>
      </c>
      <c r="C4" s="2">
        <f t="shared" si="9"/>
        <v>2.2878766565437789E-3</v>
      </c>
      <c r="D4" s="2">
        <f t="shared" si="0"/>
        <v>1.9611073947223989E-4</v>
      </c>
      <c r="E4" s="2">
        <f t="shared" si="1"/>
        <v>-2.2143455707338989E-2</v>
      </c>
      <c r="F4" s="2">
        <f t="shared" si="10"/>
        <v>-2.2139837552109447E-2</v>
      </c>
      <c r="G4" s="2" t="str">
        <f t="shared" si="11"/>
        <v xml:space="preserve"> </v>
      </c>
      <c r="H4" s="2" t="str">
        <f t="shared" si="12"/>
        <v xml:space="preserve"> </v>
      </c>
      <c r="I4" s="2" t="str">
        <f t="shared" si="13"/>
        <v xml:space="preserve"> </v>
      </c>
      <c r="J4" s="2">
        <f t="shared" si="14"/>
        <v>1.9611073947223989E-4</v>
      </c>
      <c r="K4" s="2">
        <f t="shared" si="15"/>
        <v>-2.2139837552109447E-2</v>
      </c>
      <c r="L4" s="2">
        <f t="shared" si="21"/>
        <v>0.99119427444382602</v>
      </c>
      <c r="M4" s="2">
        <f t="shared" si="16"/>
        <v>2.4834266919164147E-3</v>
      </c>
      <c r="O4" s="2">
        <f t="shared" si="17"/>
        <v>0.20268197819238526</v>
      </c>
      <c r="Q4" s="7">
        <f t="shared" si="2"/>
        <v>0.99114362536434442</v>
      </c>
      <c r="R4" s="7">
        <f t="shared" si="3"/>
        <v>0</v>
      </c>
      <c r="S4" s="7">
        <f t="shared" si="4"/>
        <v>0.99114362536434442</v>
      </c>
      <c r="T4" s="7">
        <f t="shared" si="5"/>
        <v>1.9611073947223989E-4</v>
      </c>
      <c r="U4" s="7">
        <f t="shared" si="6"/>
        <v>0.99119427444382602</v>
      </c>
      <c r="V4" s="7">
        <f t="shared" si="7"/>
        <v>2.4834266919164147E-3</v>
      </c>
      <c r="X4" s="7">
        <f t="shared" si="18"/>
        <v>-1</v>
      </c>
      <c r="Y4" s="7">
        <f t="shared" si="19"/>
        <v>-1</v>
      </c>
      <c r="AA4" s="12" t="b">
        <v>0</v>
      </c>
      <c r="AC4" s="13">
        <v>0.37699111843077521</v>
      </c>
      <c r="AD4" s="13">
        <f t="shared" si="8"/>
        <v>2.5146839292250041E-2</v>
      </c>
      <c r="AE4" s="13">
        <f t="shared" si="20"/>
        <v>-1</v>
      </c>
    </row>
    <row r="5" spans="1:31" x14ac:dyDescent="0.3">
      <c r="A5" s="3">
        <f>0.05*$A$2</f>
        <v>0.15000000000000002</v>
      </c>
      <c r="B5" s="2">
        <v>0.98429158056431554</v>
      </c>
      <c r="C5" s="2">
        <f t="shared" si="9"/>
        <v>3.1559405136538142E-3</v>
      </c>
      <c r="D5" s="2">
        <f t="shared" si="0"/>
        <v>3.4783869000638178E-4</v>
      </c>
      <c r="E5" s="2">
        <f t="shared" si="1"/>
        <v>-2.2143455707338989E-2</v>
      </c>
      <c r="F5" s="2">
        <f t="shared" si="10"/>
        <v>-2.2139837552109447E-2</v>
      </c>
      <c r="G5" s="2" t="str">
        <f t="shared" si="11"/>
        <v xml:space="preserve"> </v>
      </c>
      <c r="H5" s="2" t="str">
        <f t="shared" si="12"/>
        <v xml:space="preserve"> </v>
      </c>
      <c r="I5" s="2" t="str">
        <f t="shared" si="13"/>
        <v xml:space="preserve"> </v>
      </c>
      <c r="J5" s="2">
        <f t="shared" si="14"/>
        <v>3.4783869000638178E-4</v>
      </c>
      <c r="K5" s="2">
        <f t="shared" si="15"/>
        <v>-2.2139837552109447E-2</v>
      </c>
      <c r="L5" s="2">
        <f t="shared" si="21"/>
        <v>0.98436144686652993</v>
      </c>
      <c r="M5" s="2">
        <f t="shared" si="16"/>
        <v>3.5030057577757553E-3</v>
      </c>
      <c r="O5" s="2">
        <f t="shared" si="17"/>
        <v>0.20268197819238526</v>
      </c>
      <c r="Q5" s="7">
        <f t="shared" si="2"/>
        <v>0.98429158056431554</v>
      </c>
      <c r="R5" s="7">
        <f t="shared" si="3"/>
        <v>0</v>
      </c>
      <c r="S5" s="7">
        <f t="shared" si="4"/>
        <v>0.98429158056431554</v>
      </c>
      <c r="T5" s="7">
        <f t="shared" si="5"/>
        <v>3.4783869000638178E-4</v>
      </c>
      <c r="U5" s="7">
        <f t="shared" si="6"/>
        <v>0.98436144686652993</v>
      </c>
      <c r="V5" s="7">
        <f t="shared" si="7"/>
        <v>3.5030057577757553E-3</v>
      </c>
      <c r="X5" s="7">
        <f t="shared" si="18"/>
        <v>-1</v>
      </c>
      <c r="Y5" s="7">
        <f t="shared" si="19"/>
        <v>-1</v>
      </c>
      <c r="AA5" s="12" t="b">
        <v>0</v>
      </c>
      <c r="AC5" s="13">
        <v>0.50265482457436694</v>
      </c>
      <c r="AD5" s="13">
        <f t="shared" si="8"/>
        <v>2.4433946234291317E-2</v>
      </c>
      <c r="AE5" s="13">
        <f t="shared" si="20"/>
        <v>-1</v>
      </c>
    </row>
    <row r="6" spans="1:31" x14ac:dyDescent="0.3">
      <c r="A6" s="3">
        <f>IF(A20=A21, A9, A12)</f>
        <v>0.20268197819238526</v>
      </c>
      <c r="B6" s="2">
        <v>0.97552825814757682</v>
      </c>
      <c r="C6" s="2">
        <f t="shared" si="9"/>
        <v>4.2556054729732899E-3</v>
      </c>
      <c r="D6" s="2">
        <f t="shared" si="0"/>
        <v>5.4188893179056639E-4</v>
      </c>
      <c r="E6" s="2">
        <f t="shared" si="1"/>
        <v>-2.2143455707338989E-2</v>
      </c>
      <c r="F6" s="2">
        <f t="shared" si="10"/>
        <v>-2.2139837552109447E-2</v>
      </c>
      <c r="G6" s="2" t="str">
        <f t="shared" si="11"/>
        <v xml:space="preserve"> </v>
      </c>
      <c r="H6" s="2" t="str">
        <f t="shared" si="12"/>
        <v xml:space="preserve"> </v>
      </c>
      <c r="I6" s="2" t="str">
        <f t="shared" si="13"/>
        <v xml:space="preserve"> </v>
      </c>
      <c r="J6" s="2">
        <f t="shared" si="14"/>
        <v>5.4188893179056639E-4</v>
      </c>
      <c r="K6" s="2">
        <f t="shared" si="15"/>
        <v>-2.2139837552109447E-2</v>
      </c>
      <c r="L6" s="2">
        <f t="shared" si="21"/>
        <v>0.97562246886441184</v>
      </c>
      <c r="M6" s="2">
        <f t="shared" si="16"/>
        <v>4.7964514571782997E-3</v>
      </c>
      <c r="O6" s="2">
        <f t="shared" si="17"/>
        <v>0.20268197819238526</v>
      </c>
      <c r="Q6" s="7">
        <f t="shared" si="2"/>
        <v>0.97552825814757682</v>
      </c>
      <c r="R6" s="7">
        <f t="shared" si="3"/>
        <v>0</v>
      </c>
      <c r="S6" s="7">
        <f t="shared" si="4"/>
        <v>0.97552825814757682</v>
      </c>
      <c r="T6" s="7">
        <f t="shared" si="5"/>
        <v>5.4188893179056639E-4</v>
      </c>
      <c r="U6" s="7">
        <f t="shared" si="6"/>
        <v>0.97562246886441184</v>
      </c>
      <c r="V6" s="7">
        <f t="shared" si="7"/>
        <v>4.7964514571782997E-3</v>
      </c>
      <c r="X6" s="7">
        <f t="shared" si="18"/>
        <v>-1</v>
      </c>
      <c r="Y6" s="7">
        <f t="shared" si="19"/>
        <v>-1</v>
      </c>
      <c r="AC6" s="13">
        <v>0.62831853071795862</v>
      </c>
      <c r="AD6" s="13">
        <f t="shared" si="8"/>
        <v>2.3536797852544762E-2</v>
      </c>
      <c r="AE6" s="13">
        <f t="shared" si="20"/>
        <v>-1</v>
      </c>
    </row>
    <row r="7" spans="1:31" x14ac:dyDescent="0.3">
      <c r="A7" s="3">
        <f>A3/100</f>
        <v>0.11</v>
      </c>
      <c r="B7" s="2">
        <v>0.96488824294412567</v>
      </c>
      <c r="C7" s="2">
        <f t="shared" si="9"/>
        <v>5.5751557644225696E-3</v>
      </c>
      <c r="D7" s="2">
        <f t="shared" si="0"/>
        <v>7.7749563717360035E-4</v>
      </c>
      <c r="E7" s="2">
        <f t="shared" si="1"/>
        <v>-2.2143455707338989E-2</v>
      </c>
      <c r="F7" s="2">
        <f t="shared" si="10"/>
        <v>-2.2139837552109447E-2</v>
      </c>
      <c r="G7" s="2" t="str">
        <f t="shared" si="11"/>
        <v xml:space="preserve"> </v>
      </c>
      <c r="H7" s="2" t="str">
        <f t="shared" si="12"/>
        <v xml:space="preserve"> </v>
      </c>
      <c r="I7" s="2" t="str">
        <f t="shared" si="13"/>
        <v xml:space="preserve"> </v>
      </c>
      <c r="J7" s="2">
        <f t="shared" si="14"/>
        <v>7.7749563717360035E-4</v>
      </c>
      <c r="K7" s="2">
        <f t="shared" si="15"/>
        <v>-2.2139837552109447E-2</v>
      </c>
      <c r="L7" s="2">
        <f t="shared" si="21"/>
        <v>0.96501166590341292</v>
      </c>
      <c r="M7" s="2">
        <f t="shared" si="16"/>
        <v>6.3512850636495404E-3</v>
      </c>
      <c r="O7" s="2">
        <f t="shared" si="17"/>
        <v>0.20268197819238526</v>
      </c>
      <c r="Q7" s="7">
        <f t="shared" si="2"/>
        <v>0.96488824294412567</v>
      </c>
      <c r="R7" s="7">
        <f t="shared" si="3"/>
        <v>0</v>
      </c>
      <c r="S7" s="7">
        <f t="shared" si="4"/>
        <v>0.96488824294412567</v>
      </c>
      <c r="T7" s="7">
        <f t="shared" si="5"/>
        <v>7.7749563717360035E-4</v>
      </c>
      <c r="U7" s="7">
        <f t="shared" si="6"/>
        <v>0.96501166590341292</v>
      </c>
      <c r="V7" s="7">
        <f t="shared" si="7"/>
        <v>6.3512850636495404E-3</v>
      </c>
      <c r="X7" s="7">
        <f t="shared" si="18"/>
        <v>-1</v>
      </c>
      <c r="Y7" s="7">
        <f t="shared" si="19"/>
        <v>-1</v>
      </c>
      <c r="AC7" s="13">
        <v>0.7539822368615503</v>
      </c>
      <c r="AD7" s="13">
        <f t="shared" si="8"/>
        <v>2.2469542712920988E-2</v>
      </c>
      <c r="AE7" s="13">
        <f t="shared" si="20"/>
        <v>-1</v>
      </c>
    </row>
    <row r="8" spans="1:31" x14ac:dyDescent="0.3">
      <c r="B8" s="2">
        <v>0.95241352623300968</v>
      </c>
      <c r="C8" s="2">
        <f t="shared" si="9"/>
        <v>7.1008880574649647E-3</v>
      </c>
      <c r="D8" s="2">
        <f t="shared" si="0"/>
        <v>1.0537289741277989E-3</v>
      </c>
      <c r="E8" s="2">
        <f t="shared" si="1"/>
        <v>-2.2143455707338989E-2</v>
      </c>
      <c r="F8" s="2">
        <f t="shared" si="10"/>
        <v>-2.2139837552109447E-2</v>
      </c>
      <c r="G8" s="2" t="str">
        <f t="shared" si="11"/>
        <v xml:space="preserve"> </v>
      </c>
      <c r="H8" s="2" t="str">
        <f t="shared" si="12"/>
        <v xml:space="preserve"> </v>
      </c>
      <c r="I8" s="2" t="str">
        <f t="shared" si="13"/>
        <v xml:space="preserve"> </v>
      </c>
      <c r="J8" s="2">
        <f t="shared" si="14"/>
        <v>1.0537289741277989E-3</v>
      </c>
      <c r="K8" s="2">
        <f t="shared" si="15"/>
        <v>-2.2139837552109447E-2</v>
      </c>
      <c r="L8" s="2">
        <f t="shared" si="21"/>
        <v>0.95257072589785352</v>
      </c>
      <c r="M8" s="2">
        <f t="shared" si="16"/>
        <v>8.1528767729851757E-3</v>
      </c>
      <c r="O8" s="2">
        <f t="shared" si="17"/>
        <v>0.20268197819238526</v>
      </c>
      <c r="Q8" s="7">
        <f t="shared" si="2"/>
        <v>0.95241352623300968</v>
      </c>
      <c r="R8" s="7">
        <f t="shared" si="3"/>
        <v>0</v>
      </c>
      <c r="S8" s="7">
        <f t="shared" si="4"/>
        <v>0.95241352623300968</v>
      </c>
      <c r="T8" s="7">
        <f t="shared" si="5"/>
        <v>1.0537289741277989E-3</v>
      </c>
      <c r="U8" s="7">
        <f t="shared" si="6"/>
        <v>0.95257072589785352</v>
      </c>
      <c r="V8" s="7">
        <f t="shared" si="7"/>
        <v>8.1528767729851757E-3</v>
      </c>
      <c r="X8" s="7">
        <f t="shared" si="18"/>
        <v>-1</v>
      </c>
      <c r="Y8" s="7">
        <f t="shared" si="19"/>
        <v>-1</v>
      </c>
      <c r="AC8" s="13">
        <v>0.87964594300514198</v>
      </c>
      <c r="AD8" s="13">
        <f t="shared" si="8"/>
        <v>2.1249012066519177E-2</v>
      </c>
      <c r="AE8" s="13">
        <f t="shared" si="20"/>
        <v>-1</v>
      </c>
    </row>
    <row r="9" spans="1:31" x14ac:dyDescent="0.3">
      <c r="A9" s="13">
        <f>IF($A$20=$A$21, O20, 0)</f>
        <v>0.20268197819238526</v>
      </c>
      <c r="B9" s="2">
        <v>0.93815334002193174</v>
      </c>
      <c r="C9" s="2">
        <f t="shared" si="9"/>
        <v>8.8174184841491206E-3</v>
      </c>
      <c r="D9" s="2">
        <f t="shared" si="0"/>
        <v>1.3694987758712095E-3</v>
      </c>
      <c r="E9" s="2">
        <f t="shared" si="1"/>
        <v>-2.2143455707338989E-2</v>
      </c>
      <c r="F9" s="2">
        <f t="shared" si="10"/>
        <v>-2.2139837552109447E-2</v>
      </c>
      <c r="G9" s="2" t="str">
        <f t="shared" si="11"/>
        <v xml:space="preserve"> </v>
      </c>
      <c r="H9" s="2" t="str">
        <f t="shared" si="12"/>
        <v xml:space="preserve"> </v>
      </c>
      <c r="I9" s="2" t="str">
        <f t="shared" si="13"/>
        <v xml:space="preserve"> </v>
      </c>
      <c r="J9" s="2">
        <f t="shared" si="14"/>
        <v>1.3694987758712095E-3</v>
      </c>
      <c r="K9" s="2">
        <f t="shared" si="15"/>
        <v>-2.2139837552109447E-2</v>
      </c>
      <c r="L9" s="2">
        <f t="shared" si="21"/>
        <v>0.93834854028692383</v>
      </c>
      <c r="M9" s="2">
        <f t="shared" si="16"/>
        <v>1.018475632067168E-2</v>
      </c>
      <c r="O9" s="2">
        <f t="shared" si="17"/>
        <v>0.20268197819238526</v>
      </c>
      <c r="Q9" s="7">
        <f t="shared" si="2"/>
        <v>0.93815334002193174</v>
      </c>
      <c r="R9" s="7">
        <f t="shared" si="3"/>
        <v>0</v>
      </c>
      <c r="S9" s="7">
        <f t="shared" si="4"/>
        <v>0.93815334002193174</v>
      </c>
      <c r="T9" s="7">
        <f t="shared" si="5"/>
        <v>1.3694987758712095E-3</v>
      </c>
      <c r="U9" s="7">
        <f t="shared" si="6"/>
        <v>0.93834854028692383</v>
      </c>
      <c r="V9" s="7">
        <f t="shared" si="7"/>
        <v>1.018475632067168E-2</v>
      </c>
      <c r="X9" s="7">
        <f t="shared" si="18"/>
        <v>-1</v>
      </c>
      <c r="Y9" s="7">
        <f t="shared" si="19"/>
        <v>-1</v>
      </c>
      <c r="AC9" s="13">
        <v>1.0053096491487337</v>
      </c>
      <c r="AD9" s="13">
        <f t="shared" si="8"/>
        <v>1.9894454410742751E-2</v>
      </c>
      <c r="AE9" s="13">
        <f t="shared" si="20"/>
        <v>-1</v>
      </c>
    </row>
    <row r="10" spans="1:31" x14ac:dyDescent="0.3">
      <c r="A10" s="3" cm="1">
        <f t="array" ref="A10">IF($A$20=$A$21, _xlfn.IFS(A2=1, 361.4, A2=2, 51.64, A2=3, 15.957, A2=4, 6.643, A2=5, 3.23), 0)</f>
        <v>15.957000000000001</v>
      </c>
      <c r="B10" s="2">
        <v>0.92216396275100743</v>
      </c>
      <c r="C10" s="2">
        <f t="shared" si="9"/>
        <v>1.0707994766854304E-2</v>
      </c>
      <c r="D10" s="2">
        <f t="shared" si="0"/>
        <v>1.7235588432578546E-3</v>
      </c>
      <c r="E10" s="2">
        <f t="shared" si="1"/>
        <v>-2.2143455707338989E-2</v>
      </c>
      <c r="F10" s="2">
        <f t="shared" si="10"/>
        <v>-2.2139837552109447E-2</v>
      </c>
      <c r="G10" s="2" t="str">
        <f t="shared" si="11"/>
        <v xml:space="preserve"> </v>
      </c>
      <c r="H10" s="2" t="str">
        <f t="shared" si="12"/>
        <v xml:space="preserve"> </v>
      </c>
      <c r="I10" s="2" t="str">
        <f t="shared" si="13"/>
        <v xml:space="preserve"> </v>
      </c>
      <c r="J10" s="2">
        <f t="shared" si="14"/>
        <v>1.7235588432578546E-3</v>
      </c>
      <c r="K10" s="2">
        <f t="shared" si="15"/>
        <v>-2.2139837552109447E-2</v>
      </c>
      <c r="L10" s="2">
        <f t="shared" si="21"/>
        <v>0.92240101664833363</v>
      </c>
      <c r="M10" s="2">
        <f t="shared" si="16"/>
        <v>1.2428929335526752E-2</v>
      </c>
      <c r="O10" s="2">
        <f t="shared" si="17"/>
        <v>0.20268197819238526</v>
      </c>
      <c r="Q10" s="7">
        <f t="shared" si="2"/>
        <v>0.92216396275100743</v>
      </c>
      <c r="R10" s="7">
        <f t="shared" si="3"/>
        <v>0</v>
      </c>
      <c r="S10" s="7">
        <f t="shared" si="4"/>
        <v>0.92216396275100743</v>
      </c>
      <c r="T10" s="7">
        <f t="shared" si="5"/>
        <v>1.7235588432578546E-3</v>
      </c>
      <c r="U10" s="7">
        <f t="shared" si="6"/>
        <v>0.92240101664833363</v>
      </c>
      <c r="V10" s="7">
        <f t="shared" si="7"/>
        <v>1.2428929335526752E-2</v>
      </c>
      <c r="X10" s="7">
        <f t="shared" si="18"/>
        <v>-1</v>
      </c>
      <c r="Y10" s="7">
        <f t="shared" si="19"/>
        <v>-1</v>
      </c>
      <c r="AC10" s="13">
        <v>1.1309733552923253</v>
      </c>
      <c r="AD10" s="13">
        <f t="shared" si="8"/>
        <v>1.842723192899683E-2</v>
      </c>
      <c r="AE10" s="13">
        <f t="shared" si="20"/>
        <v>-1</v>
      </c>
    </row>
    <row r="11" spans="1:31" x14ac:dyDescent="0.3">
      <c r="B11" s="2">
        <v>0.90450849718747373</v>
      </c>
      <c r="C11" s="2">
        <f t="shared" si="9"/>
        <v>1.2754794722804044E-2</v>
      </c>
      <c r="D11" s="2">
        <f t="shared" si="0"/>
        <v>2.114511862956412E-3</v>
      </c>
      <c r="E11" s="2">
        <f t="shared" si="1"/>
        <v>-2.2143455707338989E-2</v>
      </c>
      <c r="F11" s="2">
        <f t="shared" si="10"/>
        <v>-2.2139837552109447E-2</v>
      </c>
      <c r="G11" s="2" t="str">
        <f t="shared" si="11"/>
        <v xml:space="preserve"> </v>
      </c>
      <c r="H11" s="2" t="str">
        <f t="shared" si="12"/>
        <v xml:space="preserve"> </v>
      </c>
      <c r="I11" s="2" t="str">
        <f t="shared" si="13"/>
        <v xml:space="preserve"> </v>
      </c>
      <c r="J11" s="2">
        <f t="shared" si="14"/>
        <v>2.114511862956412E-3</v>
      </c>
      <c r="K11" s="2">
        <f t="shared" si="15"/>
        <v>-2.2139837552109447E-2</v>
      </c>
      <c r="L11" s="2">
        <f t="shared" si="21"/>
        <v>0.90479086320132307</v>
      </c>
      <c r="M11" s="2">
        <f t="shared" si="16"/>
        <v>1.4866180689235297E-2</v>
      </c>
      <c r="O11" s="2">
        <f t="shared" si="17"/>
        <v>0.20268197819238526</v>
      </c>
      <c r="Q11" s="7">
        <f t="shared" si="2"/>
        <v>0.90450849718747373</v>
      </c>
      <c r="R11" s="7">
        <f t="shared" si="3"/>
        <v>0</v>
      </c>
      <c r="S11" s="7">
        <f t="shared" si="4"/>
        <v>0.90450849718747373</v>
      </c>
      <c r="T11" s="7">
        <f t="shared" si="5"/>
        <v>2.114511862956412E-3</v>
      </c>
      <c r="U11" s="7">
        <f t="shared" si="6"/>
        <v>0.90479086320132307</v>
      </c>
      <c r="V11" s="7">
        <f t="shared" si="7"/>
        <v>1.4866180689235297E-2</v>
      </c>
      <c r="X11" s="7">
        <f t="shared" si="18"/>
        <v>-1</v>
      </c>
      <c r="Y11" s="7">
        <f t="shared" si="19"/>
        <v>-1</v>
      </c>
      <c r="AC11" s="13">
        <v>1.256637061435917</v>
      </c>
      <c r="AD11" s="13">
        <f t="shared" si="8"/>
        <v>1.6870483596294766E-2</v>
      </c>
      <c r="AE11" s="13">
        <f t="shared" si="20"/>
        <v>-1</v>
      </c>
    </row>
    <row r="12" spans="1:31" x14ac:dyDescent="0.3">
      <c r="A12" s="3" cm="1">
        <f t="array" ref="A12">IF($A$20=$A$22, _xlfn.IFS(A2=2, 0.13, A2=3, 0.217, A2=4, 0.318, A2=5, 0.441, TRUE, 0), 0)</f>
        <v>0</v>
      </c>
      <c r="B12" s="2">
        <v>0.88525662138789452</v>
      </c>
      <c r="C12" s="2">
        <f t="shared" si="9"/>
        <v>1.4939193942003135E-2</v>
      </c>
      <c r="D12" s="2">
        <f t="shared" si="0"/>
        <v>2.5408149220075855E-3</v>
      </c>
      <c r="E12" s="2">
        <f t="shared" si="1"/>
        <v>-2.2143455707338989E-2</v>
      </c>
      <c r="F12" s="2">
        <f t="shared" si="10"/>
        <v>-2.2139837552109447E-2</v>
      </c>
      <c r="G12" s="2" t="str">
        <f t="shared" si="11"/>
        <v xml:space="preserve"> </v>
      </c>
      <c r="H12" s="2" t="str">
        <f t="shared" si="12"/>
        <v xml:space="preserve"> </v>
      </c>
      <c r="I12" s="2" t="str">
        <f t="shared" si="13"/>
        <v xml:space="preserve"> </v>
      </c>
      <c r="J12" s="2">
        <f t="shared" si="14"/>
        <v>2.5408149220075855E-3</v>
      </c>
      <c r="K12" s="2">
        <f t="shared" si="15"/>
        <v>-2.2139837552109447E-2</v>
      </c>
      <c r="L12" s="2">
        <f t="shared" si="21"/>
        <v>0.88558734569472985</v>
      </c>
      <c r="M12" s="2">
        <f t="shared" si="16"/>
        <v>1.7476347623242301E-2</v>
      </c>
      <c r="O12" s="2">
        <f t="shared" si="17"/>
        <v>0.20268197819238526</v>
      </c>
      <c r="Q12" s="7">
        <f t="shared" si="2"/>
        <v>0.88525662138789452</v>
      </c>
      <c r="R12" s="7">
        <f t="shared" si="3"/>
        <v>0</v>
      </c>
      <c r="S12" s="7">
        <f t="shared" si="4"/>
        <v>0.88525662138789452</v>
      </c>
      <c r="T12" s="7">
        <f t="shared" si="5"/>
        <v>2.5408149220075855E-3</v>
      </c>
      <c r="U12" s="7">
        <f t="shared" si="6"/>
        <v>0.88558734569472985</v>
      </c>
      <c r="V12" s="7">
        <f t="shared" si="7"/>
        <v>1.7476347623242301E-2</v>
      </c>
      <c r="X12" s="7">
        <f t="shared" si="18"/>
        <v>-1</v>
      </c>
      <c r="Y12" s="7">
        <f t="shared" si="19"/>
        <v>-1</v>
      </c>
      <c r="AC12" s="13">
        <v>1.3823007675795087</v>
      </c>
      <c r="AD12" s="13">
        <f t="shared" si="8"/>
        <v>1.5248760263799658E-2</v>
      </c>
      <c r="AE12" s="13">
        <f t="shared" si="20"/>
        <v>-1</v>
      </c>
    </row>
    <row r="13" spans="1:31" x14ac:dyDescent="0.3">
      <c r="A13" s="3" cm="1">
        <f t="array" ref="A13">IF($A$20=$A$22, _xlfn.IFS(A2=2, 51.99, A2=3, 15.793, A2=4, 6.52, A2=5, 3.191), 0)</f>
        <v>0</v>
      </c>
      <c r="B13" s="2">
        <v>0.86448431371070567</v>
      </c>
      <c r="C13" s="2">
        <f t="shared" si="9"/>
        <v>1.7241988216358313E-2</v>
      </c>
      <c r="D13" s="2">
        <f t="shared" si="0"/>
        <v>3.0007855969966346E-3</v>
      </c>
      <c r="E13" s="2">
        <f t="shared" si="1"/>
        <v>-2.2143455707338989E-2</v>
      </c>
      <c r="F13" s="2">
        <f t="shared" si="10"/>
        <v>-2.2139837552109447E-2</v>
      </c>
      <c r="G13" s="2" t="str">
        <f t="shared" si="11"/>
        <v xml:space="preserve"> </v>
      </c>
      <c r="H13" s="2" t="str">
        <f t="shared" si="12"/>
        <v xml:space="preserve"> </v>
      </c>
      <c r="I13" s="2" t="str">
        <f t="shared" si="13"/>
        <v xml:space="preserve"> </v>
      </c>
      <c r="J13" s="2">
        <f t="shared" si="14"/>
        <v>3.0007855969966346E-3</v>
      </c>
      <c r="K13" s="2">
        <f t="shared" si="15"/>
        <v>-2.2139837552109447E-2</v>
      </c>
      <c r="L13" s="2">
        <f t="shared" si="21"/>
        <v>0.86486601734367641</v>
      </c>
      <c r="M13" s="2">
        <f t="shared" si="16"/>
        <v>2.0238548212533951E-2</v>
      </c>
      <c r="O13" s="2">
        <f t="shared" si="17"/>
        <v>0.20268197819238526</v>
      </c>
      <c r="Q13" s="7">
        <f t="shared" si="2"/>
        <v>0.86448431371070567</v>
      </c>
      <c r="R13" s="7">
        <f t="shared" si="3"/>
        <v>0</v>
      </c>
      <c r="S13" s="7">
        <f t="shared" si="4"/>
        <v>0.86448431371070567</v>
      </c>
      <c r="T13" s="7">
        <f t="shared" si="5"/>
        <v>3.0007855969966346E-3</v>
      </c>
      <c r="U13" s="7">
        <f t="shared" si="6"/>
        <v>0.86486601734367641</v>
      </c>
      <c r="V13" s="7">
        <f t="shared" si="7"/>
        <v>2.0238548212533951E-2</v>
      </c>
      <c r="X13" s="7">
        <f t="shared" si="18"/>
        <v>-1</v>
      </c>
      <c r="Y13" s="7">
        <f t="shared" si="19"/>
        <v>-1</v>
      </c>
      <c r="AC13" s="13">
        <v>1.5079644737231004</v>
      </c>
      <c r="AD13" s="13">
        <f t="shared" si="8"/>
        <v>1.3587637477235504E-2</v>
      </c>
      <c r="AE13" s="13">
        <f t="shared" si="20"/>
        <v>-1</v>
      </c>
    </row>
    <row r="14" spans="1:31" x14ac:dyDescent="0.3">
      <c r="A14" s="3" cm="1">
        <f t="array" ref="A14">IF($A$20=$A$22, _xlfn.IFS(A2=2, 0.000764,A2=3, 0.00677,A2=4, 0.0303, A2=5, 0.1355), 0)</f>
        <v>0</v>
      </c>
      <c r="B14" s="2">
        <v>0.84227355296434436</v>
      </c>
      <c r="C14" s="2">
        <f t="shared" si="9"/>
        <v>1.9643560152366717E-2</v>
      </c>
      <c r="D14" s="2">
        <f t="shared" si="0"/>
        <v>3.4926085938099894E-3</v>
      </c>
      <c r="E14" s="2">
        <f t="shared" si="1"/>
        <v>-2.2143455707338989E-2</v>
      </c>
      <c r="F14" s="2">
        <f t="shared" si="10"/>
        <v>-2.2139837552109447E-2</v>
      </c>
      <c r="G14" s="2" t="str">
        <f t="shared" si="11"/>
        <v xml:space="preserve"> </v>
      </c>
      <c r="H14" s="2" t="str">
        <f t="shared" si="12"/>
        <v xml:space="preserve"> </v>
      </c>
      <c r="I14" s="2" t="str">
        <f t="shared" si="13"/>
        <v xml:space="preserve"> </v>
      </c>
      <c r="J14" s="2">
        <f t="shared" si="14"/>
        <v>3.4926085938099894E-3</v>
      </c>
      <c r="K14" s="2">
        <f t="shared" si="15"/>
        <v>-2.2139837552109447E-2</v>
      </c>
      <c r="L14" s="2">
        <f t="shared" si="21"/>
        <v>0.84270842266617629</v>
      </c>
      <c r="M14" s="2">
        <f t="shared" si="16"/>
        <v>2.3131354577249921E-2</v>
      </c>
      <c r="O14" s="2">
        <f t="shared" si="17"/>
        <v>0.20268197819238526</v>
      </c>
      <c r="Q14" s="7">
        <f t="shared" si="2"/>
        <v>0.84227355296434436</v>
      </c>
      <c r="R14" s="7">
        <f t="shared" si="3"/>
        <v>0</v>
      </c>
      <c r="S14" s="7">
        <f t="shared" si="4"/>
        <v>0.84227355296434436</v>
      </c>
      <c r="T14" s="7">
        <f t="shared" si="5"/>
        <v>3.4926085938099894E-3</v>
      </c>
      <c r="U14" s="7">
        <f t="shared" si="6"/>
        <v>0.84270842266617629</v>
      </c>
      <c r="V14" s="7">
        <f t="shared" si="7"/>
        <v>2.3131354577249921E-2</v>
      </c>
      <c r="X14" s="7">
        <f t="shared" si="18"/>
        <v>-1</v>
      </c>
      <c r="Y14" s="7">
        <f t="shared" si="19"/>
        <v>-1</v>
      </c>
      <c r="AC14" s="13">
        <v>1.6336281798666921</v>
      </c>
      <c r="AD14" s="13">
        <f t="shared" si="8"/>
        <v>1.1913312135253082E-2</v>
      </c>
      <c r="AE14" s="13">
        <f t="shared" si="20"/>
        <v>-1</v>
      </c>
    </row>
    <row r="15" spans="1:31" x14ac:dyDescent="0.3">
      <c r="A15" s="3">
        <v>0.3</v>
      </c>
      <c r="B15" s="2">
        <v>0.81871199487434487</v>
      </c>
      <c r="C15" s="2">
        <f t="shared" si="9"/>
        <v>2.2123984068381407E-2</v>
      </c>
      <c r="D15" s="2">
        <f t="shared" si="0"/>
        <v>4.014342911771788E-3</v>
      </c>
      <c r="E15" s="2">
        <f t="shared" si="1"/>
        <v>-2.2143455707338989E-2</v>
      </c>
      <c r="F15" s="2">
        <f t="shared" si="10"/>
        <v>-2.2139837552109447E-2</v>
      </c>
      <c r="G15" s="2" t="str">
        <f t="shared" si="11"/>
        <v xml:space="preserve"> </v>
      </c>
      <c r="H15" s="2" t="str">
        <f t="shared" si="12"/>
        <v xml:space="preserve"> </v>
      </c>
      <c r="I15" s="2" t="str">
        <f t="shared" si="13"/>
        <v xml:space="preserve"> </v>
      </c>
      <c r="J15" s="2">
        <f t="shared" si="14"/>
        <v>4.014342911771788E-3</v>
      </c>
      <c r="K15" s="2">
        <f t="shared" si="15"/>
        <v>-2.2139837552109447E-2</v>
      </c>
      <c r="L15" s="2">
        <f t="shared" si="21"/>
        <v>0.81920177627244817</v>
      </c>
      <c r="M15" s="2">
        <f t="shared" si="16"/>
        <v>2.6132904918377605E-2</v>
      </c>
      <c r="O15" s="2">
        <f t="shared" si="17"/>
        <v>0.20268197819238526</v>
      </c>
      <c r="Q15" s="7">
        <f t="shared" si="2"/>
        <v>0.81871199487434487</v>
      </c>
      <c r="R15" s="7">
        <f t="shared" si="3"/>
        <v>0</v>
      </c>
      <c r="S15" s="7">
        <f t="shared" si="4"/>
        <v>0.81871199487434487</v>
      </c>
      <c r="T15" s="7">
        <f t="shared" si="5"/>
        <v>4.014342911771788E-3</v>
      </c>
      <c r="U15" s="7">
        <f t="shared" si="6"/>
        <v>0.81920177627244817</v>
      </c>
      <c r="V15" s="7">
        <f t="shared" si="7"/>
        <v>2.6132904918377605E-2</v>
      </c>
      <c r="X15" s="7">
        <f t="shared" si="18"/>
        <v>-1</v>
      </c>
      <c r="Y15" s="7">
        <f t="shared" si="19"/>
        <v>-1</v>
      </c>
      <c r="AC15" s="13">
        <v>1.7592918860102837</v>
      </c>
      <c r="AD15" s="13">
        <f t="shared" si="8"/>
        <v>1.025218934868893E-2</v>
      </c>
      <c r="AE15" s="13">
        <f t="shared" si="20"/>
        <v>-1</v>
      </c>
    </row>
    <row r="16" spans="1:31" x14ac:dyDescent="0.3">
      <c r="B16" s="2">
        <v>0.79389262614623646</v>
      </c>
      <c r="C16" s="2">
        <f t="shared" si="9"/>
        <v>2.4663068440816765E-2</v>
      </c>
      <c r="D16" s="2">
        <f t="shared" si="0"/>
        <v>4.5639295038867713E-3</v>
      </c>
      <c r="E16" s="2">
        <f t="shared" si="1"/>
        <v>-2.2143455707338989E-2</v>
      </c>
      <c r="F16" s="2">
        <f t="shared" si="10"/>
        <v>-2.2139837552109447E-2</v>
      </c>
      <c r="G16" s="2" t="str">
        <f t="shared" si="11"/>
        <v xml:space="preserve"> </v>
      </c>
      <c r="H16" s="2" t="str">
        <f t="shared" si="12"/>
        <v xml:space="preserve"> </v>
      </c>
      <c r="I16" s="2" t="str">
        <f t="shared" si="13"/>
        <v xml:space="preserve"> </v>
      </c>
      <c r="J16" s="2">
        <f t="shared" si="14"/>
        <v>4.5639295038867713E-3</v>
      </c>
      <c r="K16" s="2">
        <f t="shared" si="15"/>
        <v>-2.2139837552109447E-2</v>
      </c>
      <c r="L16" s="2">
        <f t="shared" si="21"/>
        <v>0.79443861786748904</v>
      </c>
      <c r="M16" s="2">
        <f t="shared" si="16"/>
        <v>2.9220953613797836E-2</v>
      </c>
      <c r="O16" s="2">
        <f t="shared" si="17"/>
        <v>0.20268197819238526</v>
      </c>
      <c r="Q16" s="7">
        <f t="shared" si="2"/>
        <v>0.79389262614623646</v>
      </c>
      <c r="R16" s="7">
        <f t="shared" si="3"/>
        <v>0</v>
      </c>
      <c r="S16" s="7">
        <f t="shared" si="4"/>
        <v>0.79389262614623646</v>
      </c>
      <c r="T16" s="7">
        <f t="shared" si="5"/>
        <v>4.5639295038867713E-3</v>
      </c>
      <c r="U16" s="7">
        <f t="shared" si="6"/>
        <v>0.79443861786748904</v>
      </c>
      <c r="V16" s="7">
        <f t="shared" si="7"/>
        <v>2.9220953613797836E-2</v>
      </c>
      <c r="X16" s="7">
        <f t="shared" si="18"/>
        <v>-1</v>
      </c>
      <c r="Y16" s="7">
        <f t="shared" si="19"/>
        <v>-1</v>
      </c>
      <c r="AC16" s="13">
        <v>1.8849555921538754</v>
      </c>
      <c r="AD16" s="13">
        <f t="shared" si="8"/>
        <v>8.630466016193817E-3</v>
      </c>
      <c r="AE16" s="13">
        <f t="shared" si="20"/>
        <v>-1</v>
      </c>
    </row>
    <row r="17" spans="1:31" x14ac:dyDescent="0.3">
      <c r="A17" s="7">
        <f>RADIANS('naca_5-digit_plot'!$F$4)</f>
        <v>0</v>
      </c>
      <c r="B17" s="2">
        <v>0.76791339748949849</v>
      </c>
      <c r="C17" s="2">
        <f t="shared" si="9"/>
        <v>2.7240340463486924E-2</v>
      </c>
      <c r="D17" s="2">
        <f t="shared" si="0"/>
        <v>5.1391994029580798E-3</v>
      </c>
      <c r="E17" s="2">
        <f t="shared" si="1"/>
        <v>-2.2143455707338989E-2</v>
      </c>
      <c r="F17" s="2">
        <f t="shared" si="10"/>
        <v>-2.2139837552109447E-2</v>
      </c>
      <c r="G17" s="2" t="str">
        <f t="shared" si="11"/>
        <v xml:space="preserve"> </v>
      </c>
      <c r="H17" s="2" t="str">
        <f t="shared" si="12"/>
        <v xml:space="preserve"> </v>
      </c>
      <c r="I17" s="2" t="str">
        <f t="shared" si="13"/>
        <v xml:space="preserve"> </v>
      </c>
      <c r="J17" s="2">
        <f t="shared" si="14"/>
        <v>5.1391994029580798E-3</v>
      </c>
      <c r="K17" s="2">
        <f t="shared" si="15"/>
        <v>-2.2139837552109447E-2</v>
      </c>
      <c r="L17" s="2">
        <f t="shared" si="21"/>
        <v>0.76851644493320392</v>
      </c>
      <c r="M17" s="2">
        <f t="shared" si="16"/>
        <v>3.2372863907525279E-2</v>
      </c>
      <c r="O17" s="2">
        <f t="shared" si="17"/>
        <v>0.20268197819238526</v>
      </c>
      <c r="Q17" s="7">
        <f t="shared" si="2"/>
        <v>0.76791339748949849</v>
      </c>
      <c r="R17" s="7">
        <f t="shared" si="3"/>
        <v>0</v>
      </c>
      <c r="S17" s="7">
        <f t="shared" si="4"/>
        <v>0.76791339748949849</v>
      </c>
      <c r="T17" s="7">
        <f t="shared" si="5"/>
        <v>5.1391994029580798E-3</v>
      </c>
      <c r="U17" s="7">
        <f t="shared" si="6"/>
        <v>0.76851644493320392</v>
      </c>
      <c r="V17" s="7">
        <f t="shared" si="7"/>
        <v>3.2372863907525279E-2</v>
      </c>
      <c r="X17" s="7">
        <f t="shared" si="18"/>
        <v>-1</v>
      </c>
      <c r="Y17" s="7">
        <f t="shared" si="19"/>
        <v>-1</v>
      </c>
      <c r="AC17" s="13">
        <v>2.0106192982974673</v>
      </c>
      <c r="AD17" s="13">
        <f t="shared" si="8"/>
        <v>7.0737176834917547E-3</v>
      </c>
      <c r="AE17" s="13">
        <f t="shared" si="20"/>
        <v>-1</v>
      </c>
    </row>
    <row r="18" spans="1:31" x14ac:dyDescent="0.3">
      <c r="A18" s="3">
        <f>'naca_5-digit_plot'!$F$6</f>
        <v>1</v>
      </c>
      <c r="B18" s="2">
        <v>0.74087683705085772</v>
      </c>
      <c r="C18" s="2">
        <f t="shared" si="9"/>
        <v>2.9834982346979851E-2</v>
      </c>
      <c r="D18" s="2">
        <f t="shared" si="0"/>
        <v>5.7378822815099158E-3</v>
      </c>
      <c r="E18" s="2">
        <f t="shared" si="1"/>
        <v>-2.2143455707338989E-2</v>
      </c>
      <c r="F18" s="2">
        <f t="shared" si="10"/>
        <v>-2.2139837552109447E-2</v>
      </c>
      <c r="G18" s="2" t="str">
        <f t="shared" si="11"/>
        <v xml:space="preserve"> </v>
      </c>
      <c r="H18" s="2" t="str">
        <f t="shared" si="12"/>
        <v xml:space="preserve"> </v>
      </c>
      <c r="I18" s="2" t="str">
        <f t="shared" si="13"/>
        <v xml:space="preserve"> </v>
      </c>
      <c r="J18" s="2">
        <f t="shared" si="14"/>
        <v>5.7378822815099158E-3</v>
      </c>
      <c r="K18" s="2">
        <f t="shared" si="15"/>
        <v>-2.2139837552109447E-2</v>
      </c>
      <c r="L18" s="2">
        <f t="shared" si="21"/>
        <v>0.74153732475149636</v>
      </c>
      <c r="M18" s="2">
        <f t="shared" si="16"/>
        <v>3.5565552784616664E-2</v>
      </c>
      <c r="O18" s="2">
        <f t="shared" si="17"/>
        <v>0.20268197819238526</v>
      </c>
      <c r="Q18" s="7">
        <f t="shared" si="2"/>
        <v>0.74087683705085772</v>
      </c>
      <c r="R18" s="7">
        <f t="shared" si="3"/>
        <v>0</v>
      </c>
      <c r="S18" s="7">
        <f t="shared" si="4"/>
        <v>0.74087683705085772</v>
      </c>
      <c r="T18" s="7">
        <f t="shared" si="5"/>
        <v>5.7378822815099158E-3</v>
      </c>
      <c r="U18" s="7">
        <f t="shared" si="6"/>
        <v>0.74153732475149636</v>
      </c>
      <c r="V18" s="7">
        <f t="shared" si="7"/>
        <v>3.5565552784616664E-2</v>
      </c>
      <c r="X18" s="7">
        <f t="shared" si="18"/>
        <v>-1</v>
      </c>
      <c r="Y18" s="7">
        <f t="shared" si="19"/>
        <v>-1</v>
      </c>
      <c r="AC18" s="13">
        <v>2.1362830044410592</v>
      </c>
      <c r="AD18" s="13">
        <f t="shared" si="8"/>
        <v>5.6064952017458288E-3</v>
      </c>
      <c r="AE18" s="13">
        <f t="shared" si="20"/>
        <v>-1</v>
      </c>
    </row>
    <row r="19" spans="1:31" x14ac:dyDescent="0.3">
      <c r="B19" s="2">
        <v>0.71288964578253633</v>
      </c>
      <c r="C19" s="2">
        <f t="shared" si="9"/>
        <v>3.2425733446471559E-2</v>
      </c>
      <c r="D19" s="2">
        <f t="shared" si="0"/>
        <v>6.357615411732815E-3</v>
      </c>
      <c r="E19" s="2">
        <f t="shared" si="1"/>
        <v>-2.2143455707338989E-2</v>
      </c>
      <c r="F19" s="2">
        <f t="shared" si="10"/>
        <v>-2.2139837552109447E-2</v>
      </c>
      <c r="G19" s="2" t="str">
        <f t="shared" si="11"/>
        <v xml:space="preserve"> </v>
      </c>
      <c r="H19" s="2" t="str">
        <f t="shared" si="12"/>
        <v xml:space="preserve"> </v>
      </c>
      <c r="I19" s="2" t="str">
        <f t="shared" si="13"/>
        <v xml:space="preserve"> </v>
      </c>
      <c r="J19" s="2">
        <f t="shared" si="14"/>
        <v>6.357615411732815E-3</v>
      </c>
      <c r="K19" s="2">
        <f t="shared" si="15"/>
        <v>-2.2139837552109447E-2</v>
      </c>
      <c r="L19" s="2">
        <f t="shared" si="21"/>
        <v>0.7136074876058196</v>
      </c>
      <c r="M19" s="2">
        <f t="shared" si="16"/>
        <v>3.8775402082916424E-2</v>
      </c>
      <c r="O19" s="2">
        <f t="shared" si="17"/>
        <v>0.20268197819238526</v>
      </c>
      <c r="Q19" s="7">
        <f t="shared" si="2"/>
        <v>0.71288964578253633</v>
      </c>
      <c r="R19" s="7">
        <f t="shared" si="3"/>
        <v>0</v>
      </c>
      <c r="S19" s="7">
        <f t="shared" si="4"/>
        <v>0.71288964578253633</v>
      </c>
      <c r="T19" s="7">
        <f t="shared" si="5"/>
        <v>6.357615411732815E-3</v>
      </c>
      <c r="U19" s="7">
        <f t="shared" si="6"/>
        <v>0.7136074876058196</v>
      </c>
      <c r="V19" s="7">
        <f t="shared" si="7"/>
        <v>3.8775402082916424E-2</v>
      </c>
      <c r="X19" s="7">
        <f t="shared" si="18"/>
        <v>-1</v>
      </c>
      <c r="Y19" s="7">
        <f t="shared" si="19"/>
        <v>-1</v>
      </c>
      <c r="AC19" s="13">
        <v>2.2619467105846511</v>
      </c>
      <c r="AD19" s="13">
        <f t="shared" si="8"/>
        <v>4.2519375459694007E-3</v>
      </c>
      <c r="AE19" s="13">
        <f t="shared" si="20"/>
        <v>-1</v>
      </c>
    </row>
    <row r="20" spans="1:31" x14ac:dyDescent="0.3">
      <c r="A20" s="29" t="str">
        <f>IF(RIGHT(A24, 1)="0", A21, A22)</f>
        <v>Standard Camber</v>
      </c>
      <c r="B20" s="2">
        <v>0.68406227634233885</v>
      </c>
      <c r="C20" s="2">
        <f t="shared" si="9"/>
        <v>3.4990775836599729E-2</v>
      </c>
      <c r="D20" s="2">
        <f t="shared" si="0"/>
        <v>6.9959529900909248E-3</v>
      </c>
      <c r="E20" s="2">
        <f t="shared" si="1"/>
        <v>-2.2143455707338989E-2</v>
      </c>
      <c r="F20" s="2">
        <f t="shared" si="10"/>
        <v>-2.2139837552109447E-2</v>
      </c>
      <c r="G20" s="2" t="str">
        <f t="shared" si="11"/>
        <v xml:space="preserve"> </v>
      </c>
      <c r="H20" s="2" t="str">
        <f t="shared" si="12"/>
        <v xml:space="preserve"> </v>
      </c>
      <c r="I20" s="2" t="str">
        <f t="shared" si="13"/>
        <v xml:space="preserve"> </v>
      </c>
      <c r="J20" s="2">
        <f t="shared" si="14"/>
        <v>6.9959529900909248E-3</v>
      </c>
      <c r="K20" s="2">
        <f t="shared" si="15"/>
        <v>-2.2139837552109447E-2</v>
      </c>
      <c r="L20" s="2">
        <f t="shared" si="21"/>
        <v>0.68483690314811663</v>
      </c>
      <c r="M20" s="2">
        <f t="shared" si="16"/>
        <v>4.1978153420580457E-2</v>
      </c>
      <c r="O20" s="2">
        <f t="shared" si="17"/>
        <v>0.20268197819238526</v>
      </c>
      <c r="Q20" s="7">
        <f t="shared" si="2"/>
        <v>0.68406227634233885</v>
      </c>
      <c r="R20" s="7">
        <f t="shared" si="3"/>
        <v>0</v>
      </c>
      <c r="S20" s="7">
        <f t="shared" si="4"/>
        <v>0.68406227634233885</v>
      </c>
      <c r="T20" s="7">
        <f t="shared" si="5"/>
        <v>6.9959529900909248E-3</v>
      </c>
      <c r="U20" s="7">
        <f t="shared" si="6"/>
        <v>0.68483690314811663</v>
      </c>
      <c r="V20" s="7">
        <f t="shared" si="7"/>
        <v>4.1978153420580457E-2</v>
      </c>
      <c r="X20" s="7">
        <f t="shared" si="18"/>
        <v>-1</v>
      </c>
      <c r="Y20" s="7">
        <f t="shared" si="19"/>
        <v>-1</v>
      </c>
      <c r="AC20" s="13">
        <v>2.387610416728243</v>
      </c>
      <c r="AD20" s="13">
        <f t="shared" si="8"/>
        <v>3.0314068995675866E-3</v>
      </c>
      <c r="AE20" s="13">
        <f t="shared" si="20"/>
        <v>-1</v>
      </c>
    </row>
    <row r="21" spans="1:31" x14ac:dyDescent="0.3">
      <c r="A21" s="30" t="s">
        <v>29</v>
      </c>
      <c r="B21" s="2">
        <v>0.6545084971874735</v>
      </c>
      <c r="C21" s="2">
        <f t="shared" si="9"/>
        <v>3.7507623277431665E-2</v>
      </c>
      <c r="D21" s="2">
        <f t="shared" si="0"/>
        <v>7.6503757897911639E-3</v>
      </c>
      <c r="E21" s="2">
        <f t="shared" si="1"/>
        <v>-2.2143455707338989E-2</v>
      </c>
      <c r="F21" s="2">
        <f t="shared" si="10"/>
        <v>-2.2139837552109447E-2</v>
      </c>
      <c r="G21" s="2" t="str">
        <f t="shared" si="11"/>
        <v xml:space="preserve"> </v>
      </c>
      <c r="H21" s="2" t="str">
        <f t="shared" si="12"/>
        <v xml:space="preserve"> </v>
      </c>
      <c r="I21" s="2" t="str">
        <f t="shared" si="13"/>
        <v xml:space="preserve"> </v>
      </c>
      <c r="J21" s="2">
        <f t="shared" si="14"/>
        <v>7.6503757897911639E-3</v>
      </c>
      <c r="K21" s="2">
        <f t="shared" si="15"/>
        <v>-2.2139837552109447E-2</v>
      </c>
      <c r="L21" s="2">
        <f t="shared" si="21"/>
        <v>0.65533884203456672</v>
      </c>
      <c r="M21" s="2">
        <f t="shared" si="16"/>
        <v>4.514880684172505E-2</v>
      </c>
      <c r="Q21" s="7">
        <f t="shared" si="2"/>
        <v>0.6545084971874735</v>
      </c>
      <c r="R21" s="7">
        <f t="shared" si="3"/>
        <v>0</v>
      </c>
      <c r="S21" s="7">
        <f t="shared" si="4"/>
        <v>0.6545084971874735</v>
      </c>
      <c r="T21" s="7">
        <f t="shared" si="5"/>
        <v>7.6503757897911639E-3</v>
      </c>
      <c r="U21" s="7">
        <f t="shared" si="6"/>
        <v>0.65533884203456672</v>
      </c>
      <c r="V21" s="7">
        <f t="shared" si="7"/>
        <v>4.514880684172505E-2</v>
      </c>
      <c r="X21" s="7">
        <f t="shared" si="18"/>
        <v>-1</v>
      </c>
      <c r="Y21" s="7">
        <f t="shared" si="19"/>
        <v>-1</v>
      </c>
      <c r="AC21" s="13">
        <v>2.5132741228718349</v>
      </c>
      <c r="AD21" s="13">
        <f t="shared" si="8"/>
        <v>1.9641517599438096E-3</v>
      </c>
      <c r="AE21" s="13">
        <f t="shared" si="20"/>
        <v>-1</v>
      </c>
    </row>
    <row r="22" spans="1:31" x14ac:dyDescent="0.3">
      <c r="A22" s="30" t="s">
        <v>30</v>
      </c>
      <c r="B22" s="2">
        <v>0.62434494358242743</v>
      </c>
      <c r="C22" s="2">
        <f t="shared" si="9"/>
        <v>3.9953034438362137E-2</v>
      </c>
      <c r="D22" s="2">
        <f t="shared" si="0"/>
        <v>8.3183011030204465E-3</v>
      </c>
      <c r="E22" s="2">
        <f t="shared" si="1"/>
        <v>-2.2143455707338989E-2</v>
      </c>
      <c r="F22" s="2">
        <f t="shared" si="10"/>
        <v>-2.2139837552109447E-2</v>
      </c>
      <c r="G22" s="2" t="str">
        <f t="shared" si="11"/>
        <v xml:space="preserve"> </v>
      </c>
      <c r="H22" s="2" t="str">
        <f t="shared" si="12"/>
        <v xml:space="preserve"> </v>
      </c>
      <c r="I22" s="2" t="str">
        <f t="shared" si="13"/>
        <v xml:space="preserve"> </v>
      </c>
      <c r="J22" s="2">
        <f t="shared" si="14"/>
        <v>8.3183011030204465E-3</v>
      </c>
      <c r="K22" s="2">
        <f t="shared" si="15"/>
        <v>-2.2139837552109447E-2</v>
      </c>
      <c r="L22" s="2">
        <f t="shared" si="21"/>
        <v>0.62522942501240897</v>
      </c>
      <c r="M22" s="2">
        <f t="shared" si="16"/>
        <v>4.8261544003828698E-2</v>
      </c>
      <c r="Q22" s="7">
        <f t="shared" si="2"/>
        <v>0.62434494358242743</v>
      </c>
      <c r="R22" s="7">
        <f t="shared" si="3"/>
        <v>0</v>
      </c>
      <c r="S22" s="7">
        <f t="shared" si="4"/>
        <v>0.62434494358242743</v>
      </c>
      <c r="T22" s="7">
        <f t="shared" si="5"/>
        <v>8.3183011030204465E-3</v>
      </c>
      <c r="U22" s="7">
        <f t="shared" si="6"/>
        <v>0.62522942501240897</v>
      </c>
      <c r="V22" s="7">
        <f t="shared" si="7"/>
        <v>4.8261544003828698E-2</v>
      </c>
      <c r="X22" s="7">
        <f t="shared" si="18"/>
        <v>-1</v>
      </c>
      <c r="Y22" s="7">
        <f t="shared" si="19"/>
        <v>-1</v>
      </c>
      <c r="AC22" s="13">
        <v>2.6389378290154268</v>
      </c>
      <c r="AD22" s="13">
        <f t="shared" si="8"/>
        <v>1.067003378197256E-3</v>
      </c>
      <c r="AE22" s="13">
        <f t="shared" si="20"/>
        <v>-1</v>
      </c>
    </row>
    <row r="23" spans="1:31" x14ac:dyDescent="0.3">
      <c r="B23" s="2">
        <v>0.5936906572928623</v>
      </c>
      <c r="C23" s="2">
        <f t="shared" si="9"/>
        <v>4.2302970659236751E-2</v>
      </c>
      <c r="D23" s="2">
        <f t="shared" si="0"/>
        <v>8.9970929337135214E-3</v>
      </c>
      <c r="E23" s="2">
        <f t="shared" si="1"/>
        <v>-2.2143455707338989E-2</v>
      </c>
      <c r="F23" s="2">
        <f t="shared" si="10"/>
        <v>-2.2139837552109447E-2</v>
      </c>
      <c r="G23" s="2" t="str">
        <f t="shared" si="11"/>
        <v xml:space="preserve"> </v>
      </c>
      <c r="H23" s="2" t="str">
        <f t="shared" si="12"/>
        <v xml:space="preserve"> </v>
      </c>
      <c r="I23" s="2" t="str">
        <f t="shared" si="13"/>
        <v xml:space="preserve"> </v>
      </c>
      <c r="J23" s="2">
        <f t="shared" si="14"/>
        <v>8.9970929337135214E-3</v>
      </c>
      <c r="K23" s="2">
        <f t="shared" si="15"/>
        <v>-2.2139837552109447E-2</v>
      </c>
      <c r="L23" s="2">
        <f t="shared" si="21"/>
        <v>0.59462716167875251</v>
      </c>
      <c r="M23" s="2">
        <f t="shared" si="16"/>
        <v>5.1289696141975059E-2</v>
      </c>
      <c r="Q23" s="7">
        <f t="shared" si="2"/>
        <v>0.5936906572928623</v>
      </c>
      <c r="R23" s="7">
        <f t="shared" si="3"/>
        <v>0</v>
      </c>
      <c r="S23" s="7">
        <f t="shared" si="4"/>
        <v>0.5936906572928623</v>
      </c>
      <c r="T23" s="7">
        <f t="shared" si="5"/>
        <v>8.9970929337135214E-3</v>
      </c>
      <c r="U23" s="7">
        <f t="shared" si="6"/>
        <v>0.59462716167875251</v>
      </c>
      <c r="V23" s="7">
        <f t="shared" si="7"/>
        <v>5.1289696141975059E-2</v>
      </c>
      <c r="X23" s="7">
        <f t="shared" si="18"/>
        <v>-1</v>
      </c>
      <c r="Y23" s="7">
        <f t="shared" si="19"/>
        <v>-1</v>
      </c>
      <c r="AC23" s="13">
        <v>2.7646015351590187</v>
      </c>
      <c r="AD23" s="13">
        <f t="shared" si="8"/>
        <v>3.5411032023853126E-4</v>
      </c>
      <c r="AE23" s="13">
        <f t="shared" si="20"/>
        <v>-1</v>
      </c>
    </row>
    <row r="24" spans="1:31" x14ac:dyDescent="0.3">
      <c r="A24" s="29">
        <f>'naca_5-digit_plot'!F2</f>
        <v>230</v>
      </c>
      <c r="B24" s="2">
        <v>0.56266661678215213</v>
      </c>
      <c r="C24" s="2">
        <f t="shared" si="9"/>
        <v>4.4532616421232227E-2</v>
      </c>
      <c r="D24" s="2">
        <f t="shared" si="0"/>
        <v>9.6840724006251218E-3</v>
      </c>
      <c r="E24" s="2">
        <f t="shared" si="1"/>
        <v>-2.2143455707338989E-2</v>
      </c>
      <c r="F24" s="2">
        <f t="shared" si="10"/>
        <v>-2.2139837552109447E-2</v>
      </c>
      <c r="G24" s="2" t="str">
        <f t="shared" si="11"/>
        <v xml:space="preserve"> </v>
      </c>
      <c r="H24" s="2" t="str">
        <f t="shared" si="12"/>
        <v xml:space="preserve"> </v>
      </c>
      <c r="I24" s="2" t="str">
        <f t="shared" si="13"/>
        <v xml:space="preserve"> </v>
      </c>
      <c r="J24" s="2">
        <f t="shared" si="14"/>
        <v>9.6840724006251218E-3</v>
      </c>
      <c r="K24" s="2">
        <f t="shared" si="15"/>
        <v>-2.2139837552109447E-2</v>
      </c>
      <c r="L24" s="2">
        <f t="shared" si="21"/>
        <v>0.56365248113029909</v>
      </c>
      <c r="M24" s="2">
        <f t="shared" si="16"/>
        <v>5.4205774937788442E-2</v>
      </c>
      <c r="Q24" s="7">
        <f t="shared" si="2"/>
        <v>0.56266661678215213</v>
      </c>
      <c r="R24" s="7">
        <f t="shared" si="3"/>
        <v>0</v>
      </c>
      <c r="S24" s="7">
        <f t="shared" si="4"/>
        <v>0.56266661678215213</v>
      </c>
      <c r="T24" s="7">
        <f t="shared" si="5"/>
        <v>9.6840724006251218E-3</v>
      </c>
      <c r="U24" s="7">
        <f t="shared" si="6"/>
        <v>0.56365248113029909</v>
      </c>
      <c r="V24" s="7">
        <f t="shared" si="7"/>
        <v>5.4205774937788442E-2</v>
      </c>
      <c r="X24" s="7">
        <f t="shared" si="18"/>
        <v>-1</v>
      </c>
      <c r="Y24" s="7">
        <f t="shared" si="19"/>
        <v>-1</v>
      </c>
      <c r="AC24" s="13">
        <v>2.8902652413026106</v>
      </c>
      <c r="AD24" s="13">
        <f t="shared" si="8"/>
        <v>-1.6328466454668177E-4</v>
      </c>
      <c r="AE24" s="13">
        <f t="shared" si="20"/>
        <v>-1</v>
      </c>
    </row>
    <row r="25" spans="1:31" x14ac:dyDescent="0.3">
      <c r="A25" s="30">
        <v>210</v>
      </c>
      <c r="B25" s="2">
        <v>0.53139525976465674</v>
      </c>
      <c r="C25" s="2">
        <f t="shared" si="9"/>
        <v>4.6616477166405303E-2</v>
      </c>
      <c r="D25" s="2">
        <f t="shared" si="0"/>
        <v>1.0376528309650416E-2</v>
      </c>
      <c r="E25" s="2">
        <f t="shared" si="1"/>
        <v>-2.2143455707338989E-2</v>
      </c>
      <c r="F25" s="2">
        <f t="shared" si="10"/>
        <v>-2.2139837552109447E-2</v>
      </c>
      <c r="G25" s="2" t="str">
        <f t="shared" si="11"/>
        <v xml:space="preserve"> </v>
      </c>
      <c r="H25" s="2" t="str">
        <f t="shared" si="12"/>
        <v xml:space="preserve"> </v>
      </c>
      <c r="I25" s="2" t="str">
        <f t="shared" si="13"/>
        <v xml:space="preserve"> </v>
      </c>
      <c r="J25" s="2">
        <f t="shared" si="14"/>
        <v>1.0376528309650416E-2</v>
      </c>
      <c r="K25" s="2">
        <f t="shared" si="15"/>
        <v>-2.2139837552109447E-2</v>
      </c>
      <c r="L25" s="2">
        <f t="shared" si="21"/>
        <v>0.53242725668214874</v>
      </c>
      <c r="M25" s="2">
        <f t="shared" si="16"/>
        <v>5.698158088732995E-2</v>
      </c>
      <c r="Q25" s="7">
        <f t="shared" si="2"/>
        <v>0.53139525976465674</v>
      </c>
      <c r="R25" s="7">
        <f t="shared" si="3"/>
        <v>0</v>
      </c>
      <c r="S25" s="7">
        <f t="shared" si="4"/>
        <v>0.53139525976465674</v>
      </c>
      <c r="T25" s="7">
        <f t="shared" si="5"/>
        <v>1.0376528309650416E-2</v>
      </c>
      <c r="U25" s="7">
        <f t="shared" si="6"/>
        <v>0.53242725668214874</v>
      </c>
      <c r="V25" s="7">
        <f t="shared" si="7"/>
        <v>5.698158088732995E-2</v>
      </c>
      <c r="X25" s="7">
        <f t="shared" si="18"/>
        <v>-1</v>
      </c>
      <c r="Y25" s="7">
        <f t="shared" si="19"/>
        <v>-1</v>
      </c>
      <c r="AC25" s="13">
        <v>3.0159289474462025</v>
      </c>
      <c r="AD25" s="13">
        <f t="shared" si="8"/>
        <v>-4.7702194817154085E-4</v>
      </c>
      <c r="AE25" s="13">
        <f t="shared" si="20"/>
        <v>-1</v>
      </c>
    </row>
    <row r="26" spans="1:31" x14ac:dyDescent="0.3">
      <c r="A26" s="30">
        <v>220</v>
      </c>
      <c r="B26" s="2">
        <v>0.49999999999999994</v>
      </c>
      <c r="C26" s="2">
        <f t="shared" si="9"/>
        <v>4.8528564333857285E-2</v>
      </c>
      <c r="D26" s="2">
        <f t="shared" si="0"/>
        <v>1.1071727853669494E-2</v>
      </c>
      <c r="E26" s="2">
        <f t="shared" si="1"/>
        <v>-2.2143455707338989E-2</v>
      </c>
      <c r="F26" s="2">
        <f t="shared" si="10"/>
        <v>-2.2139837552109447E-2</v>
      </c>
      <c r="G26" s="2" t="str">
        <f t="shared" si="11"/>
        <v xml:space="preserve"> </v>
      </c>
      <c r="H26" s="2" t="str">
        <f t="shared" si="12"/>
        <v xml:space="preserve"> </v>
      </c>
      <c r="I26" s="2" t="str">
        <f t="shared" si="13"/>
        <v xml:space="preserve"> </v>
      </c>
      <c r="J26" s="2">
        <f t="shared" si="14"/>
        <v>1.1071727853669494E-2</v>
      </c>
      <c r="K26" s="2">
        <f t="shared" si="15"/>
        <v>-2.2139837552109447E-2</v>
      </c>
      <c r="L26" s="2">
        <f t="shared" si="21"/>
        <v>0.50107432675841379</v>
      </c>
      <c r="M26" s="2">
        <f t="shared" si="16"/>
        <v>5.958839899175853E-2</v>
      </c>
      <c r="Q26" s="7">
        <f t="shared" si="2"/>
        <v>0.49999999999999994</v>
      </c>
      <c r="R26" s="7">
        <f t="shared" si="3"/>
        <v>0</v>
      </c>
      <c r="S26" s="7">
        <f t="shared" si="4"/>
        <v>0.49999999999999994</v>
      </c>
      <c r="T26" s="7">
        <f t="shared" si="5"/>
        <v>1.1071727853669494E-2</v>
      </c>
      <c r="U26" s="7">
        <f t="shared" si="6"/>
        <v>0.50107432675841379</v>
      </c>
      <c r="V26" s="7">
        <f t="shared" si="7"/>
        <v>5.958839899175853E-2</v>
      </c>
      <c r="X26" s="7">
        <f t="shared" si="18"/>
        <v>-1</v>
      </c>
      <c r="Y26" s="7">
        <f t="shared" si="19"/>
        <v>-1</v>
      </c>
      <c r="AC26" s="13">
        <v>3.1415926535897944</v>
      </c>
      <c r="AD26" s="13">
        <f t="shared" si="8"/>
        <v>-5.8215370625571035E-4</v>
      </c>
      <c r="AE26" s="13">
        <f t="shared" si="20"/>
        <v>-1</v>
      </c>
    </row>
    <row r="27" spans="1:31" x14ac:dyDescent="0.3">
      <c r="A27" s="30">
        <v>230</v>
      </c>
      <c r="B27" s="2">
        <v>0.46860474023534326</v>
      </c>
      <c r="C27" s="2">
        <f t="shared" si="9"/>
        <v>5.0242671748387341E-2</v>
      </c>
      <c r="D27" s="2">
        <f t="shared" si="0"/>
        <v>1.1766927397688573E-2</v>
      </c>
      <c r="E27" s="2">
        <f t="shared" si="1"/>
        <v>-2.2143455707338989E-2</v>
      </c>
      <c r="F27" s="2">
        <f t="shared" si="10"/>
        <v>-2.2139837552109447E-2</v>
      </c>
      <c r="G27" s="2" t="str">
        <f t="shared" si="11"/>
        <v xml:space="preserve"> </v>
      </c>
      <c r="H27" s="2" t="str">
        <f t="shared" si="12"/>
        <v xml:space="preserve"> </v>
      </c>
      <c r="I27" s="2" t="str">
        <f t="shared" si="13"/>
        <v xml:space="preserve"> </v>
      </c>
      <c r="J27" s="2">
        <f t="shared" si="14"/>
        <v>1.1766927397688573E-2</v>
      </c>
      <c r="K27" s="2">
        <f t="shared" si="15"/>
        <v>-2.2139837552109447E-2</v>
      </c>
      <c r="L27" s="2">
        <f t="shared" si="21"/>
        <v>0.46971701395319226</v>
      </c>
      <c r="M27" s="2">
        <f t="shared" si="16"/>
        <v>6.1997285863389193E-2</v>
      </c>
      <c r="Q27" s="7">
        <f t="shared" si="2"/>
        <v>0.46860474023534326</v>
      </c>
      <c r="R27" s="7">
        <f t="shared" si="3"/>
        <v>0</v>
      </c>
      <c r="S27" s="7">
        <f t="shared" si="4"/>
        <v>0.46860474023534326</v>
      </c>
      <c r="T27" s="7">
        <f t="shared" si="5"/>
        <v>1.1766927397688573E-2</v>
      </c>
      <c r="U27" s="7">
        <f t="shared" si="6"/>
        <v>0.46971701395319226</v>
      </c>
      <c r="V27" s="7">
        <f t="shared" si="7"/>
        <v>6.1997285863389193E-2</v>
      </c>
      <c r="X27" s="7">
        <f t="shared" si="18"/>
        <v>-1</v>
      </c>
      <c r="Y27" s="7">
        <f t="shared" si="19"/>
        <v>-1</v>
      </c>
      <c r="AC27" s="13">
        <v>3.2672563597333864</v>
      </c>
      <c r="AD27" s="13">
        <f t="shared" si="8"/>
        <v>-4.770219481715364E-4</v>
      </c>
      <c r="AE27" s="13">
        <f t="shared" si="20"/>
        <v>-1</v>
      </c>
    </row>
    <row r="28" spans="1:31" x14ac:dyDescent="0.3">
      <c r="A28" s="30">
        <v>240</v>
      </c>
      <c r="B28" s="2">
        <v>0.43733338321784776</v>
      </c>
      <c r="C28" s="2">
        <f t="shared" si="9"/>
        <v>5.1732741151076088E-2</v>
      </c>
      <c r="D28" s="2">
        <f t="shared" si="0"/>
        <v>1.2459383306713869E-2</v>
      </c>
      <c r="E28" s="2">
        <f t="shared" si="1"/>
        <v>-2.2143455707338989E-2</v>
      </c>
      <c r="F28" s="2">
        <f t="shared" si="10"/>
        <v>-2.2139837552109447E-2</v>
      </c>
      <c r="G28" s="2" t="str">
        <f>IF($A$20=$A$22,  IF(B28&lt;$A$12, ($A$13/6)*((B28-$A$12)^3-$A$14*((1-$A$12)^3)*B28-($A$12^3)*B28+$A$12^3), ($A$13/6)*($A$14*(B28-$A$12)^3-$A$14*((1-$A$12)^3)*B28-($A$12^3)*B28+$A$12^3)), " ")</f>
        <v xml:space="preserve"> </v>
      </c>
      <c r="H28" s="2" t="str">
        <f t="shared" si="12"/>
        <v xml:space="preserve"> </v>
      </c>
      <c r="I28" s="2" t="str">
        <f t="shared" si="13"/>
        <v xml:space="preserve"> </v>
      </c>
      <c r="J28" s="2">
        <f t="shared" si="14"/>
        <v>1.2459383306713869E-2</v>
      </c>
      <c r="K28" s="2">
        <f t="shared" si="15"/>
        <v>-2.2139837552109447E-2</v>
      </c>
      <c r="L28" s="2">
        <f t="shared" si="21"/>
        <v>0.43847864413515703</v>
      </c>
      <c r="M28" s="2">
        <f t="shared" si="16"/>
        <v>6.4179445994567652E-2</v>
      </c>
      <c r="Q28" s="7">
        <f t="shared" si="2"/>
        <v>0.43733338321784776</v>
      </c>
      <c r="R28" s="7">
        <f t="shared" si="3"/>
        <v>0</v>
      </c>
      <c r="S28" s="7">
        <f t="shared" si="4"/>
        <v>0.43733338321784776</v>
      </c>
      <c r="T28" s="7">
        <f t="shared" si="5"/>
        <v>1.2459383306713869E-2</v>
      </c>
      <c r="U28" s="7">
        <f t="shared" si="6"/>
        <v>0.43847864413515703</v>
      </c>
      <c r="V28" s="7">
        <f t="shared" si="7"/>
        <v>6.4179445994567652E-2</v>
      </c>
      <c r="X28" s="7">
        <f t="shared" si="18"/>
        <v>-1</v>
      </c>
      <c r="Y28" s="7">
        <f t="shared" si="19"/>
        <v>-1</v>
      </c>
      <c r="AC28" s="13">
        <v>3.3929200658769783</v>
      </c>
      <c r="AD28" s="13">
        <f t="shared" si="8"/>
        <v>-1.6328466454667437E-4</v>
      </c>
      <c r="AE28" s="13">
        <f t="shared" si="20"/>
        <v>-1</v>
      </c>
    </row>
    <row r="29" spans="1:31" x14ac:dyDescent="0.3">
      <c r="A29" s="30">
        <v>250</v>
      </c>
      <c r="B29" s="2">
        <v>0.40630934270713764</v>
      </c>
      <c r="C29" s="2">
        <f t="shared" si="9"/>
        <v>5.2973308096805088E-2</v>
      </c>
      <c r="D29" s="2">
        <f t="shared" si="0"/>
        <v>1.3146362773625469E-2</v>
      </c>
      <c r="E29" s="2">
        <f t="shared" si="1"/>
        <v>-2.2143455707338989E-2</v>
      </c>
      <c r="F29" s="2">
        <f t="shared" si="10"/>
        <v>-2.2139837552109447E-2</v>
      </c>
      <c r="G29" s="2" t="str">
        <f t="shared" si="11"/>
        <v xml:space="preserve"> </v>
      </c>
      <c r="H29" s="2" t="str">
        <f t="shared" si="12"/>
        <v xml:space="preserve"> </v>
      </c>
      <c r="I29" s="2" t="str">
        <f t="shared" si="13"/>
        <v xml:space="preserve"> </v>
      </c>
      <c r="J29" s="2">
        <f t="shared" si="14"/>
        <v>1.3146362773625469E-2</v>
      </c>
      <c r="K29" s="2">
        <f t="shared" si="15"/>
        <v>-2.2139837552109447E-2</v>
      </c>
      <c r="L29" s="2">
        <f t="shared" si="21"/>
        <v>0.40748206733131104</v>
      </c>
      <c r="M29" s="2">
        <f t="shared" si="16"/>
        <v>6.6106688373784805E-2</v>
      </c>
      <c r="O29" s="11"/>
      <c r="Q29" s="7">
        <f t="shared" si="2"/>
        <v>0.40630934270713764</v>
      </c>
      <c r="R29" s="7">
        <f t="shared" si="3"/>
        <v>0</v>
      </c>
      <c r="S29" s="7">
        <f t="shared" si="4"/>
        <v>0.40630934270713764</v>
      </c>
      <c r="T29" s="7">
        <f t="shared" si="5"/>
        <v>1.3146362773625469E-2</v>
      </c>
      <c r="U29" s="7">
        <f t="shared" si="6"/>
        <v>0.40748206733131104</v>
      </c>
      <c r="V29" s="7">
        <f t="shared" si="7"/>
        <v>6.6106688373784805E-2</v>
      </c>
      <c r="X29" s="7">
        <f t="shared" si="18"/>
        <v>-1</v>
      </c>
      <c r="Y29" s="7">
        <f t="shared" si="19"/>
        <v>-1</v>
      </c>
      <c r="AC29" s="13">
        <v>3.5185837720205702</v>
      </c>
      <c r="AD29" s="13">
        <f t="shared" si="8"/>
        <v>3.5411032023854308E-4</v>
      </c>
      <c r="AE29" s="13">
        <f t="shared" si="20"/>
        <v>-1</v>
      </c>
    </row>
    <row r="30" spans="1:31" x14ac:dyDescent="0.3">
      <c r="A30" s="30">
        <v>221</v>
      </c>
      <c r="B30" s="2">
        <v>0.37565505641757263</v>
      </c>
      <c r="C30" s="2">
        <f t="shared" si="9"/>
        <v>5.3940013082782248E-2</v>
      </c>
      <c r="D30" s="2">
        <f t="shared" si="0"/>
        <v>1.3825154604318539E-2</v>
      </c>
      <c r="E30" s="2">
        <f t="shared" si="1"/>
        <v>-2.2143455707338989E-2</v>
      </c>
      <c r="F30" s="2">
        <f t="shared" si="10"/>
        <v>-2.2139837552109447E-2</v>
      </c>
      <c r="G30" s="2" t="str">
        <f t="shared" si="11"/>
        <v xml:space="preserve"> </v>
      </c>
      <c r="H30" s="2" t="str">
        <f t="shared" si="12"/>
        <v xml:space="preserve"> </v>
      </c>
      <c r="I30" s="2" t="str">
        <f t="shared" si="13"/>
        <v xml:space="preserve"> </v>
      </c>
      <c r="J30" s="2">
        <f t="shared" si="14"/>
        <v>1.3825154604318539E-2</v>
      </c>
      <c r="K30" s="2">
        <f t="shared" si="15"/>
        <v>-2.2139837552109447E-2</v>
      </c>
      <c r="L30" s="2">
        <f t="shared" si="21"/>
        <v>0.37684918198463774</v>
      </c>
      <c r="M30" s="2">
        <f t="shared" si="16"/>
        <v>6.7751948274077933E-2</v>
      </c>
      <c r="O30" s="11"/>
      <c r="Q30" s="7">
        <f t="shared" si="2"/>
        <v>0.37565505641757263</v>
      </c>
      <c r="R30" s="7">
        <f t="shared" si="3"/>
        <v>0</v>
      </c>
      <c r="S30" s="7">
        <f t="shared" si="4"/>
        <v>0.37565505641757263</v>
      </c>
      <c r="T30" s="7">
        <f t="shared" si="5"/>
        <v>1.3825154604318539E-2</v>
      </c>
      <c r="U30" s="7">
        <f t="shared" si="6"/>
        <v>0.37684918198463774</v>
      </c>
      <c r="V30" s="7">
        <f t="shared" si="7"/>
        <v>6.7751948274077933E-2</v>
      </c>
      <c r="X30" s="7">
        <f t="shared" si="18"/>
        <v>-1</v>
      </c>
      <c r="Y30" s="7">
        <f t="shared" si="19"/>
        <v>-1</v>
      </c>
      <c r="AC30" s="13">
        <v>3.6442474781641621</v>
      </c>
      <c r="AD30" s="13">
        <f t="shared" si="8"/>
        <v>1.0670033781972708E-3</v>
      </c>
      <c r="AE30" s="13">
        <f t="shared" si="20"/>
        <v>-1</v>
      </c>
    </row>
    <row r="31" spans="1:31" x14ac:dyDescent="0.3">
      <c r="A31" s="30">
        <v>231</v>
      </c>
      <c r="B31" s="2">
        <v>0.34549150281252627</v>
      </c>
      <c r="C31" s="2">
        <f t="shared" si="9"/>
        <v>5.4610157034962449E-2</v>
      </c>
      <c r="D31" s="2">
        <f t="shared" si="0"/>
        <v>1.449307991754783E-2</v>
      </c>
      <c r="E31" s="2">
        <f t="shared" si="1"/>
        <v>-2.2143455707338989E-2</v>
      </c>
      <c r="F31" s="2">
        <f t="shared" si="10"/>
        <v>-2.2139837552109447E-2</v>
      </c>
      <c r="G31" s="2" t="str">
        <f t="shared" si="11"/>
        <v xml:space="preserve"> </v>
      </c>
      <c r="H31" s="2" t="str">
        <f t="shared" si="12"/>
        <v xml:space="preserve"> </v>
      </c>
      <c r="I31" s="2" t="str">
        <f t="shared" si="13"/>
        <v xml:space="preserve"> </v>
      </c>
      <c r="J31" s="2">
        <f t="shared" si="14"/>
        <v>1.449307991754783E-2</v>
      </c>
      <c r="K31" s="2">
        <f t="shared" si="15"/>
        <v>-2.2139837552109447E-2</v>
      </c>
      <c r="L31" s="2">
        <f t="shared" si="21"/>
        <v>0.34670046404575416</v>
      </c>
      <c r="M31" s="2">
        <f t="shared" si="16"/>
        <v>6.9089853303159282E-2</v>
      </c>
      <c r="O31" s="11"/>
      <c r="Q31" s="7">
        <f t="shared" si="2"/>
        <v>0.34549150281252627</v>
      </c>
      <c r="R31" s="7">
        <f t="shared" si="3"/>
        <v>0</v>
      </c>
      <c r="S31" s="7">
        <f t="shared" si="4"/>
        <v>0.34549150281252627</v>
      </c>
      <c r="T31" s="7">
        <f t="shared" si="5"/>
        <v>1.449307991754783E-2</v>
      </c>
      <c r="U31" s="7">
        <f t="shared" si="6"/>
        <v>0.34670046404575416</v>
      </c>
      <c r="V31" s="7">
        <f t="shared" si="7"/>
        <v>6.9089853303159282E-2</v>
      </c>
      <c r="X31" s="7">
        <f t="shared" si="18"/>
        <v>-1</v>
      </c>
      <c r="Y31" s="7">
        <f t="shared" si="19"/>
        <v>-1</v>
      </c>
      <c r="AC31" s="13">
        <v>3.769911184307754</v>
      </c>
      <c r="AD31" s="13">
        <f t="shared" si="8"/>
        <v>1.9641517599438291E-3</v>
      </c>
      <c r="AE31" s="13">
        <f t="shared" si="20"/>
        <v>-1</v>
      </c>
    </row>
    <row r="32" spans="1:31" x14ac:dyDescent="0.3">
      <c r="A32" s="30">
        <v>241</v>
      </c>
      <c r="B32" s="2">
        <v>0.31593772365766093</v>
      </c>
      <c r="C32" s="2">
        <f t="shared" si="9"/>
        <v>5.496327555811209E-2</v>
      </c>
      <c r="D32" s="2">
        <f t="shared" si="0"/>
        <v>1.5147502717248068E-2</v>
      </c>
      <c r="E32" s="2">
        <f t="shared" si="1"/>
        <v>-2.2143455707338989E-2</v>
      </c>
      <c r="F32" s="2">
        <f t="shared" si="10"/>
        <v>-2.2139837552109447E-2</v>
      </c>
      <c r="G32" s="2" t="str">
        <f t="shared" si="11"/>
        <v xml:space="preserve"> </v>
      </c>
      <c r="H32" s="2" t="str">
        <f t="shared" si="12"/>
        <v xml:space="preserve"> </v>
      </c>
      <c r="I32" s="2" t="str">
        <f t="shared" si="13"/>
        <v xml:space="preserve"> </v>
      </c>
      <c r="J32" s="2">
        <f t="shared" si="14"/>
        <v>1.5147502717248068E-2</v>
      </c>
      <c r="K32" s="2">
        <f t="shared" si="15"/>
        <v>-2.2139837552109447E-2</v>
      </c>
      <c r="L32" s="2">
        <f t="shared" si="21"/>
        <v>0.31715450223895009</v>
      </c>
      <c r="M32" s="2">
        <f t="shared" si="16"/>
        <v>7.0097308085066048E-2</v>
      </c>
      <c r="O32" s="11"/>
      <c r="Q32" s="7">
        <f t="shared" si="2"/>
        <v>0.31593772365766093</v>
      </c>
      <c r="R32" s="7">
        <f t="shared" si="3"/>
        <v>0</v>
      </c>
      <c r="S32" s="7">
        <f t="shared" si="4"/>
        <v>0.31593772365766093</v>
      </c>
      <c r="T32" s="7">
        <f t="shared" si="5"/>
        <v>1.5147502717248068E-2</v>
      </c>
      <c r="U32" s="7">
        <f t="shared" si="6"/>
        <v>0.31715450223895009</v>
      </c>
      <c r="V32" s="7">
        <f t="shared" si="7"/>
        <v>7.0097308085066048E-2</v>
      </c>
      <c r="X32" s="7">
        <f t="shared" si="18"/>
        <v>-1</v>
      </c>
      <c r="Y32" s="7">
        <f t="shared" si="19"/>
        <v>-1</v>
      </c>
      <c r="AC32" s="13">
        <v>3.8955748904513459</v>
      </c>
      <c r="AD32" s="13">
        <f t="shared" si="8"/>
        <v>3.0314068995676087E-3</v>
      </c>
      <c r="AE32" s="13">
        <f t="shared" si="20"/>
        <v>-1</v>
      </c>
    </row>
    <row r="33" spans="1:31" x14ac:dyDescent="0.3">
      <c r="A33" s="30">
        <v>251</v>
      </c>
      <c r="B33" s="2">
        <v>0.28711035421746367</v>
      </c>
      <c r="C33" s="2">
        <f t="shared" si="9"/>
        <v>5.4981702989088638E-2</v>
      </c>
      <c r="D33" s="2">
        <f t="shared" ref="D33:D64" si="22">IF($A$20=$A$21, IF(B33&lt;$A$9, ($A$10/6)*((B33^3)-3*$A$9*(B33^2)+($A$9^2)*(3-$A$9)*B33), (($A$10*($A$9^3))/6)*(1-B33)), " ")</f>
        <v>1.5785840295606174E-2</v>
      </c>
      <c r="E33" s="2">
        <f t="shared" ref="E33:E64" si="23">IF($A$20=$A$21,IF(B33&lt;$A$9, ($A$10/6)*(3*(B33^2)-6*$A$9*B33+($A$9^2)*(3-$A$9)), -($A$10*($A$9^3))/6), " ")</f>
        <v>-2.2143455707338989E-2</v>
      </c>
      <c r="F33" s="2">
        <f t="shared" si="10"/>
        <v>-2.2139837552109447E-2</v>
      </c>
      <c r="G33" s="2" t="str">
        <f t="shared" si="11"/>
        <v xml:space="preserve"> </v>
      </c>
      <c r="H33" s="2" t="str">
        <f t="shared" si="12"/>
        <v xml:space="preserve"> </v>
      </c>
      <c r="I33" s="2" t="str">
        <f t="shared" si="13"/>
        <v xml:space="preserve"> </v>
      </c>
      <c r="J33" s="2">
        <f t="shared" si="14"/>
        <v>1.5785840295606174E-2</v>
      </c>
      <c r="K33" s="2">
        <f t="shared" si="15"/>
        <v>-2.2139837552109447E-2</v>
      </c>
      <c r="L33" s="2">
        <f t="shared" si="21"/>
        <v>0.28832754074575184</v>
      </c>
      <c r="M33" s="2">
        <f t="shared" si="16"/>
        <v>7.0754068578276083E-2</v>
      </c>
      <c r="O33" s="11"/>
      <c r="Q33" s="7">
        <f t="shared" ref="Q33:Q51" si="24">B33*COS($A$17)</f>
        <v>0.28711035421746367</v>
      </c>
      <c r="R33" s="7">
        <f t="shared" ref="R33:R51" si="25">-B33*SIN($A$17)</f>
        <v>0</v>
      </c>
      <c r="S33" s="7">
        <f t="shared" ref="S33:S51" si="26">B33*COS($A$17)+J33*SIN($A$17)</f>
        <v>0.28711035421746367</v>
      </c>
      <c r="T33" s="7">
        <f t="shared" ref="T33:T51" si="27">-B33*SIN($A$17)+J33*COS($A$17)</f>
        <v>1.5785840295606174E-2</v>
      </c>
      <c r="U33" s="7">
        <f t="shared" ref="U33:U65" si="28">L33*COS($A$17)+M33*SIN($A$17)</f>
        <v>0.28832754074575184</v>
      </c>
      <c r="V33" s="7">
        <f t="shared" ref="V33:V65" si="29">-L33*SIN($A$17)+M33*COS($A$17)</f>
        <v>7.0754068578276083E-2</v>
      </c>
      <c r="X33" s="7">
        <f t="shared" si="18"/>
        <v>-1</v>
      </c>
      <c r="Y33" s="7">
        <f t="shared" si="19"/>
        <v>-1</v>
      </c>
      <c r="AC33" s="13">
        <v>4.0212385965949373</v>
      </c>
      <c r="AD33" s="13">
        <f t="shared" ref="AD33:AD51" si="30">$AB$2*(COS($AB$1)+COS(AC33))</f>
        <v>4.2519375459694215E-3</v>
      </c>
      <c r="AE33" s="13">
        <f t="shared" si="20"/>
        <v>-1</v>
      </c>
    </row>
    <row r="34" spans="1:31" x14ac:dyDescent="0.3">
      <c r="B34" s="2">
        <v>0.25912316294914239</v>
      </c>
      <c r="C34" s="2">
        <f t="shared" si="9"/>
        <v>5.4651095544875433E-2</v>
      </c>
      <c r="D34" s="2">
        <f t="shared" si="22"/>
        <v>1.640557342582907E-2</v>
      </c>
      <c r="E34" s="2">
        <f t="shared" si="23"/>
        <v>-2.2143455707338989E-2</v>
      </c>
      <c r="F34" s="2">
        <f t="shared" si="10"/>
        <v>-2.2139837552109447E-2</v>
      </c>
      <c r="G34" s="2" t="str">
        <f t="shared" si="11"/>
        <v xml:space="preserve"> </v>
      </c>
      <c r="H34" s="2" t="str">
        <f t="shared" si="12"/>
        <v xml:space="preserve"> </v>
      </c>
      <c r="I34" s="2" t="str">
        <f t="shared" si="13"/>
        <v xml:space="preserve"> </v>
      </c>
      <c r="J34" s="2">
        <f t="shared" si="14"/>
        <v>1.640557342582907E-2</v>
      </c>
      <c r="K34" s="2">
        <f t="shared" si="15"/>
        <v>-2.2139837552109447E-2</v>
      </c>
      <c r="L34" s="2">
        <f t="shared" si="21"/>
        <v>0.26033303048028478</v>
      </c>
      <c r="M34" s="2">
        <f t="shared" si="16"/>
        <v>7.1043275288299373E-2</v>
      </c>
      <c r="O34" s="11"/>
      <c r="Q34" s="7">
        <f t="shared" si="24"/>
        <v>0.25912316294914239</v>
      </c>
      <c r="R34" s="7">
        <f t="shared" si="25"/>
        <v>0</v>
      </c>
      <c r="S34" s="7">
        <f t="shared" si="26"/>
        <v>0.25912316294914239</v>
      </c>
      <c r="T34" s="7">
        <f t="shared" si="27"/>
        <v>1.640557342582907E-2</v>
      </c>
      <c r="U34" s="7">
        <f t="shared" si="28"/>
        <v>0.26033303048028478</v>
      </c>
      <c r="V34" s="7">
        <f t="shared" si="29"/>
        <v>7.1043275288299373E-2</v>
      </c>
      <c r="X34" s="7">
        <f t="shared" si="18"/>
        <v>-1</v>
      </c>
      <c r="Y34" s="7">
        <f t="shared" si="19"/>
        <v>-1</v>
      </c>
      <c r="AC34" s="13">
        <v>4.1469023027385292</v>
      </c>
      <c r="AD34" s="13">
        <f t="shared" si="30"/>
        <v>5.6064952017458513E-3</v>
      </c>
      <c r="AE34" s="13">
        <f t="shared" si="20"/>
        <v>-1</v>
      </c>
    </row>
    <row r="35" spans="1:31" x14ac:dyDescent="0.3">
      <c r="B35" s="2">
        <v>0.23208660251050173</v>
      </c>
      <c r="C35" s="2">
        <f t="shared" si="9"/>
        <v>5.3960882896481023E-2</v>
      </c>
      <c r="D35" s="2">
        <f t="shared" si="22"/>
        <v>1.7004256304380905E-2</v>
      </c>
      <c r="E35" s="2">
        <f t="shared" si="23"/>
        <v>-2.2143455707338989E-2</v>
      </c>
      <c r="F35" s="2">
        <f t="shared" si="10"/>
        <v>-2.2139837552109447E-2</v>
      </c>
      <c r="G35" s="2" t="str">
        <f t="shared" si="11"/>
        <v xml:space="preserve"> </v>
      </c>
      <c r="H35" s="2" t="str">
        <f t="shared" si="12"/>
        <v xml:space="preserve"> </v>
      </c>
      <c r="I35" s="2" t="str">
        <f t="shared" si="13"/>
        <v xml:space="preserve"> </v>
      </c>
      <c r="J35" s="2">
        <f t="shared" si="14"/>
        <v>1.7004256304380905E-2</v>
      </c>
      <c r="K35" s="2">
        <f t="shared" si="15"/>
        <v>-2.2139837552109447E-2</v>
      </c>
      <c r="L35" s="2">
        <f t="shared" si="21"/>
        <v>0.23328119009410511</v>
      </c>
      <c r="M35" s="2">
        <f t="shared" si="16"/>
        <v>7.09519146731446E-2</v>
      </c>
      <c r="Q35" s="7">
        <f t="shared" si="24"/>
        <v>0.23208660251050173</v>
      </c>
      <c r="R35" s="7">
        <f t="shared" si="25"/>
        <v>0</v>
      </c>
      <c r="S35" s="7">
        <f t="shared" si="26"/>
        <v>0.23208660251050173</v>
      </c>
      <c r="T35" s="7">
        <f t="shared" si="27"/>
        <v>1.7004256304380905E-2</v>
      </c>
      <c r="U35" s="7">
        <f t="shared" si="28"/>
        <v>0.23328119009410511</v>
      </c>
      <c r="V35" s="7">
        <f t="shared" si="29"/>
        <v>7.09519146731446E-2</v>
      </c>
      <c r="X35" s="7">
        <f t="shared" si="18"/>
        <v>-1</v>
      </c>
      <c r="Y35" s="7">
        <f t="shared" si="19"/>
        <v>-1</v>
      </c>
      <c r="AC35" s="13">
        <v>4.2725660088821211</v>
      </c>
      <c r="AD35" s="13">
        <f t="shared" si="30"/>
        <v>7.0737176834917781E-3</v>
      </c>
      <c r="AE35" s="13">
        <f t="shared" si="20"/>
        <v>-1</v>
      </c>
    </row>
    <row r="36" spans="1:31" x14ac:dyDescent="0.3">
      <c r="B36" s="2">
        <v>0.20610737385376338</v>
      </c>
      <c r="C36" s="2">
        <f t="shared" si="9"/>
        <v>5.2904619390297856E-2</v>
      </c>
      <c r="D36" s="2">
        <f t="shared" si="22"/>
        <v>1.7579526203452222E-2</v>
      </c>
      <c r="E36" s="2">
        <f t="shared" si="23"/>
        <v>-2.2143455707338989E-2</v>
      </c>
      <c r="F36" s="2">
        <f t="shared" si="10"/>
        <v>-2.2139837552109447E-2</v>
      </c>
      <c r="G36" s="2" t="str">
        <f t="shared" si="11"/>
        <v xml:space="preserve"> </v>
      </c>
      <c r="H36" s="2" t="str">
        <f t="shared" si="12"/>
        <v xml:space="preserve"> </v>
      </c>
      <c r="I36" s="2" t="str">
        <f t="shared" si="13"/>
        <v xml:space="preserve"> </v>
      </c>
      <c r="J36" s="2">
        <f t="shared" si="14"/>
        <v>1.7579526203452222E-2</v>
      </c>
      <c r="K36" s="2">
        <f t="shared" si="15"/>
        <v>-2.2139837552109447E-2</v>
      </c>
      <c r="L36" s="2">
        <f t="shared" si="21"/>
        <v>0.20727857784536882</v>
      </c>
      <c r="M36" s="2">
        <f t="shared" si="16"/>
        <v>7.0471179931070979E-2</v>
      </c>
      <c r="Q36" s="7">
        <f t="shared" si="24"/>
        <v>0.20610737385376338</v>
      </c>
      <c r="R36" s="7">
        <f t="shared" si="25"/>
        <v>0</v>
      </c>
      <c r="S36" s="7">
        <f t="shared" si="26"/>
        <v>0.20610737385376338</v>
      </c>
      <c r="T36" s="7">
        <f t="shared" si="27"/>
        <v>1.7579526203452222E-2</v>
      </c>
      <c r="U36" s="7">
        <f t="shared" si="28"/>
        <v>0.20727857784536882</v>
      </c>
      <c r="V36" s="7">
        <f t="shared" si="29"/>
        <v>7.0471179931070979E-2</v>
      </c>
      <c r="X36" s="7">
        <f t="shared" si="18"/>
        <v>-1</v>
      </c>
      <c r="Y36" s="7">
        <f t="shared" si="19"/>
        <v>-1</v>
      </c>
      <c r="AC36" s="13">
        <v>4.398229715025713</v>
      </c>
      <c r="AD36" s="13">
        <f t="shared" si="30"/>
        <v>8.6304660161938447E-3</v>
      </c>
      <c r="AE36" s="13">
        <f t="shared" si="20"/>
        <v>-1</v>
      </c>
    </row>
    <row r="37" spans="1:31" x14ac:dyDescent="0.3">
      <c r="B37" s="2">
        <v>0.18128800512565513</v>
      </c>
      <c r="C37" s="2">
        <f t="shared" si="9"/>
        <v>5.1480209831149724E-2</v>
      </c>
      <c r="D37" s="2">
        <f t="shared" si="22"/>
        <v>1.8103070795910694E-2</v>
      </c>
      <c r="E37" s="2">
        <f t="shared" si="23"/>
        <v>-1.8491679633496252E-2</v>
      </c>
      <c r="F37" s="2">
        <f t="shared" si="10"/>
        <v>-1.8489572370514899E-2</v>
      </c>
      <c r="G37" s="2" t="str">
        <f t="shared" si="11"/>
        <v xml:space="preserve"> </v>
      </c>
      <c r="H37" s="2" t="str">
        <f t="shared" si="12"/>
        <v xml:space="preserve"> </v>
      </c>
      <c r="I37" s="2" t="str">
        <f t="shared" si="13"/>
        <v xml:space="preserve"> </v>
      </c>
      <c r="J37" s="2">
        <f t="shared" si="14"/>
        <v>1.8103070795910694E-2</v>
      </c>
      <c r="K37" s="2">
        <f t="shared" si="15"/>
        <v>-1.8489572370514899E-2</v>
      </c>
      <c r="L37" s="2">
        <f t="shared" si="21"/>
        <v>0.18223979795815151</v>
      </c>
      <c r="M37" s="2">
        <f t="shared" si="16"/>
        <v>6.9574481255147314E-2</v>
      </c>
      <c r="Q37" s="7">
        <f t="shared" si="24"/>
        <v>0.18128800512565513</v>
      </c>
      <c r="R37" s="7">
        <f t="shared" si="25"/>
        <v>0</v>
      </c>
      <c r="S37" s="7">
        <f t="shared" si="26"/>
        <v>0.18128800512565513</v>
      </c>
      <c r="T37" s="7">
        <f t="shared" si="27"/>
        <v>1.8103070795910694E-2</v>
      </c>
      <c r="U37" s="7">
        <f t="shared" si="28"/>
        <v>0.18223979795815151</v>
      </c>
      <c r="V37" s="7">
        <f t="shared" si="29"/>
        <v>6.9574481255147314E-2</v>
      </c>
      <c r="X37" s="7">
        <f t="shared" si="18"/>
        <v>-1</v>
      </c>
      <c r="Y37" s="7">
        <f t="shared" si="19"/>
        <v>-1</v>
      </c>
      <c r="AC37" s="13">
        <v>4.5238934211693049</v>
      </c>
      <c r="AD37" s="13">
        <f t="shared" si="30"/>
        <v>1.0252189348688958E-2</v>
      </c>
      <c r="AE37" s="13">
        <f t="shared" si="20"/>
        <v>-1</v>
      </c>
    </row>
    <row r="38" spans="1:31" x14ac:dyDescent="0.3">
      <c r="B38" s="2">
        <v>0.15772644703565569</v>
      </c>
      <c r="C38" s="2">
        <f t="shared" si="9"/>
        <v>4.9689990076055186E-2</v>
      </c>
      <c r="D38" s="2">
        <f t="shared" si="22"/>
        <v>1.8409217925482696E-2</v>
      </c>
      <c r="E38" s="2">
        <f t="shared" si="23"/>
        <v>-6.0189089499736448E-3</v>
      </c>
      <c r="F38" s="2">
        <f t="shared" si="10"/>
        <v>-6.0188362686837216E-3</v>
      </c>
      <c r="G38" s="2" t="str">
        <f t="shared" si="11"/>
        <v xml:space="preserve"> </v>
      </c>
      <c r="H38" s="2" t="str">
        <f t="shared" si="12"/>
        <v xml:space="preserve"> </v>
      </c>
      <c r="I38" s="2" t="str">
        <f t="shared" si="13"/>
        <v xml:space="preserve"> </v>
      </c>
      <c r="J38" s="2">
        <f t="shared" si="14"/>
        <v>1.8409217925482696E-2</v>
      </c>
      <c r="K38" s="2">
        <f t="shared" si="15"/>
        <v>-6.0188362686837216E-3</v>
      </c>
      <c r="L38" s="2">
        <f t="shared" si="21"/>
        <v>0.15802552114437915</v>
      </c>
      <c r="M38" s="2">
        <f t="shared" si="16"/>
        <v>6.8098307959774479E-2</v>
      </c>
      <c r="Q38" s="7">
        <f t="shared" si="24"/>
        <v>0.15772644703565569</v>
      </c>
      <c r="R38" s="7">
        <f t="shared" si="25"/>
        <v>0</v>
      </c>
      <c r="S38" s="7">
        <f t="shared" si="26"/>
        <v>0.15772644703565569</v>
      </c>
      <c r="T38" s="7">
        <f t="shared" si="27"/>
        <v>1.8409217925482696E-2</v>
      </c>
      <c r="U38" s="7">
        <f t="shared" si="28"/>
        <v>0.15802552114437915</v>
      </c>
      <c r="V38" s="7">
        <f t="shared" si="29"/>
        <v>6.8098307959774479E-2</v>
      </c>
      <c r="X38" s="7">
        <f t="shared" si="18"/>
        <v>-1</v>
      </c>
      <c r="Y38" s="7">
        <f t="shared" si="19"/>
        <v>-1</v>
      </c>
      <c r="AC38" s="13">
        <v>4.6495571273128968</v>
      </c>
      <c r="AD38" s="13">
        <f t="shared" si="30"/>
        <v>1.1913312135253113E-2</v>
      </c>
      <c r="AE38" s="13">
        <f t="shared" si="20"/>
        <v>-1</v>
      </c>
    </row>
    <row r="39" spans="1:31" x14ac:dyDescent="0.3">
      <c r="B39" s="2">
        <v>0.13551568628929422</v>
      </c>
      <c r="C39" s="2">
        <f t="shared" si="9"/>
        <v>4.7540649401286002E-2</v>
      </c>
      <c r="D39" s="2">
        <f t="shared" si="22"/>
        <v>1.8336820292030237E-2</v>
      </c>
      <c r="E39" s="2">
        <f t="shared" si="23"/>
        <v>1.3850037255238607E-2</v>
      </c>
      <c r="F39" s="2">
        <f t="shared" si="10"/>
        <v>1.3849151769462499E-2</v>
      </c>
      <c r="G39" s="2" t="str">
        <f t="shared" si="11"/>
        <v xml:space="preserve"> </v>
      </c>
      <c r="H39" s="2" t="str">
        <f t="shared" si="12"/>
        <v xml:space="preserve"> </v>
      </c>
      <c r="I39" s="2" t="str">
        <f t="shared" si="13"/>
        <v xml:space="preserve"> </v>
      </c>
      <c r="J39" s="2">
        <f t="shared" si="14"/>
        <v>1.8336820292030237E-2</v>
      </c>
      <c r="K39" s="2">
        <f t="shared" si="15"/>
        <v>1.3849151769462499E-2</v>
      </c>
      <c r="L39" s="2">
        <f t="shared" si="21"/>
        <v>0.13485730966698478</v>
      </c>
      <c r="M39" s="2">
        <f t="shared" si="16"/>
        <v>6.5872910641565627E-2</v>
      </c>
      <c r="Q39" s="7">
        <f t="shared" si="24"/>
        <v>0.13551568628929422</v>
      </c>
      <c r="R39" s="7">
        <f t="shared" si="25"/>
        <v>0</v>
      </c>
      <c r="S39" s="7">
        <f t="shared" si="26"/>
        <v>0.13551568628929422</v>
      </c>
      <c r="T39" s="7">
        <f t="shared" si="27"/>
        <v>1.8336820292030237E-2</v>
      </c>
      <c r="U39" s="7">
        <f t="shared" si="28"/>
        <v>0.13485730966698478</v>
      </c>
      <c r="V39" s="7">
        <f t="shared" si="29"/>
        <v>6.5872910641565627E-2</v>
      </c>
      <c r="X39" s="7">
        <f t="shared" si="18"/>
        <v>-1</v>
      </c>
      <c r="Y39" s="7">
        <f t="shared" si="19"/>
        <v>-1</v>
      </c>
      <c r="AC39" s="13">
        <v>4.7752208334564887</v>
      </c>
      <c r="AD39" s="13">
        <f t="shared" si="30"/>
        <v>1.3587637477235539E-2</v>
      </c>
      <c r="AE39" s="13">
        <f t="shared" si="20"/>
        <v>-1</v>
      </c>
    </row>
    <row r="40" spans="1:31" x14ac:dyDescent="0.3">
      <c r="B40" s="2">
        <v>0.11474337861210537</v>
      </c>
      <c r="C40" s="2">
        <f t="shared" si="9"/>
        <v>4.5042989345005294E-2</v>
      </c>
      <c r="D40" s="2">
        <f t="shared" si="22"/>
        <v>1.7794057010869981E-2</v>
      </c>
      <c r="E40" s="2">
        <f t="shared" si="23"/>
        <v>3.9555858919920348E-2</v>
      </c>
      <c r="F40" s="2">
        <f t="shared" si="10"/>
        <v>3.9535247697416911E-2</v>
      </c>
      <c r="G40" s="2" t="str">
        <f t="shared" si="11"/>
        <v xml:space="preserve"> </v>
      </c>
      <c r="H40" s="2" t="str">
        <f t="shared" si="12"/>
        <v xml:space="preserve"> </v>
      </c>
      <c r="I40" s="2" t="str">
        <f t="shared" si="13"/>
        <v xml:space="preserve"> </v>
      </c>
      <c r="J40" s="2">
        <f t="shared" si="14"/>
        <v>1.7794057010869981E-2</v>
      </c>
      <c r="K40" s="2">
        <f t="shared" si="15"/>
        <v>3.9535247697416911E-2</v>
      </c>
      <c r="L40" s="2">
        <f t="shared" si="21"/>
        <v>0.11296305674037874</v>
      </c>
      <c r="M40" s="2">
        <f t="shared" si="16"/>
        <v>6.2801849038110244E-2</v>
      </c>
      <c r="Q40" s="7">
        <f t="shared" si="24"/>
        <v>0.11474337861210537</v>
      </c>
      <c r="R40" s="7">
        <f t="shared" si="25"/>
        <v>0</v>
      </c>
      <c r="S40" s="7">
        <f t="shared" si="26"/>
        <v>0.11474337861210537</v>
      </c>
      <c r="T40" s="7">
        <f t="shared" si="27"/>
        <v>1.7794057010869981E-2</v>
      </c>
      <c r="U40" s="7">
        <f t="shared" si="28"/>
        <v>0.11296305674037874</v>
      </c>
      <c r="V40" s="7">
        <f t="shared" si="29"/>
        <v>6.2801849038110244E-2</v>
      </c>
      <c r="X40" s="7">
        <f t="shared" si="18"/>
        <v>-1</v>
      </c>
      <c r="Y40" s="7">
        <f t="shared" si="19"/>
        <v>-1</v>
      </c>
      <c r="AC40" s="13">
        <v>4.9008845396000806</v>
      </c>
      <c r="AD40" s="13">
        <f t="shared" si="30"/>
        <v>1.5248760263799692E-2</v>
      </c>
      <c r="AE40" s="13">
        <f t="shared" si="20"/>
        <v>-1</v>
      </c>
    </row>
    <row r="41" spans="1:31" x14ac:dyDescent="0.3">
      <c r="B41" s="2">
        <v>9.5491502812526274E-2</v>
      </c>
      <c r="C41" s="2">
        <f t="shared" si="9"/>
        <v>4.2211522071732441E-2</v>
      </c>
      <c r="D41" s="2">
        <f t="shared" si="22"/>
        <v>1.6753511859732312E-2</v>
      </c>
      <c r="E41" s="2">
        <f t="shared" si="23"/>
        <v>6.9527897732680755E-2</v>
      </c>
      <c r="F41" s="2">
        <f t="shared" si="10"/>
        <v>6.9416185972729083E-2</v>
      </c>
      <c r="G41" s="2" t="str">
        <f t="shared" si="11"/>
        <v xml:space="preserve"> </v>
      </c>
      <c r="H41" s="2" t="str">
        <f t="shared" si="12"/>
        <v xml:space="preserve"> </v>
      </c>
      <c r="I41" s="2" t="str">
        <f t="shared" si="13"/>
        <v xml:space="preserve"> </v>
      </c>
      <c r="J41" s="2">
        <f t="shared" si="14"/>
        <v>1.6753511859732312E-2</v>
      </c>
      <c r="K41" s="2">
        <f t="shared" si="15"/>
        <v>6.9416185972729083E-2</v>
      </c>
      <c r="L41" s="2">
        <f t="shared" si="21"/>
        <v>9.256369259646198E-2</v>
      </c>
      <c r="M41" s="2">
        <f t="shared" si="16"/>
        <v>5.8863374397516315E-2</v>
      </c>
      <c r="Q41" s="7">
        <f t="shared" si="24"/>
        <v>9.5491502812526274E-2</v>
      </c>
      <c r="R41" s="7">
        <f t="shared" si="25"/>
        <v>0</v>
      </c>
      <c r="S41" s="7">
        <f t="shared" si="26"/>
        <v>9.5491502812526274E-2</v>
      </c>
      <c r="T41" s="7">
        <f t="shared" si="27"/>
        <v>1.6753511859732312E-2</v>
      </c>
      <c r="U41" s="7">
        <f t="shared" si="28"/>
        <v>9.256369259646198E-2</v>
      </c>
      <c r="V41" s="7">
        <f t="shared" si="29"/>
        <v>5.8863374397516315E-2</v>
      </c>
      <c r="X41" s="7">
        <f t="shared" si="18"/>
        <v>-1</v>
      </c>
      <c r="Y41" s="7">
        <f t="shared" si="19"/>
        <v>-1</v>
      </c>
      <c r="AC41" s="13">
        <v>5.0265482457436725</v>
      </c>
      <c r="AD41" s="13">
        <f t="shared" si="30"/>
        <v>1.6870483596294804E-2</v>
      </c>
      <c r="AE41" s="13">
        <f t="shared" si="20"/>
        <v>-1</v>
      </c>
    </row>
    <row r="42" spans="1:31" x14ac:dyDescent="0.3">
      <c r="B42" s="2">
        <v>7.7836037248992462E-2</v>
      </c>
      <c r="C42" s="2">
        <f t="shared" si="9"/>
        <v>3.9063919786288683E-2</v>
      </c>
      <c r="D42" s="2">
        <f t="shared" si="22"/>
        <v>1.5244742893759803E-2</v>
      </c>
      <c r="E42" s="2">
        <f t="shared" si="23"/>
        <v>0.10221350611013409</v>
      </c>
      <c r="F42" s="2">
        <f t="shared" si="10"/>
        <v>0.10185975899122278</v>
      </c>
      <c r="G42" s="2" t="str">
        <f t="shared" si="11"/>
        <v xml:space="preserve"> </v>
      </c>
      <c r="H42" s="2" t="str">
        <f t="shared" si="12"/>
        <v xml:space="preserve"> </v>
      </c>
      <c r="I42" s="2" t="str">
        <f t="shared" si="13"/>
        <v xml:space="preserve"> </v>
      </c>
      <c r="J42" s="2">
        <f t="shared" si="14"/>
        <v>1.5244742893759803E-2</v>
      </c>
      <c r="K42" s="2">
        <f t="shared" si="15"/>
        <v>0.10185975899122278</v>
      </c>
      <c r="L42" s="2">
        <f t="shared" si="21"/>
        <v>7.3863872923769586E-2</v>
      </c>
      <c r="M42" s="2">
        <f t="shared" si="16"/>
        <v>5.4106185734228596E-2</v>
      </c>
      <c r="Q42" s="7">
        <f t="shared" si="24"/>
        <v>7.7836037248992462E-2</v>
      </c>
      <c r="R42" s="7">
        <f t="shared" si="25"/>
        <v>0</v>
      </c>
      <c r="S42" s="7">
        <f t="shared" si="26"/>
        <v>7.7836037248992462E-2</v>
      </c>
      <c r="T42" s="7">
        <f t="shared" si="27"/>
        <v>1.5244742893759803E-2</v>
      </c>
      <c r="U42" s="7">
        <f t="shared" si="28"/>
        <v>7.3863872923769586E-2</v>
      </c>
      <c r="V42" s="7">
        <f t="shared" si="29"/>
        <v>5.4106185734228596E-2</v>
      </c>
      <c r="X42" s="7">
        <f t="shared" si="18"/>
        <v>-1</v>
      </c>
      <c r="Y42" s="7">
        <f t="shared" si="19"/>
        <v>-1</v>
      </c>
      <c r="AC42" s="13">
        <v>5.1522119518872644</v>
      </c>
      <c r="AD42" s="13">
        <f t="shared" si="30"/>
        <v>1.8427231928996868E-2</v>
      </c>
      <c r="AE42" s="13">
        <f t="shared" si="20"/>
        <v>-1</v>
      </c>
    </row>
    <row r="43" spans="1:31" x14ac:dyDescent="0.3">
      <c r="B43" s="2">
        <v>6.1846659978068208E-2</v>
      </c>
      <c r="C43" s="2">
        <f t="shared" si="9"/>
        <v>3.5620334859384338E-2</v>
      </c>
      <c r="D43" s="2">
        <f t="shared" si="22"/>
        <v>1.3344882101417838E-2</v>
      </c>
      <c r="E43" s="2">
        <f t="shared" si="23"/>
        <v>0.13610679552746921</v>
      </c>
      <c r="F43" s="2">
        <f t="shared" si="10"/>
        <v>0.13527555326223215</v>
      </c>
      <c r="G43" s="2" t="str">
        <f t="shared" si="11"/>
        <v xml:space="preserve"> </v>
      </c>
      <c r="H43" s="2" t="str">
        <f t="shared" si="12"/>
        <v xml:space="preserve"> </v>
      </c>
      <c r="I43" s="2" t="str">
        <f t="shared" si="13"/>
        <v xml:space="preserve"> </v>
      </c>
      <c r="J43" s="2">
        <f t="shared" si="14"/>
        <v>1.3344882101417838E-2</v>
      </c>
      <c r="K43" s="2">
        <f t="shared" si="15"/>
        <v>0.13527555326223215</v>
      </c>
      <c r="L43" s="2">
        <f t="shared" si="21"/>
        <v>5.7042782219976607E-2</v>
      </c>
      <c r="M43" s="2">
        <f t="shared" si="16"/>
        <v>4.8639796947327077E-2</v>
      </c>
      <c r="Q43" s="7">
        <f t="shared" si="24"/>
        <v>6.1846659978068208E-2</v>
      </c>
      <c r="R43" s="7">
        <f t="shared" si="25"/>
        <v>0</v>
      </c>
      <c r="S43" s="7">
        <f t="shared" si="26"/>
        <v>6.1846659978068208E-2</v>
      </c>
      <c r="T43" s="7">
        <f t="shared" si="27"/>
        <v>1.3344882101417838E-2</v>
      </c>
      <c r="U43" s="7">
        <f t="shared" si="28"/>
        <v>5.7042782219976607E-2</v>
      </c>
      <c r="V43" s="7">
        <f t="shared" si="29"/>
        <v>4.8639796947327077E-2</v>
      </c>
      <c r="X43" s="7">
        <f t="shared" si="18"/>
        <v>-1</v>
      </c>
      <c r="Y43" s="7">
        <f t="shared" si="19"/>
        <v>-1</v>
      </c>
      <c r="AC43" s="13">
        <v>5.2778756580308563</v>
      </c>
      <c r="AD43" s="13">
        <f t="shared" si="30"/>
        <v>1.9894454410742793E-2</v>
      </c>
      <c r="AE43" s="13">
        <f t="shared" si="20"/>
        <v>-1</v>
      </c>
    </row>
    <row r="44" spans="1:31" x14ac:dyDescent="0.3">
      <c r="B44" s="2">
        <v>4.7586473766990212E-2</v>
      </c>
      <c r="C44" s="2">
        <f t="shared" si="9"/>
        <v>3.1902617641518645E-2</v>
      </c>
      <c r="D44" s="2">
        <f t="shared" si="22"/>
        <v>1.1167763269688605E-2</v>
      </c>
      <c r="E44" s="2">
        <f t="shared" si="23"/>
        <v>0.16977629400330407</v>
      </c>
      <c r="F44" s="2">
        <f t="shared" si="10"/>
        <v>0.16817272662750121</v>
      </c>
      <c r="G44" s="2" t="str">
        <f t="shared" si="11"/>
        <v xml:space="preserve"> </v>
      </c>
      <c r="H44" s="2" t="str">
        <f t="shared" si="12"/>
        <v xml:space="preserve"> </v>
      </c>
      <c r="I44" s="2" t="str">
        <f t="shared" si="13"/>
        <v xml:space="preserve"> </v>
      </c>
      <c r="J44" s="2">
        <f t="shared" si="14"/>
        <v>1.1167763269688605E-2</v>
      </c>
      <c r="K44" s="2">
        <f t="shared" si="15"/>
        <v>0.16817272662750121</v>
      </c>
      <c r="L44" s="2">
        <f t="shared" si="21"/>
        <v>4.2246577422280121E-2</v>
      </c>
      <c r="M44" s="2">
        <f t="shared" si="16"/>
        <v>4.2620307195557122E-2</v>
      </c>
      <c r="Q44" s="7">
        <f t="shared" si="24"/>
        <v>4.7586473766990212E-2</v>
      </c>
      <c r="R44" s="7">
        <f t="shared" si="25"/>
        <v>0</v>
      </c>
      <c r="S44" s="7">
        <f t="shared" si="26"/>
        <v>4.7586473766990212E-2</v>
      </c>
      <c r="T44" s="7">
        <f t="shared" si="27"/>
        <v>1.1167763269688605E-2</v>
      </c>
      <c r="U44" s="7">
        <f t="shared" si="28"/>
        <v>4.2246577422280121E-2</v>
      </c>
      <c r="V44" s="7">
        <f t="shared" si="29"/>
        <v>4.2620307195557122E-2</v>
      </c>
      <c r="X44" s="7">
        <f t="shared" si="18"/>
        <v>-1</v>
      </c>
      <c r="Y44" s="7">
        <f t="shared" si="19"/>
        <v>-1</v>
      </c>
      <c r="AC44" s="13">
        <v>5.4035393641744482</v>
      </c>
      <c r="AD44" s="13">
        <f t="shared" si="30"/>
        <v>2.1249012066519215E-2</v>
      </c>
      <c r="AE44" s="13">
        <f t="shared" si="20"/>
        <v>-1</v>
      </c>
    </row>
    <row r="45" spans="1:31" x14ac:dyDescent="0.3">
      <c r="B45" s="2">
        <v>3.5111757055874271E-2</v>
      </c>
      <c r="C45" s="2">
        <f t="shared" si="9"/>
        <v>2.7933465002888364E-2</v>
      </c>
      <c r="D45" s="2">
        <f t="shared" si="22"/>
        <v>8.8521222268470399E-3</v>
      </c>
      <c r="E45" s="2">
        <f t="shared" si="23"/>
        <v>0.20189106113782213</v>
      </c>
      <c r="F45" s="2">
        <f t="shared" si="10"/>
        <v>0.1992132248422524</v>
      </c>
      <c r="G45" s="2" t="str">
        <f t="shared" si="11"/>
        <v xml:space="preserve"> </v>
      </c>
      <c r="H45" s="2" t="str">
        <f t="shared" si="12"/>
        <v xml:space="preserve"> </v>
      </c>
      <c r="I45" s="2" t="str">
        <f t="shared" si="13"/>
        <v xml:space="preserve"> </v>
      </c>
      <c r="J45" s="2">
        <f t="shared" si="14"/>
        <v>8.8521222268470399E-3</v>
      </c>
      <c r="K45" s="2">
        <f t="shared" si="15"/>
        <v>0.1992132248422524</v>
      </c>
      <c r="L45" s="2">
        <f t="shared" si="21"/>
        <v>2.9583775244772584E-2</v>
      </c>
      <c r="M45" s="2">
        <f t="shared" si="16"/>
        <v>3.6233135432419218E-2</v>
      </c>
      <c r="Q45" s="7">
        <f t="shared" si="24"/>
        <v>3.5111757055874271E-2</v>
      </c>
      <c r="R45" s="7">
        <f t="shared" si="25"/>
        <v>0</v>
      </c>
      <c r="S45" s="7">
        <f t="shared" si="26"/>
        <v>3.5111757055874271E-2</v>
      </c>
      <c r="T45" s="7">
        <f t="shared" si="27"/>
        <v>8.8521222268470399E-3</v>
      </c>
      <c r="U45" s="7">
        <f t="shared" si="28"/>
        <v>2.9583775244772584E-2</v>
      </c>
      <c r="V45" s="7">
        <f t="shared" si="29"/>
        <v>3.6233135432419218E-2</v>
      </c>
      <c r="X45" s="7">
        <f t="shared" si="18"/>
        <v>-1</v>
      </c>
      <c r="Y45" s="7">
        <f t="shared" si="19"/>
        <v>-1</v>
      </c>
      <c r="AC45" s="13">
        <v>5.5292030703180401</v>
      </c>
      <c r="AD45" s="13">
        <f t="shared" si="30"/>
        <v>2.2469542712921023E-2</v>
      </c>
      <c r="AE45" s="13">
        <f t="shared" si="20"/>
        <v>-1</v>
      </c>
    </row>
    <row r="46" spans="1:31" x14ac:dyDescent="0.3">
      <c r="B46" s="2">
        <v>2.4471741852423234E-2</v>
      </c>
      <c r="C46" s="2">
        <f t="shared" si="9"/>
        <v>2.3735537076948452E-2</v>
      </c>
      <c r="D46" s="2">
        <f t="shared" si="22"/>
        <v>6.5494377248499352E-3</v>
      </c>
      <c r="E46" s="2">
        <f t="shared" si="23"/>
        <v>0.23124483488419054</v>
      </c>
      <c r="F46" s="2">
        <f t="shared" si="10"/>
        <v>0.22725035768934937</v>
      </c>
      <c r="G46" s="2" t="str">
        <f t="shared" si="11"/>
        <v xml:space="preserve"> </v>
      </c>
      <c r="H46" s="2" t="str">
        <f t="shared" si="12"/>
        <v xml:space="preserve"> </v>
      </c>
      <c r="I46" s="2" t="str">
        <f t="shared" si="13"/>
        <v xml:space="preserve"> </v>
      </c>
      <c r="J46" s="2">
        <f t="shared" si="14"/>
        <v>6.5494377248499352E-3</v>
      </c>
      <c r="K46" s="2">
        <f t="shared" si="15"/>
        <v>0.22725035768934937</v>
      </c>
      <c r="L46" s="2">
        <f t="shared" si="21"/>
        <v>1.9124138859792271E-2</v>
      </c>
      <c r="M46" s="2">
        <f t="shared" si="16"/>
        <v>2.967472394068733E-2</v>
      </c>
      <c r="Q46" s="7">
        <f t="shared" si="24"/>
        <v>2.4471741852423234E-2</v>
      </c>
      <c r="R46" s="7">
        <f t="shared" si="25"/>
        <v>0</v>
      </c>
      <c r="S46" s="7">
        <f t="shared" si="26"/>
        <v>2.4471741852423234E-2</v>
      </c>
      <c r="T46" s="7">
        <f t="shared" si="27"/>
        <v>6.5494377248499352E-3</v>
      </c>
      <c r="U46" s="7">
        <f t="shared" si="28"/>
        <v>1.9124138859792271E-2</v>
      </c>
      <c r="V46" s="7">
        <f t="shared" si="29"/>
        <v>2.967472394068733E-2</v>
      </c>
      <c r="X46" s="7">
        <f t="shared" si="18"/>
        <v>-1</v>
      </c>
      <c r="Y46" s="7">
        <f t="shared" si="19"/>
        <v>-1</v>
      </c>
      <c r="AC46" s="13">
        <v>5.654866776461632</v>
      </c>
      <c r="AD46" s="13">
        <f t="shared" si="30"/>
        <v>2.3536797852544797E-2</v>
      </c>
      <c r="AE46" s="13">
        <f t="shared" si="20"/>
        <v>-1</v>
      </c>
    </row>
    <row r="47" spans="1:31" x14ac:dyDescent="0.3">
      <c r="B47" s="2">
        <v>1.5708419435684462E-2</v>
      </c>
      <c r="C47" s="2">
        <f t="shared" si="9"/>
        <v>1.9330582224955414E-2</v>
      </c>
      <c r="D47" s="2">
        <f t="shared" si="22"/>
        <v>4.4119827070631425E-3</v>
      </c>
      <c r="E47" s="2">
        <f t="shared" si="23"/>
        <v>0.25677781678483041</v>
      </c>
      <c r="F47" s="2">
        <f t="shared" si="10"/>
        <v>0.25134754159251604</v>
      </c>
      <c r="G47" s="2" t="str">
        <f t="shared" si="11"/>
        <v xml:space="preserve"> </v>
      </c>
      <c r="H47" s="2" t="str">
        <f t="shared" si="12"/>
        <v xml:space="preserve"> </v>
      </c>
      <c r="I47" s="2" t="str">
        <f t="shared" si="13"/>
        <v xml:space="preserve"> </v>
      </c>
      <c r="J47" s="2">
        <f t="shared" si="14"/>
        <v>4.4119827070631425E-3</v>
      </c>
      <c r="K47" s="2">
        <f t="shared" si="15"/>
        <v>0.25134754159251604</v>
      </c>
      <c r="L47" s="2">
        <f t="shared" si="21"/>
        <v>1.0900722237755069E-2</v>
      </c>
      <c r="M47" s="2">
        <f t="shared" si="16"/>
        <v>2.3135162373155761E-2</v>
      </c>
      <c r="Q47" s="7">
        <f t="shared" si="24"/>
        <v>1.5708419435684462E-2</v>
      </c>
      <c r="R47" s="7">
        <f t="shared" si="25"/>
        <v>0</v>
      </c>
      <c r="S47" s="7">
        <f t="shared" si="26"/>
        <v>1.5708419435684462E-2</v>
      </c>
      <c r="T47" s="7">
        <f t="shared" si="27"/>
        <v>4.4119827070631425E-3</v>
      </c>
      <c r="U47" s="7">
        <f t="shared" si="28"/>
        <v>1.0900722237755069E-2</v>
      </c>
      <c r="V47" s="7">
        <f t="shared" si="29"/>
        <v>2.3135162373155761E-2</v>
      </c>
      <c r="X47" s="7">
        <f t="shared" si="18"/>
        <v>-1</v>
      </c>
      <c r="Y47" s="7">
        <f t="shared" si="19"/>
        <v>-1</v>
      </c>
      <c r="AC47" s="13">
        <v>5.780530482605224</v>
      </c>
      <c r="AD47" s="13">
        <f t="shared" si="30"/>
        <v>2.4433946234291345E-2</v>
      </c>
      <c r="AE47" s="13">
        <f t="shared" si="20"/>
        <v>-1</v>
      </c>
    </row>
    <row r="48" spans="1:31" x14ac:dyDescent="0.3">
      <c r="B48" s="2">
        <v>8.8563746356556394E-3</v>
      </c>
      <c r="C48" s="2">
        <f t="shared" si="9"/>
        <v>1.4738610704899621E-2</v>
      </c>
      <c r="D48" s="2">
        <f t="shared" si="22"/>
        <v>2.5816347173607903E-3</v>
      </c>
      <c r="E48" s="2">
        <f t="shared" si="23"/>
        <v>0.27759574120693131</v>
      </c>
      <c r="F48" s="2">
        <f t="shared" si="10"/>
        <v>0.27077784570448105</v>
      </c>
      <c r="G48" s="2" t="str">
        <f t="shared" si="11"/>
        <v xml:space="preserve"> </v>
      </c>
      <c r="H48" s="2" t="str">
        <f t="shared" si="12"/>
        <v xml:space="preserve"> </v>
      </c>
      <c r="I48" s="2" t="str">
        <f t="shared" si="13"/>
        <v xml:space="preserve"> </v>
      </c>
      <c r="J48" s="2">
        <f t="shared" si="14"/>
        <v>2.5816347173607903E-3</v>
      </c>
      <c r="K48" s="2">
        <f t="shared" si="15"/>
        <v>0.27077784570448105</v>
      </c>
      <c r="L48" s="2">
        <f t="shared" si="21"/>
        <v>4.9140759965860788E-3</v>
      </c>
      <c r="M48" s="2">
        <f t="shared" si="16"/>
        <v>1.6783216564147156E-2</v>
      </c>
      <c r="Q48" s="7">
        <f t="shared" si="24"/>
        <v>8.8563746356556394E-3</v>
      </c>
      <c r="R48" s="7">
        <f t="shared" si="25"/>
        <v>0</v>
      </c>
      <c r="S48" s="7">
        <f t="shared" si="26"/>
        <v>8.8563746356556394E-3</v>
      </c>
      <c r="T48" s="7">
        <f t="shared" si="27"/>
        <v>2.5816347173607903E-3</v>
      </c>
      <c r="U48" s="7">
        <f t="shared" si="28"/>
        <v>4.9140759965860788E-3</v>
      </c>
      <c r="V48" s="7">
        <f t="shared" si="29"/>
        <v>1.6783216564147156E-2</v>
      </c>
      <c r="X48" s="7">
        <f t="shared" si="18"/>
        <v>-1</v>
      </c>
      <c r="Y48" s="7">
        <f t="shared" si="19"/>
        <v>-1</v>
      </c>
      <c r="AC48" s="13">
        <v>5.9061941887488159</v>
      </c>
      <c r="AD48" s="13">
        <f t="shared" si="30"/>
        <v>2.5146839292250065E-2</v>
      </c>
      <c r="AE48" s="13">
        <f t="shared" si="20"/>
        <v>-1</v>
      </c>
    </row>
    <row r="49" spans="2:31" x14ac:dyDescent="0.3">
      <c r="B49" s="2">
        <v>3.942649342761062E-3</v>
      </c>
      <c r="C49" s="2">
        <f t="shared" si="9"/>
        <v>9.9771558643674315E-3</v>
      </c>
      <c r="D49" s="2">
        <f t="shared" si="22"/>
        <v>1.1799517128401626E-3</v>
      </c>
      <c r="E49" s="2">
        <f t="shared" si="23"/>
        <v>0.29298591854757416</v>
      </c>
      <c r="F49" s="2">
        <f t="shared" si="10"/>
        <v>0.28500950014736809</v>
      </c>
      <c r="G49" s="2" t="str">
        <f t="shared" si="11"/>
        <v xml:space="preserve"> </v>
      </c>
      <c r="H49" s="2" t="str">
        <f t="shared" si="12"/>
        <v xml:space="preserve"> </v>
      </c>
      <c r="I49" s="2" t="str">
        <f t="shared" si="13"/>
        <v xml:space="preserve"> </v>
      </c>
      <c r="J49" s="2">
        <f t="shared" si="14"/>
        <v>1.1799517128401626E-3</v>
      </c>
      <c r="K49" s="2">
        <f t="shared" si="15"/>
        <v>0.28500950014736809</v>
      </c>
      <c r="L49" s="2">
        <f t="shared" si="21"/>
        <v>1.1374066678832887E-3</v>
      </c>
      <c r="M49" s="2">
        <f t="shared" si="16"/>
        <v>1.0754618948672749E-2</v>
      </c>
      <c r="Q49" s="7">
        <f t="shared" si="24"/>
        <v>3.942649342761062E-3</v>
      </c>
      <c r="R49" s="7">
        <f t="shared" si="25"/>
        <v>0</v>
      </c>
      <c r="S49" s="7">
        <f t="shared" si="26"/>
        <v>3.942649342761062E-3</v>
      </c>
      <c r="T49" s="7">
        <f t="shared" si="27"/>
        <v>1.1799517128401626E-3</v>
      </c>
      <c r="U49" s="7">
        <f t="shared" si="28"/>
        <v>1.1374066678832887E-3</v>
      </c>
      <c r="V49" s="7">
        <f t="shared" si="29"/>
        <v>1.0754618948672749E-2</v>
      </c>
      <c r="X49" s="7">
        <f t="shared" si="18"/>
        <v>-1</v>
      </c>
      <c r="Y49" s="7">
        <f t="shared" si="19"/>
        <v>-1</v>
      </c>
      <c r="AC49" s="13">
        <v>6.0318578948924078</v>
      </c>
      <c r="AD49" s="13">
        <f t="shared" si="30"/>
        <v>2.5664234277035271E-2</v>
      </c>
      <c r="AE49" s="13">
        <f t="shared" si="20"/>
        <v>-1</v>
      </c>
    </row>
    <row r="50" spans="2:31" x14ac:dyDescent="0.3">
      <c r="B50" s="2">
        <v>9.8663578586422052E-4</v>
      </c>
      <c r="C50" s="2">
        <f t="shared" si="9"/>
        <v>5.0606579480343573E-3</v>
      </c>
      <c r="D50" s="2">
        <f t="shared" si="22"/>
        <v>2.9995730847370822E-4</v>
      </c>
      <c r="E50" s="2">
        <f t="shared" si="23"/>
        <v>0.30242999174083868</v>
      </c>
      <c r="F50" s="2">
        <f t="shared" si="10"/>
        <v>0.29368465100873942</v>
      </c>
      <c r="G50" s="2" t="str">
        <f t="shared" si="11"/>
        <v xml:space="preserve"> </v>
      </c>
      <c r="H50" s="2" t="str">
        <f t="shared" si="12"/>
        <v xml:space="preserve"> </v>
      </c>
      <c r="I50" s="2" t="str">
        <f t="shared" si="13"/>
        <v xml:space="preserve"> </v>
      </c>
      <c r="J50" s="2">
        <f t="shared" si="14"/>
        <v>2.9995730847370822E-4</v>
      </c>
      <c r="K50" s="2">
        <f t="shared" si="15"/>
        <v>0.29368465100873942</v>
      </c>
      <c r="L50" s="2">
        <f t="shared" si="21"/>
        <v>-4.783288930669807E-4</v>
      </c>
      <c r="M50" s="2">
        <f t="shared" si="16"/>
        <v>5.1439368043517944E-3</v>
      </c>
      <c r="Q50" s="7">
        <f t="shared" si="24"/>
        <v>9.8663578586422052E-4</v>
      </c>
      <c r="R50" s="7">
        <f t="shared" si="25"/>
        <v>0</v>
      </c>
      <c r="S50" s="7">
        <f t="shared" si="26"/>
        <v>9.8663578586422052E-4</v>
      </c>
      <c r="T50" s="7">
        <f t="shared" si="27"/>
        <v>2.9995730847370822E-4</v>
      </c>
      <c r="U50" s="7">
        <f t="shared" si="28"/>
        <v>-4.783288930669807E-4</v>
      </c>
      <c r="V50" s="7">
        <f t="shared" si="29"/>
        <v>5.1439368043517944E-3</v>
      </c>
      <c r="X50" s="7">
        <f t="shared" si="18"/>
        <v>-1</v>
      </c>
      <c r="Y50" s="7">
        <f t="shared" si="19"/>
        <v>-1</v>
      </c>
      <c r="AC50" s="13">
        <v>6.1575216010359997</v>
      </c>
      <c r="AD50" s="13">
        <f t="shared" si="30"/>
        <v>2.5977971560660122E-2</v>
      </c>
      <c r="AE50" s="13">
        <f t="shared" si="20"/>
        <v>-1</v>
      </c>
    </row>
    <row r="51" spans="2:31" x14ac:dyDescent="0.3">
      <c r="B51" s="2">
        <v>0</v>
      </c>
      <c r="C51" s="2">
        <f t="shared" si="9"/>
        <v>0</v>
      </c>
      <c r="D51" s="2">
        <f t="shared" si="22"/>
        <v>0</v>
      </c>
      <c r="E51" s="2">
        <f t="shared" si="23"/>
        <v>0.3056131989023837</v>
      </c>
      <c r="F51" s="2">
        <f t="shared" si="10"/>
        <v>0.29659852930540098</v>
      </c>
      <c r="G51" s="2" t="str">
        <f t="shared" si="11"/>
        <v xml:space="preserve"> </v>
      </c>
      <c r="H51" s="2" t="str">
        <f t="shared" si="12"/>
        <v xml:space="preserve"> </v>
      </c>
      <c r="I51" s="2" t="str">
        <f t="shared" si="13"/>
        <v xml:space="preserve"> </v>
      </c>
      <c r="J51" s="2">
        <f t="shared" si="14"/>
        <v>0</v>
      </c>
      <c r="K51" s="2">
        <f t="shared" si="15"/>
        <v>0.29659852930540098</v>
      </c>
      <c r="L51" s="2">
        <f t="shared" si="21"/>
        <v>0</v>
      </c>
      <c r="M51" s="2">
        <f t="shared" si="16"/>
        <v>0</v>
      </c>
      <c r="Q51" s="7">
        <f t="shared" si="24"/>
        <v>0</v>
      </c>
      <c r="R51" s="7">
        <f t="shared" si="25"/>
        <v>0</v>
      </c>
      <c r="S51" s="7">
        <f t="shared" si="26"/>
        <v>0</v>
      </c>
      <c r="T51" s="7">
        <f t="shared" si="27"/>
        <v>0</v>
      </c>
      <c r="U51" s="7">
        <f t="shared" si="28"/>
        <v>0</v>
      </c>
      <c r="V51" s="7">
        <f t="shared" si="29"/>
        <v>0</v>
      </c>
      <c r="X51" s="7">
        <f>IF($AA$1, R51, -1)</f>
        <v>-1</v>
      </c>
      <c r="Y51" s="7">
        <f t="shared" si="19"/>
        <v>-1</v>
      </c>
      <c r="AC51" s="13">
        <v>6.2831853071795916</v>
      </c>
      <c r="AD51" s="13">
        <f t="shared" si="30"/>
        <v>2.6083103318744284E-2</v>
      </c>
      <c r="AE51" s="13">
        <f t="shared" si="20"/>
        <v>-1</v>
      </c>
    </row>
    <row r="52" spans="2:31" x14ac:dyDescent="0.3">
      <c r="B52" s="2" cm="1">
        <f t="array" ref="B52:B102">0.5*(1-COS((_xlfn.SEQUENCE(51,1,0,1)*PI())/50))</f>
        <v>0</v>
      </c>
      <c r="C52" s="2">
        <f t="shared" si="9"/>
        <v>0</v>
      </c>
      <c r="D52" s="2">
        <f t="shared" si="22"/>
        <v>0</v>
      </c>
      <c r="E52" s="2">
        <f t="shared" si="23"/>
        <v>0.3056131989023837</v>
      </c>
      <c r="F52" s="2">
        <f t="shared" si="10"/>
        <v>0.29659852930540098</v>
      </c>
      <c r="G52" s="2" t="str">
        <f t="shared" si="11"/>
        <v xml:space="preserve"> </v>
      </c>
      <c r="H52" s="2" t="str">
        <f t="shared" si="12"/>
        <v xml:space="preserve"> </v>
      </c>
      <c r="I52" s="2" t="str">
        <f t="shared" si="13"/>
        <v xml:space="preserve"> </v>
      </c>
      <c r="J52" s="2">
        <f t="shared" si="14"/>
        <v>0</v>
      </c>
      <c r="K52" s="2">
        <f t="shared" si="15"/>
        <v>0.29659852930540098</v>
      </c>
      <c r="L52" s="2">
        <f>B52+C52*SIN(K52)</f>
        <v>0</v>
      </c>
      <c r="M52" s="2">
        <f>J52-C52*COS(K52)</f>
        <v>0</v>
      </c>
      <c r="U52" s="7">
        <f t="shared" si="28"/>
        <v>0</v>
      </c>
      <c r="V52" s="7">
        <f t="shared" si="29"/>
        <v>0</v>
      </c>
    </row>
    <row r="53" spans="2:31" x14ac:dyDescent="0.3">
      <c r="B53" s="2">
        <v>9.8663578586422052E-4</v>
      </c>
      <c r="C53" s="2">
        <f t="shared" si="9"/>
        <v>5.0606579480343573E-3</v>
      </c>
      <c r="D53" s="2">
        <f t="shared" si="22"/>
        <v>2.9995730847370822E-4</v>
      </c>
      <c r="E53" s="2">
        <f t="shared" si="23"/>
        <v>0.30242999174083868</v>
      </c>
      <c r="F53" s="2">
        <f t="shared" si="10"/>
        <v>0.29368465100873942</v>
      </c>
      <c r="G53" s="2" t="str">
        <f t="shared" si="11"/>
        <v xml:space="preserve"> </v>
      </c>
      <c r="H53" s="2" t="str">
        <f t="shared" si="12"/>
        <v xml:space="preserve"> </v>
      </c>
      <c r="I53" s="2" t="str">
        <f t="shared" si="13"/>
        <v xml:space="preserve"> </v>
      </c>
      <c r="J53" s="2">
        <f t="shared" si="14"/>
        <v>2.9995730847370822E-4</v>
      </c>
      <c r="K53" s="2">
        <f t="shared" si="15"/>
        <v>0.29368465100873942</v>
      </c>
      <c r="L53" s="2">
        <f t="shared" ref="L53:L101" si="31">B53+C53*SIN(K53)</f>
        <v>2.4516004647954217E-3</v>
      </c>
      <c r="M53" s="2">
        <f t="shared" ref="M53:M101" si="32">J53-C53*COS(K53)</f>
        <v>-4.5440221874043776E-3</v>
      </c>
      <c r="U53" s="7">
        <f t="shared" si="28"/>
        <v>2.4516004647954217E-3</v>
      </c>
      <c r="V53" s="7">
        <f t="shared" si="29"/>
        <v>-4.5440221874043776E-3</v>
      </c>
    </row>
    <row r="54" spans="2:31" x14ac:dyDescent="0.3">
      <c r="B54" s="2">
        <v>3.942649342761062E-3</v>
      </c>
      <c r="C54" s="2">
        <f t="shared" si="9"/>
        <v>9.9771558643674315E-3</v>
      </c>
      <c r="D54" s="2">
        <f t="shared" si="22"/>
        <v>1.1799517128401626E-3</v>
      </c>
      <c r="E54" s="2">
        <f t="shared" si="23"/>
        <v>0.29298591854757416</v>
      </c>
      <c r="F54" s="2">
        <f t="shared" si="10"/>
        <v>0.28500950014736809</v>
      </c>
      <c r="G54" s="2" t="str">
        <f t="shared" si="11"/>
        <v xml:space="preserve"> </v>
      </c>
      <c r="H54" s="2" t="str">
        <f t="shared" si="12"/>
        <v xml:space="preserve"> </v>
      </c>
      <c r="I54" s="2" t="str">
        <f t="shared" si="13"/>
        <v xml:space="preserve"> </v>
      </c>
      <c r="J54" s="2">
        <f t="shared" si="14"/>
        <v>1.1799517128401626E-3</v>
      </c>
      <c r="K54" s="2">
        <f t="shared" si="15"/>
        <v>0.28500950014736809</v>
      </c>
      <c r="L54" s="2">
        <f t="shared" si="31"/>
        <v>6.747892017638835E-3</v>
      </c>
      <c r="M54" s="2">
        <f t="shared" si="32"/>
        <v>-8.3947155229924242E-3</v>
      </c>
      <c r="U54" s="7">
        <f t="shared" si="28"/>
        <v>6.747892017638835E-3</v>
      </c>
      <c r="V54" s="7">
        <f t="shared" si="29"/>
        <v>-8.3947155229924242E-3</v>
      </c>
    </row>
    <row r="55" spans="2:31" x14ac:dyDescent="0.3">
      <c r="B55" s="2">
        <v>8.8563746356556394E-3</v>
      </c>
      <c r="C55" s="2">
        <f t="shared" si="9"/>
        <v>1.4738610704899621E-2</v>
      </c>
      <c r="D55" s="2">
        <f t="shared" si="22"/>
        <v>2.5816347173607903E-3</v>
      </c>
      <c r="E55" s="2">
        <f t="shared" si="23"/>
        <v>0.27759574120693131</v>
      </c>
      <c r="F55" s="2">
        <f t="shared" si="10"/>
        <v>0.27077784570448105</v>
      </c>
      <c r="G55" s="2" t="str">
        <f t="shared" si="11"/>
        <v xml:space="preserve"> </v>
      </c>
      <c r="H55" s="2" t="str">
        <f t="shared" si="12"/>
        <v xml:space="preserve"> </v>
      </c>
      <c r="I55" s="2" t="str">
        <f t="shared" si="13"/>
        <v xml:space="preserve"> </v>
      </c>
      <c r="J55" s="2">
        <f t="shared" si="14"/>
        <v>2.5816347173607903E-3</v>
      </c>
      <c r="K55" s="2">
        <f t="shared" si="15"/>
        <v>0.27077784570448105</v>
      </c>
      <c r="L55" s="2">
        <f t="shared" si="31"/>
        <v>1.2798673274725201E-2</v>
      </c>
      <c r="M55" s="2">
        <f t="shared" si="32"/>
        <v>-1.1619947129425575E-2</v>
      </c>
      <c r="U55" s="7">
        <f t="shared" si="28"/>
        <v>1.2798673274725201E-2</v>
      </c>
      <c r="V55" s="7">
        <f t="shared" si="29"/>
        <v>-1.1619947129425575E-2</v>
      </c>
    </row>
    <row r="56" spans="2:31" x14ac:dyDescent="0.3">
      <c r="B56" s="2">
        <v>1.5708419435684462E-2</v>
      </c>
      <c r="C56" s="2">
        <f t="shared" si="9"/>
        <v>1.9330582224955414E-2</v>
      </c>
      <c r="D56" s="2">
        <f t="shared" si="22"/>
        <v>4.4119827070631425E-3</v>
      </c>
      <c r="E56" s="2">
        <f t="shared" si="23"/>
        <v>0.25677781678483041</v>
      </c>
      <c r="F56" s="2">
        <f t="shared" si="10"/>
        <v>0.25134754159251604</v>
      </c>
      <c r="G56" s="2" t="str">
        <f t="shared" si="11"/>
        <v xml:space="preserve"> </v>
      </c>
      <c r="H56" s="2" t="str">
        <f t="shared" si="12"/>
        <v xml:space="preserve"> </v>
      </c>
      <c r="I56" s="2" t="str">
        <f t="shared" si="13"/>
        <v xml:space="preserve"> </v>
      </c>
      <c r="J56" s="2">
        <f t="shared" si="14"/>
        <v>4.4119827070631425E-3</v>
      </c>
      <c r="K56" s="2">
        <f t="shared" si="15"/>
        <v>0.25134754159251604</v>
      </c>
      <c r="L56" s="2">
        <f t="shared" si="31"/>
        <v>2.0516116633613857E-2</v>
      </c>
      <c r="M56" s="2">
        <f t="shared" si="32"/>
        <v>-1.4311196959029476E-2</v>
      </c>
      <c r="U56" s="7">
        <f t="shared" si="28"/>
        <v>2.0516116633613857E-2</v>
      </c>
      <c r="V56" s="7">
        <f t="shared" si="29"/>
        <v>-1.4311196959029476E-2</v>
      </c>
    </row>
    <row r="57" spans="2:31" x14ac:dyDescent="0.3">
      <c r="B57" s="2">
        <v>2.4471741852423234E-2</v>
      </c>
      <c r="C57" s="2">
        <f t="shared" si="9"/>
        <v>2.3735537076948452E-2</v>
      </c>
      <c r="D57" s="2">
        <f t="shared" si="22"/>
        <v>6.5494377248499352E-3</v>
      </c>
      <c r="E57" s="2">
        <f t="shared" si="23"/>
        <v>0.23124483488419054</v>
      </c>
      <c r="F57" s="2">
        <f t="shared" si="10"/>
        <v>0.22725035768934937</v>
      </c>
      <c r="G57" s="2" t="str">
        <f t="shared" si="11"/>
        <v xml:space="preserve"> </v>
      </c>
      <c r="H57" s="2" t="str">
        <f t="shared" si="12"/>
        <v xml:space="preserve"> </v>
      </c>
      <c r="I57" s="2" t="str">
        <f t="shared" si="13"/>
        <v xml:space="preserve"> </v>
      </c>
      <c r="J57" s="2">
        <f t="shared" si="14"/>
        <v>6.5494377248499352E-3</v>
      </c>
      <c r="K57" s="2">
        <f t="shared" si="15"/>
        <v>0.22725035768934937</v>
      </c>
      <c r="L57" s="2">
        <f t="shared" si="31"/>
        <v>2.9819344845054198E-2</v>
      </c>
      <c r="M57" s="2">
        <f t="shared" si="32"/>
        <v>-1.657584849098746E-2</v>
      </c>
      <c r="U57" s="7">
        <f t="shared" si="28"/>
        <v>2.9819344845054198E-2</v>
      </c>
      <c r="V57" s="7">
        <f t="shared" si="29"/>
        <v>-1.657584849098746E-2</v>
      </c>
    </row>
    <row r="58" spans="2:31" x14ac:dyDescent="0.3">
      <c r="B58" s="2">
        <v>3.5111757055874271E-2</v>
      </c>
      <c r="C58" s="2">
        <f t="shared" si="9"/>
        <v>2.7933465002888364E-2</v>
      </c>
      <c r="D58" s="2">
        <f t="shared" si="22"/>
        <v>8.8521222268470399E-3</v>
      </c>
      <c r="E58" s="2">
        <f t="shared" si="23"/>
        <v>0.20189106113782213</v>
      </c>
      <c r="F58" s="2">
        <f t="shared" si="10"/>
        <v>0.1992132248422524</v>
      </c>
      <c r="G58" s="2" t="str">
        <f t="shared" si="11"/>
        <v xml:space="preserve"> </v>
      </c>
      <c r="H58" s="2" t="str">
        <f t="shared" si="12"/>
        <v xml:space="preserve"> </v>
      </c>
      <c r="I58" s="2" t="str">
        <f t="shared" si="13"/>
        <v xml:space="preserve"> </v>
      </c>
      <c r="J58" s="2">
        <f t="shared" si="14"/>
        <v>8.8521222268470399E-3</v>
      </c>
      <c r="K58" s="2">
        <f t="shared" si="15"/>
        <v>0.1992132248422524</v>
      </c>
      <c r="L58" s="2">
        <f t="shared" si="31"/>
        <v>4.0639738866975958E-2</v>
      </c>
      <c r="M58" s="2">
        <f t="shared" si="32"/>
        <v>-1.8528890978725135E-2</v>
      </c>
      <c r="U58" s="7">
        <f t="shared" si="28"/>
        <v>4.0639738866975958E-2</v>
      </c>
      <c r="V58" s="7">
        <f t="shared" si="29"/>
        <v>-1.8528890978725135E-2</v>
      </c>
    </row>
    <row r="59" spans="2:31" x14ac:dyDescent="0.3">
      <c r="B59" s="2">
        <v>4.7586473766990212E-2</v>
      </c>
      <c r="C59" s="2">
        <f t="shared" si="9"/>
        <v>3.1902617641518645E-2</v>
      </c>
      <c r="D59" s="2">
        <f t="shared" si="22"/>
        <v>1.1167763269688605E-2</v>
      </c>
      <c r="E59" s="2">
        <f t="shared" si="23"/>
        <v>0.16977629400330407</v>
      </c>
      <c r="F59" s="2">
        <f t="shared" si="10"/>
        <v>0.16817272662750121</v>
      </c>
      <c r="G59" s="2" t="str">
        <f t="shared" si="11"/>
        <v xml:space="preserve"> </v>
      </c>
      <c r="H59" s="2" t="str">
        <f t="shared" si="12"/>
        <v xml:space="preserve"> </v>
      </c>
      <c r="I59" s="2" t="str">
        <f t="shared" si="13"/>
        <v xml:space="preserve"> </v>
      </c>
      <c r="J59" s="2">
        <f t="shared" si="14"/>
        <v>1.1167763269688605E-2</v>
      </c>
      <c r="K59" s="2">
        <f t="shared" si="15"/>
        <v>0.16817272662750121</v>
      </c>
      <c r="L59" s="2">
        <f t="shared" si="31"/>
        <v>5.2926370111700302E-2</v>
      </c>
      <c r="M59" s="2">
        <f t="shared" si="32"/>
        <v>-2.0284780656179908E-2</v>
      </c>
      <c r="U59" s="7">
        <f t="shared" si="28"/>
        <v>5.2926370111700302E-2</v>
      </c>
      <c r="V59" s="7">
        <f t="shared" si="29"/>
        <v>-2.0284780656179908E-2</v>
      </c>
    </row>
    <row r="60" spans="2:31" x14ac:dyDescent="0.3">
      <c r="B60" s="2">
        <v>6.1846659978068208E-2</v>
      </c>
      <c r="C60" s="2">
        <f t="shared" si="9"/>
        <v>3.5620334859384338E-2</v>
      </c>
      <c r="D60" s="2">
        <f t="shared" si="22"/>
        <v>1.3344882101417838E-2</v>
      </c>
      <c r="E60" s="2">
        <f t="shared" si="23"/>
        <v>0.13610679552746921</v>
      </c>
      <c r="F60" s="2">
        <f t="shared" si="10"/>
        <v>0.13527555326223215</v>
      </c>
      <c r="G60" s="2" t="str">
        <f t="shared" si="11"/>
        <v xml:space="preserve"> </v>
      </c>
      <c r="H60" s="2" t="str">
        <f t="shared" si="12"/>
        <v xml:space="preserve"> </v>
      </c>
      <c r="I60" s="2" t="str">
        <f t="shared" si="13"/>
        <v xml:space="preserve"> </v>
      </c>
      <c r="J60" s="2">
        <f t="shared" si="14"/>
        <v>1.3344882101417838E-2</v>
      </c>
      <c r="K60" s="2">
        <f t="shared" si="15"/>
        <v>0.13527555326223215</v>
      </c>
      <c r="L60" s="2">
        <f t="shared" si="31"/>
        <v>6.6650537736159809E-2</v>
      </c>
      <c r="M60" s="2">
        <f t="shared" si="32"/>
        <v>-2.1950032744491397E-2</v>
      </c>
      <c r="U60" s="7">
        <f t="shared" si="28"/>
        <v>6.6650537736159809E-2</v>
      </c>
      <c r="V60" s="7">
        <f t="shared" si="29"/>
        <v>-2.1950032744491397E-2</v>
      </c>
    </row>
    <row r="61" spans="2:31" x14ac:dyDescent="0.3">
      <c r="B61" s="2">
        <v>7.7836037248992462E-2</v>
      </c>
      <c r="C61" s="2">
        <f t="shared" si="9"/>
        <v>3.9063919786288683E-2</v>
      </c>
      <c r="D61" s="2">
        <f t="shared" si="22"/>
        <v>1.5244742893759803E-2</v>
      </c>
      <c r="E61" s="2">
        <f t="shared" si="23"/>
        <v>0.10221350611013409</v>
      </c>
      <c r="F61" s="2">
        <f t="shared" si="10"/>
        <v>0.10185975899122278</v>
      </c>
      <c r="G61" s="2" t="str">
        <f t="shared" si="11"/>
        <v xml:space="preserve"> </v>
      </c>
      <c r="H61" s="2" t="str">
        <f t="shared" si="12"/>
        <v xml:space="preserve"> </v>
      </c>
      <c r="I61" s="2" t="str">
        <f t="shared" si="13"/>
        <v xml:space="preserve"> </v>
      </c>
      <c r="J61" s="2">
        <f t="shared" si="14"/>
        <v>1.5244742893759803E-2</v>
      </c>
      <c r="K61" s="2">
        <f t="shared" si="15"/>
        <v>0.10185975899122278</v>
      </c>
      <c r="L61" s="2">
        <f t="shared" si="31"/>
        <v>8.1808201574215339E-2</v>
      </c>
      <c r="M61" s="2">
        <f t="shared" si="32"/>
        <v>-2.3616699946708994E-2</v>
      </c>
      <c r="U61" s="7">
        <f t="shared" si="28"/>
        <v>8.1808201574215339E-2</v>
      </c>
      <c r="V61" s="7">
        <f t="shared" si="29"/>
        <v>-2.3616699946708994E-2</v>
      </c>
    </row>
    <row r="62" spans="2:31" x14ac:dyDescent="0.3">
      <c r="B62" s="2">
        <v>9.5491502812526274E-2</v>
      </c>
      <c r="C62" s="2">
        <f t="shared" si="9"/>
        <v>4.2211522071732441E-2</v>
      </c>
      <c r="D62" s="2">
        <f t="shared" si="22"/>
        <v>1.6753511859732312E-2</v>
      </c>
      <c r="E62" s="2">
        <f t="shared" si="23"/>
        <v>6.9527897732680755E-2</v>
      </c>
      <c r="F62" s="2">
        <f t="shared" si="10"/>
        <v>6.9416185972729083E-2</v>
      </c>
      <c r="G62" s="2" t="str">
        <f t="shared" si="11"/>
        <v xml:space="preserve"> </v>
      </c>
      <c r="H62" s="2" t="str">
        <f t="shared" si="12"/>
        <v xml:space="preserve"> </v>
      </c>
      <c r="I62" s="2" t="str">
        <f t="shared" si="13"/>
        <v xml:space="preserve"> </v>
      </c>
      <c r="J62" s="2">
        <f t="shared" si="14"/>
        <v>1.6753511859732312E-2</v>
      </c>
      <c r="K62" s="2">
        <f t="shared" si="15"/>
        <v>6.9416185972729083E-2</v>
      </c>
      <c r="L62" s="2">
        <f t="shared" si="31"/>
        <v>9.8419313028590569E-2</v>
      </c>
      <c r="M62" s="2">
        <f t="shared" si="32"/>
        <v>-2.5356350678051691E-2</v>
      </c>
      <c r="U62" s="7">
        <f t="shared" si="28"/>
        <v>9.8419313028590569E-2</v>
      </c>
      <c r="V62" s="7">
        <f t="shared" si="29"/>
        <v>-2.5356350678051691E-2</v>
      </c>
    </row>
    <row r="63" spans="2:31" x14ac:dyDescent="0.3">
      <c r="B63" s="2">
        <v>0.11474337861210537</v>
      </c>
      <c r="C63" s="2">
        <f t="shared" si="9"/>
        <v>4.5042989345005294E-2</v>
      </c>
      <c r="D63" s="2">
        <f t="shared" si="22"/>
        <v>1.7794057010869981E-2</v>
      </c>
      <c r="E63" s="2">
        <f t="shared" si="23"/>
        <v>3.9555858919920348E-2</v>
      </c>
      <c r="F63" s="2">
        <f t="shared" si="10"/>
        <v>3.9535247697416911E-2</v>
      </c>
      <c r="G63" s="2" t="str">
        <f t="shared" si="11"/>
        <v xml:space="preserve"> </v>
      </c>
      <c r="H63" s="2" t="str">
        <f t="shared" si="12"/>
        <v xml:space="preserve"> </v>
      </c>
      <c r="I63" s="2" t="str">
        <f t="shared" si="13"/>
        <v xml:space="preserve"> </v>
      </c>
      <c r="J63" s="2">
        <f t="shared" si="14"/>
        <v>1.7794057010869981E-2</v>
      </c>
      <c r="K63" s="2">
        <f t="shared" si="15"/>
        <v>3.9535247697416911E-2</v>
      </c>
      <c r="L63" s="2">
        <f t="shared" si="31"/>
        <v>0.11652370048383201</v>
      </c>
      <c r="M63" s="2">
        <f t="shared" si="32"/>
        <v>-2.7213735016370283E-2</v>
      </c>
      <c r="U63" s="7">
        <f t="shared" si="28"/>
        <v>0.11652370048383201</v>
      </c>
      <c r="V63" s="7">
        <f t="shared" si="29"/>
        <v>-2.7213735016370283E-2</v>
      </c>
    </row>
    <row r="64" spans="2:31" x14ac:dyDescent="0.3">
      <c r="B64" s="2">
        <v>0.13551568628929422</v>
      </c>
      <c r="C64" s="2">
        <f t="shared" si="9"/>
        <v>4.7540649401286002E-2</v>
      </c>
      <c r="D64" s="2">
        <f t="shared" si="22"/>
        <v>1.8336820292030237E-2</v>
      </c>
      <c r="E64" s="2">
        <f t="shared" si="23"/>
        <v>1.3850037255238607E-2</v>
      </c>
      <c r="F64" s="2">
        <f t="shared" si="10"/>
        <v>1.3849151769462499E-2</v>
      </c>
      <c r="G64" s="2" t="str">
        <f t="shared" si="11"/>
        <v xml:space="preserve"> </v>
      </c>
      <c r="H64" s="2" t="str">
        <f t="shared" si="12"/>
        <v xml:space="preserve"> </v>
      </c>
      <c r="I64" s="2" t="str">
        <f t="shared" si="13"/>
        <v xml:space="preserve"> </v>
      </c>
      <c r="J64" s="2">
        <f t="shared" si="14"/>
        <v>1.8336820292030237E-2</v>
      </c>
      <c r="K64" s="2">
        <f t="shared" si="15"/>
        <v>1.3849151769462499E-2</v>
      </c>
      <c r="L64" s="2">
        <f t="shared" si="31"/>
        <v>0.13617406291160367</v>
      </c>
      <c r="M64" s="2">
        <f t="shared" si="32"/>
        <v>-2.9199270057505153E-2</v>
      </c>
      <c r="U64" s="7">
        <f t="shared" si="28"/>
        <v>0.13617406291160367</v>
      </c>
      <c r="V64" s="7">
        <f t="shared" si="29"/>
        <v>-2.9199270057505153E-2</v>
      </c>
    </row>
    <row r="65" spans="2:22" x14ac:dyDescent="0.3">
      <c r="B65" s="2">
        <v>0.15772644703565569</v>
      </c>
      <c r="C65" s="2">
        <f t="shared" si="9"/>
        <v>4.9689990076055186E-2</v>
      </c>
      <c r="D65" s="2">
        <f t="shared" ref="D65:D96" si="33">IF($A$20=$A$21, IF(B65&lt;$A$9, ($A$10/6)*((B65^3)-3*$A$9*(B65^2)+($A$9^2)*(3-$A$9)*B65), (($A$10*($A$9^3))/6)*(1-B65)), " ")</f>
        <v>1.8409217925482696E-2</v>
      </c>
      <c r="E65" s="2">
        <f t="shared" ref="E65:E96" si="34">IF($A$20=$A$21,IF(B65&lt;$A$9, ($A$10/6)*(3*(B65^2)-6*$A$9*B65+($A$9^2)*(3-$A$9)), -($A$10*($A$9^3))/6), " ")</f>
        <v>-6.0189089499736448E-3</v>
      </c>
      <c r="F65" s="2">
        <f t="shared" si="10"/>
        <v>-6.0188362686837216E-3</v>
      </c>
      <c r="G65" s="2" t="str">
        <f t="shared" si="11"/>
        <v xml:space="preserve"> </v>
      </c>
      <c r="H65" s="2" t="str">
        <f t="shared" si="12"/>
        <v xml:space="preserve"> </v>
      </c>
      <c r="I65" s="2" t="str">
        <f t="shared" si="13"/>
        <v xml:space="preserve"> </v>
      </c>
      <c r="J65" s="2">
        <f t="shared" si="14"/>
        <v>1.8409217925482696E-2</v>
      </c>
      <c r="K65" s="2">
        <f t="shared" si="15"/>
        <v>-6.0188362686837216E-3</v>
      </c>
      <c r="L65" s="2">
        <f t="shared" si="31"/>
        <v>0.15742737292693224</v>
      </c>
      <c r="M65" s="2">
        <f t="shared" si="32"/>
        <v>-3.127987210880908E-2</v>
      </c>
      <c r="U65" s="7">
        <f t="shared" si="28"/>
        <v>0.15742737292693224</v>
      </c>
      <c r="V65" s="7">
        <f t="shared" si="29"/>
        <v>-3.127987210880908E-2</v>
      </c>
    </row>
    <row r="66" spans="2:22" x14ac:dyDescent="0.3">
      <c r="B66" s="2">
        <v>0.18128800512565513</v>
      </c>
      <c r="C66" s="2">
        <f t="shared" ref="C66:C102" si="35">IF($AA$4, 5*$A$7*(0.298*SQRT(B66)-0.132*B66-0.3287*(B66^2)+0.2442*(B66^3)-0.0815*(B66^4)),  5*$A$7*(0.2969*SQRT(B66)-0.126*B66-0.3516*(B66^2)+0.2843*(B66^3)-0.1015*(B66^4)))</f>
        <v>5.1480209831149724E-2</v>
      </c>
      <c r="D66" s="2">
        <f t="shared" si="33"/>
        <v>1.8103070795910694E-2</v>
      </c>
      <c r="E66" s="2">
        <f t="shared" si="34"/>
        <v>-1.8491679633496252E-2</v>
      </c>
      <c r="F66" s="2">
        <f t="shared" ref="F66:F102" si="36">IF($A$20=$A$21, ATAN(E66), " ")</f>
        <v>-1.8489572370514899E-2</v>
      </c>
      <c r="G66" s="2" t="str">
        <f t="shared" ref="G66:G102" si="37">IF($A$20=$A$22,  IF(B66&lt;$A$12, ($A$13/6)*((B66-$A$12)^3-$A$14*((1-$A$12)^3)*B66-($A$12^3)*B66+$A$12^3), ($A$13/6)*($A$14*(B66-$A$12)^3-$A$14*((1-$A$12)^3)*B66-($A$12^3)*B66+$A$12^3)), " ")</f>
        <v xml:space="preserve"> </v>
      </c>
      <c r="H66" s="2" t="str">
        <f t="shared" ref="H66:H102" si="38">IF($A$20=$A$22, IF(B66&lt;$A$12, ($A$13/6)*(3*(B66-$A$12)^2-$A$14*((1-$A$12)^3)-($A$12^3)), ($A$13/6)*(3*$A$14*(B66-$A$12)^2-$A$14*((1-$A$12)^3)-($A$12^3))), " ")</f>
        <v xml:space="preserve"> </v>
      </c>
      <c r="I66" s="2" t="str">
        <f t="shared" ref="I66:I102" si="39">IF($A$20=$A$22,  ATAN(H66), " ")</f>
        <v xml:space="preserve"> </v>
      </c>
      <c r="J66" s="2">
        <f t="shared" ref="J66:J102" si="40">IF($A$20=$A$21, D66, G66)</f>
        <v>1.8103070795910694E-2</v>
      </c>
      <c r="K66" s="2">
        <f t="shared" ref="K66:K102" si="41">IF($A$20=$A$21, F66, I66)</f>
        <v>-1.8489572370514899E-2</v>
      </c>
      <c r="L66" s="2">
        <f t="shared" si="31"/>
        <v>0.18033621229315874</v>
      </c>
      <c r="M66" s="2">
        <f t="shared" si="32"/>
        <v>-3.3368339663325933E-2</v>
      </c>
      <c r="U66" s="7">
        <f t="shared" ref="U66:U102" si="42">L66*COS($A$17)+M66*SIN($A$17)</f>
        <v>0.18033621229315874</v>
      </c>
      <c r="V66" s="7">
        <f t="shared" ref="V66" si="43">-L66*SIN($A$17)+M66*COS($A$17)</f>
        <v>-3.3368339663325933E-2</v>
      </c>
    </row>
    <row r="67" spans="2:22" x14ac:dyDescent="0.3">
      <c r="B67" s="2">
        <v>0.20610737385376338</v>
      </c>
      <c r="C67" s="2">
        <f t="shared" si="35"/>
        <v>5.2904619390297856E-2</v>
      </c>
      <c r="D67" s="2">
        <f t="shared" si="33"/>
        <v>1.7579526203452222E-2</v>
      </c>
      <c r="E67" s="2">
        <f t="shared" si="34"/>
        <v>-2.2143455707338989E-2</v>
      </c>
      <c r="F67" s="2">
        <f t="shared" si="36"/>
        <v>-2.2139837552109447E-2</v>
      </c>
      <c r="G67" s="2" t="str">
        <f t="shared" si="37"/>
        <v xml:space="preserve"> </v>
      </c>
      <c r="H67" s="2" t="str">
        <f t="shared" si="38"/>
        <v xml:space="preserve"> </v>
      </c>
      <c r="I67" s="2" t="str">
        <f t="shared" si="39"/>
        <v xml:space="preserve"> </v>
      </c>
      <c r="J67" s="2">
        <f t="shared" si="40"/>
        <v>1.7579526203452222E-2</v>
      </c>
      <c r="K67" s="2">
        <f t="shared" si="41"/>
        <v>-2.2139837552109447E-2</v>
      </c>
      <c r="L67" s="2">
        <f t="shared" si="31"/>
        <v>0.20493616986215793</v>
      </c>
      <c r="M67" s="2">
        <f t="shared" si="32"/>
        <v>-3.5312127524166542E-2</v>
      </c>
      <c r="U67" s="7">
        <f t="shared" si="42"/>
        <v>0.20493616986215793</v>
      </c>
      <c r="V67" s="7">
        <f>-L67*SIN($A$17)+M67*COS($A$17)</f>
        <v>-3.5312127524166542E-2</v>
      </c>
    </row>
    <row r="68" spans="2:22" x14ac:dyDescent="0.3">
      <c r="B68" s="2">
        <v>0.23208660251050173</v>
      </c>
      <c r="C68" s="2">
        <f t="shared" si="35"/>
        <v>5.3960882896481023E-2</v>
      </c>
      <c r="D68" s="2">
        <f t="shared" si="33"/>
        <v>1.7004256304380905E-2</v>
      </c>
      <c r="E68" s="2">
        <f t="shared" si="34"/>
        <v>-2.2143455707338989E-2</v>
      </c>
      <c r="F68" s="2">
        <f t="shared" si="36"/>
        <v>-2.2139837552109447E-2</v>
      </c>
      <c r="G68" s="2" t="str">
        <f t="shared" si="37"/>
        <v xml:space="preserve"> </v>
      </c>
      <c r="H68" s="2" t="str">
        <f t="shared" si="38"/>
        <v xml:space="preserve"> </v>
      </c>
      <c r="I68" s="2" t="str">
        <f t="shared" si="39"/>
        <v xml:space="preserve"> </v>
      </c>
      <c r="J68" s="2">
        <f t="shared" si="40"/>
        <v>1.7004256304380905E-2</v>
      </c>
      <c r="K68" s="2">
        <f t="shared" si="41"/>
        <v>-2.2139837552109447E-2</v>
      </c>
      <c r="L68" s="2">
        <f t="shared" si="31"/>
        <v>0.23089201492689834</v>
      </c>
      <c r="M68" s="2">
        <f t="shared" si="32"/>
        <v>-3.6943402064382784E-2</v>
      </c>
      <c r="U68" s="7">
        <f t="shared" si="42"/>
        <v>0.23089201492689834</v>
      </c>
      <c r="V68" s="7">
        <f t="shared" ref="V68:V102" si="44">-L68*SIN($A$17)+M68*COS($A$17)</f>
        <v>-3.6943402064382784E-2</v>
      </c>
    </row>
    <row r="69" spans="2:22" x14ac:dyDescent="0.3">
      <c r="B69" s="2">
        <v>0.25912316294914239</v>
      </c>
      <c r="C69" s="2">
        <f t="shared" si="35"/>
        <v>5.4651095544875433E-2</v>
      </c>
      <c r="D69" s="2">
        <f t="shared" si="33"/>
        <v>1.640557342582907E-2</v>
      </c>
      <c r="E69" s="2">
        <f t="shared" si="34"/>
        <v>-2.2143455707338989E-2</v>
      </c>
      <c r="F69" s="2">
        <f t="shared" si="36"/>
        <v>-2.2139837552109447E-2</v>
      </c>
      <c r="G69" s="2" t="str">
        <f t="shared" si="37"/>
        <v xml:space="preserve"> </v>
      </c>
      <c r="H69" s="2" t="str">
        <f t="shared" si="38"/>
        <v xml:space="preserve"> </v>
      </c>
      <c r="I69" s="2" t="str">
        <f t="shared" si="39"/>
        <v xml:space="preserve"> </v>
      </c>
      <c r="J69" s="2">
        <f t="shared" si="40"/>
        <v>1.640557342582907E-2</v>
      </c>
      <c r="K69" s="2">
        <f t="shared" si="41"/>
        <v>-2.2139837552109447E-2</v>
      </c>
      <c r="L69" s="2">
        <f t="shared" si="31"/>
        <v>0.25791329541800001</v>
      </c>
      <c r="M69" s="2">
        <f t="shared" si="32"/>
        <v>-3.8232128436641241E-2</v>
      </c>
      <c r="U69" s="7">
        <f t="shared" si="42"/>
        <v>0.25791329541800001</v>
      </c>
      <c r="V69" s="7">
        <f t="shared" si="44"/>
        <v>-3.8232128436641241E-2</v>
      </c>
    </row>
    <row r="70" spans="2:22" x14ac:dyDescent="0.3">
      <c r="B70" s="2">
        <v>0.28711035421746367</v>
      </c>
      <c r="C70" s="2">
        <f t="shared" si="35"/>
        <v>5.4981702989088638E-2</v>
      </c>
      <c r="D70" s="2">
        <f t="shared" si="33"/>
        <v>1.5785840295606174E-2</v>
      </c>
      <c r="E70" s="2">
        <f t="shared" si="34"/>
        <v>-2.2143455707338989E-2</v>
      </c>
      <c r="F70" s="2">
        <f t="shared" si="36"/>
        <v>-2.2139837552109447E-2</v>
      </c>
      <c r="G70" s="2" t="str">
        <f t="shared" si="37"/>
        <v xml:space="preserve"> </v>
      </c>
      <c r="H70" s="2" t="str">
        <f t="shared" si="38"/>
        <v xml:space="preserve"> </v>
      </c>
      <c r="I70" s="2" t="str">
        <f t="shared" si="39"/>
        <v xml:space="preserve"> </v>
      </c>
      <c r="J70" s="2">
        <f t="shared" si="40"/>
        <v>1.5785840295606174E-2</v>
      </c>
      <c r="K70" s="2">
        <f t="shared" si="41"/>
        <v>-2.2139837552109447E-2</v>
      </c>
      <c r="L70" s="2">
        <f t="shared" si="31"/>
        <v>0.2858931676891755</v>
      </c>
      <c r="M70" s="2">
        <f t="shared" si="32"/>
        <v>-3.9182387987063735E-2</v>
      </c>
      <c r="U70" s="7">
        <f t="shared" si="42"/>
        <v>0.2858931676891755</v>
      </c>
      <c r="V70" s="7">
        <f t="shared" si="44"/>
        <v>-3.9182387987063735E-2</v>
      </c>
    </row>
    <row r="71" spans="2:22" x14ac:dyDescent="0.3">
      <c r="B71" s="2">
        <v>0.31593772365766093</v>
      </c>
      <c r="C71" s="2">
        <f t="shared" si="35"/>
        <v>5.496327555811209E-2</v>
      </c>
      <c r="D71" s="2">
        <f t="shared" si="33"/>
        <v>1.5147502717248068E-2</v>
      </c>
      <c r="E71" s="2">
        <f t="shared" si="34"/>
        <v>-2.2143455707338989E-2</v>
      </c>
      <c r="F71" s="2">
        <f t="shared" si="36"/>
        <v>-2.2139837552109447E-2</v>
      </c>
      <c r="G71" s="2" t="str">
        <f t="shared" si="37"/>
        <v xml:space="preserve"> </v>
      </c>
      <c r="H71" s="2" t="str">
        <f t="shared" si="38"/>
        <v xml:space="preserve"> </v>
      </c>
      <c r="I71" s="2" t="str">
        <f t="shared" si="39"/>
        <v xml:space="preserve"> </v>
      </c>
      <c r="J71" s="2">
        <f t="shared" si="40"/>
        <v>1.5147502717248068E-2</v>
      </c>
      <c r="K71" s="2">
        <f t="shared" si="41"/>
        <v>-2.2139837552109447E-2</v>
      </c>
      <c r="L71" s="2">
        <f t="shared" si="31"/>
        <v>0.31472094507637177</v>
      </c>
      <c r="M71" s="2">
        <f t="shared" si="32"/>
        <v>-3.9802302650569915E-2</v>
      </c>
      <c r="U71" s="7">
        <f t="shared" si="42"/>
        <v>0.31472094507637177</v>
      </c>
      <c r="V71" s="7">
        <f t="shared" si="44"/>
        <v>-3.9802302650569915E-2</v>
      </c>
    </row>
    <row r="72" spans="2:22" x14ac:dyDescent="0.3">
      <c r="B72" s="2">
        <v>0.34549150281252627</v>
      </c>
      <c r="C72" s="2">
        <f t="shared" si="35"/>
        <v>5.4610157034962449E-2</v>
      </c>
      <c r="D72" s="2">
        <f t="shared" si="33"/>
        <v>1.449307991754783E-2</v>
      </c>
      <c r="E72" s="2">
        <f t="shared" si="34"/>
        <v>-2.2143455707338989E-2</v>
      </c>
      <c r="F72" s="2">
        <f t="shared" si="36"/>
        <v>-2.2139837552109447E-2</v>
      </c>
      <c r="G72" s="2" t="str">
        <f t="shared" si="37"/>
        <v xml:space="preserve"> </v>
      </c>
      <c r="H72" s="2" t="str">
        <f t="shared" si="38"/>
        <v xml:space="preserve"> </v>
      </c>
      <c r="I72" s="2" t="str">
        <f t="shared" si="39"/>
        <v xml:space="preserve"> </v>
      </c>
      <c r="J72" s="2">
        <f t="shared" si="40"/>
        <v>1.449307991754783E-2</v>
      </c>
      <c r="K72" s="2">
        <f t="shared" si="41"/>
        <v>-2.2139837552109447E-2</v>
      </c>
      <c r="L72" s="2">
        <f t="shared" si="31"/>
        <v>0.34428254157929838</v>
      </c>
      <c r="M72" s="2">
        <f t="shared" si="32"/>
        <v>-4.0103693468063625E-2</v>
      </c>
      <c r="U72" s="7">
        <f t="shared" si="42"/>
        <v>0.34428254157929838</v>
      </c>
      <c r="V72" s="7">
        <f t="shared" si="44"/>
        <v>-4.0103693468063625E-2</v>
      </c>
    </row>
    <row r="73" spans="2:22" x14ac:dyDescent="0.3">
      <c r="B73" s="2">
        <v>0.37565505641757263</v>
      </c>
      <c r="C73" s="2">
        <f t="shared" si="35"/>
        <v>5.3940013082782248E-2</v>
      </c>
      <c r="D73" s="2">
        <f t="shared" si="33"/>
        <v>1.3825154604318539E-2</v>
      </c>
      <c r="E73" s="2">
        <f t="shared" si="34"/>
        <v>-2.2143455707338989E-2</v>
      </c>
      <c r="F73" s="2">
        <f t="shared" si="36"/>
        <v>-2.2139837552109447E-2</v>
      </c>
      <c r="G73" s="2" t="str">
        <f t="shared" si="37"/>
        <v xml:space="preserve"> </v>
      </c>
      <c r="H73" s="2" t="str">
        <f t="shared" si="38"/>
        <v xml:space="preserve"> </v>
      </c>
      <c r="I73" s="2" t="str">
        <f t="shared" si="39"/>
        <v xml:space="preserve"> </v>
      </c>
      <c r="J73" s="2">
        <f t="shared" si="40"/>
        <v>1.3825154604318539E-2</v>
      </c>
      <c r="K73" s="2">
        <f t="shared" si="41"/>
        <v>-2.2139837552109447E-2</v>
      </c>
      <c r="L73" s="2">
        <f t="shared" si="31"/>
        <v>0.37446093085050752</v>
      </c>
      <c r="M73" s="2">
        <f t="shared" si="32"/>
        <v>-4.0101639065440856E-2</v>
      </c>
      <c r="U73" s="7">
        <f t="shared" si="42"/>
        <v>0.37446093085050752</v>
      </c>
      <c r="V73" s="7">
        <f t="shared" si="44"/>
        <v>-4.0101639065440856E-2</v>
      </c>
    </row>
    <row r="74" spans="2:22" x14ac:dyDescent="0.3">
      <c r="B74" s="2">
        <v>0.40630934270713764</v>
      </c>
      <c r="C74" s="2">
        <f t="shared" si="35"/>
        <v>5.2973308096805088E-2</v>
      </c>
      <c r="D74" s="2">
        <f t="shared" si="33"/>
        <v>1.3146362773625469E-2</v>
      </c>
      <c r="E74" s="2">
        <f t="shared" si="34"/>
        <v>-2.2143455707338989E-2</v>
      </c>
      <c r="F74" s="2">
        <f t="shared" si="36"/>
        <v>-2.2139837552109447E-2</v>
      </c>
      <c r="G74" s="2" t="str">
        <f t="shared" si="37"/>
        <v xml:space="preserve"> </v>
      </c>
      <c r="H74" s="2" t="str">
        <f t="shared" si="38"/>
        <v xml:space="preserve"> </v>
      </c>
      <c r="I74" s="2" t="str">
        <f t="shared" si="39"/>
        <v xml:space="preserve"> </v>
      </c>
      <c r="J74" s="2">
        <f t="shared" si="40"/>
        <v>1.3146362773625469E-2</v>
      </c>
      <c r="K74" s="2">
        <f t="shared" si="41"/>
        <v>-2.2139837552109447E-2</v>
      </c>
      <c r="L74" s="2">
        <f t="shared" si="31"/>
        <v>0.40513661808296425</v>
      </c>
      <c r="M74" s="2">
        <f t="shared" si="32"/>
        <v>-3.981396282653387E-2</v>
      </c>
      <c r="U74" s="7">
        <f t="shared" si="42"/>
        <v>0.40513661808296425</v>
      </c>
      <c r="V74" s="7">
        <f t="shared" si="44"/>
        <v>-3.981396282653387E-2</v>
      </c>
    </row>
    <row r="75" spans="2:22" x14ac:dyDescent="0.3">
      <c r="B75" s="2">
        <v>0.43733338321784776</v>
      </c>
      <c r="C75" s="2">
        <f t="shared" si="35"/>
        <v>5.1732741151076088E-2</v>
      </c>
      <c r="D75" s="2">
        <f t="shared" si="33"/>
        <v>1.2459383306713869E-2</v>
      </c>
      <c r="E75" s="2">
        <f t="shared" si="34"/>
        <v>-2.2143455707338989E-2</v>
      </c>
      <c r="F75" s="2">
        <f t="shared" si="36"/>
        <v>-2.2139837552109447E-2</v>
      </c>
      <c r="G75" s="2" t="str">
        <f t="shared" si="37"/>
        <v xml:space="preserve"> </v>
      </c>
      <c r="H75" s="2" t="str">
        <f t="shared" si="38"/>
        <v xml:space="preserve"> </v>
      </c>
      <c r="I75" s="2" t="str">
        <f t="shared" si="39"/>
        <v xml:space="preserve"> </v>
      </c>
      <c r="J75" s="2">
        <f t="shared" si="40"/>
        <v>1.2459383306713869E-2</v>
      </c>
      <c r="K75" s="2">
        <f t="shared" si="41"/>
        <v>-2.2139837552109447E-2</v>
      </c>
      <c r="L75" s="2">
        <f t="shared" si="31"/>
        <v>0.43618812230053849</v>
      </c>
      <c r="M75" s="2">
        <f t="shared" si="32"/>
        <v>-3.9260679381139918E-2</v>
      </c>
      <c r="U75" s="7">
        <f t="shared" si="42"/>
        <v>0.43618812230053849</v>
      </c>
      <c r="V75" s="7">
        <f t="shared" si="44"/>
        <v>-3.9260679381139918E-2</v>
      </c>
    </row>
    <row r="76" spans="2:22" x14ac:dyDescent="0.3">
      <c r="B76" s="2">
        <v>0.46860474023534326</v>
      </c>
      <c r="C76" s="2">
        <f t="shared" si="35"/>
        <v>5.0242671748387341E-2</v>
      </c>
      <c r="D76" s="2">
        <f t="shared" si="33"/>
        <v>1.1766927397688573E-2</v>
      </c>
      <c r="E76" s="2">
        <f t="shared" si="34"/>
        <v>-2.2143455707338989E-2</v>
      </c>
      <c r="F76" s="2">
        <f t="shared" si="36"/>
        <v>-2.2139837552109447E-2</v>
      </c>
      <c r="G76" s="2" t="str">
        <f t="shared" si="37"/>
        <v xml:space="preserve"> </v>
      </c>
      <c r="H76" s="2" t="str">
        <f t="shared" si="38"/>
        <v xml:space="preserve"> </v>
      </c>
      <c r="I76" s="2" t="str">
        <f t="shared" si="39"/>
        <v xml:space="preserve"> </v>
      </c>
      <c r="J76" s="2">
        <f t="shared" si="40"/>
        <v>1.1766927397688573E-2</v>
      </c>
      <c r="K76" s="2">
        <f t="shared" si="41"/>
        <v>-2.2139837552109447E-2</v>
      </c>
      <c r="L76" s="2">
        <f t="shared" si="31"/>
        <v>0.46749246651749427</v>
      </c>
      <c r="M76" s="2">
        <f t="shared" si="32"/>
        <v>-3.8463431068012047E-2</v>
      </c>
      <c r="U76" s="7">
        <f t="shared" si="42"/>
        <v>0.46749246651749427</v>
      </c>
      <c r="V76" s="7">
        <f t="shared" si="44"/>
        <v>-3.8463431068012047E-2</v>
      </c>
    </row>
    <row r="77" spans="2:22" x14ac:dyDescent="0.3">
      <c r="B77" s="2">
        <v>0.49999999999999994</v>
      </c>
      <c r="C77" s="2">
        <f t="shared" si="35"/>
        <v>4.8528564333857285E-2</v>
      </c>
      <c r="D77" s="2">
        <f t="shared" si="33"/>
        <v>1.1071727853669494E-2</v>
      </c>
      <c r="E77" s="2">
        <f t="shared" si="34"/>
        <v>-2.2143455707338989E-2</v>
      </c>
      <c r="F77" s="2">
        <f t="shared" si="36"/>
        <v>-2.2139837552109447E-2</v>
      </c>
      <c r="G77" s="2" t="str">
        <f t="shared" si="37"/>
        <v xml:space="preserve"> </v>
      </c>
      <c r="H77" s="2" t="str">
        <f t="shared" si="38"/>
        <v xml:space="preserve"> </v>
      </c>
      <c r="I77" s="2" t="str">
        <f t="shared" si="39"/>
        <v xml:space="preserve"> </v>
      </c>
      <c r="J77" s="2">
        <f t="shared" si="40"/>
        <v>1.1071727853669494E-2</v>
      </c>
      <c r="K77" s="2">
        <f t="shared" si="41"/>
        <v>-2.2139837552109447E-2</v>
      </c>
      <c r="L77" s="2">
        <f t="shared" si="31"/>
        <v>0.49892567324158615</v>
      </c>
      <c r="M77" s="2">
        <f t="shared" si="32"/>
        <v>-3.7444943284419545E-2</v>
      </c>
      <c r="U77" s="7">
        <f t="shared" si="42"/>
        <v>0.49892567324158615</v>
      </c>
      <c r="V77" s="7">
        <f t="shared" si="44"/>
        <v>-3.7444943284419545E-2</v>
      </c>
    </row>
    <row r="78" spans="2:22" x14ac:dyDescent="0.3">
      <c r="B78" s="2">
        <v>0.53139525976465674</v>
      </c>
      <c r="C78" s="2">
        <f t="shared" si="35"/>
        <v>4.6616477166405303E-2</v>
      </c>
      <c r="D78" s="2">
        <f t="shared" si="33"/>
        <v>1.0376528309650416E-2</v>
      </c>
      <c r="E78" s="2">
        <f t="shared" si="34"/>
        <v>-2.2143455707338989E-2</v>
      </c>
      <c r="F78" s="2">
        <f t="shared" si="36"/>
        <v>-2.2139837552109447E-2</v>
      </c>
      <c r="G78" s="2" t="str">
        <f t="shared" si="37"/>
        <v xml:space="preserve"> </v>
      </c>
      <c r="H78" s="2" t="str">
        <f t="shared" si="38"/>
        <v xml:space="preserve"> </v>
      </c>
      <c r="I78" s="2" t="str">
        <f t="shared" si="39"/>
        <v xml:space="preserve"> </v>
      </c>
      <c r="J78" s="2">
        <f t="shared" si="40"/>
        <v>1.0376528309650416E-2</v>
      </c>
      <c r="K78" s="2">
        <f t="shared" si="41"/>
        <v>-2.2139837552109447E-2</v>
      </c>
      <c r="L78" s="2">
        <f t="shared" si="31"/>
        <v>0.53036326284716473</v>
      </c>
      <c r="M78" s="2">
        <f t="shared" si="32"/>
        <v>-3.6228524268029125E-2</v>
      </c>
      <c r="U78" s="7">
        <f t="shared" si="42"/>
        <v>0.53036326284716473</v>
      </c>
      <c r="V78" s="7">
        <f t="shared" si="44"/>
        <v>-3.6228524268029125E-2</v>
      </c>
    </row>
    <row r="79" spans="2:22" x14ac:dyDescent="0.3">
      <c r="B79" s="2">
        <v>0.56266661678215213</v>
      </c>
      <c r="C79" s="2">
        <f t="shared" si="35"/>
        <v>4.4532616421232227E-2</v>
      </c>
      <c r="D79" s="2">
        <f t="shared" si="33"/>
        <v>9.6840724006251218E-3</v>
      </c>
      <c r="E79" s="2">
        <f t="shared" si="34"/>
        <v>-2.2143455707338989E-2</v>
      </c>
      <c r="F79" s="2">
        <f t="shared" si="36"/>
        <v>-2.2139837552109447E-2</v>
      </c>
      <c r="G79" s="2" t="str">
        <f t="shared" si="37"/>
        <v xml:space="preserve"> </v>
      </c>
      <c r="H79" s="2" t="str">
        <f t="shared" si="38"/>
        <v xml:space="preserve"> </v>
      </c>
      <c r="I79" s="2" t="str">
        <f t="shared" si="39"/>
        <v xml:space="preserve"> </v>
      </c>
      <c r="J79" s="2">
        <f t="shared" si="40"/>
        <v>9.6840724006251218E-3</v>
      </c>
      <c r="K79" s="2">
        <f t="shared" si="41"/>
        <v>-2.2139837552109447E-2</v>
      </c>
      <c r="L79" s="2">
        <f t="shared" si="31"/>
        <v>0.56168075243400517</v>
      </c>
      <c r="M79" s="2">
        <f t="shared" si="32"/>
        <v>-3.4837630136538206E-2</v>
      </c>
      <c r="U79" s="7">
        <f t="shared" si="42"/>
        <v>0.56168075243400517</v>
      </c>
      <c r="V79" s="7">
        <f t="shared" si="44"/>
        <v>-3.4837630136538206E-2</v>
      </c>
    </row>
    <row r="80" spans="2:22" x14ac:dyDescent="0.3">
      <c r="B80" s="2">
        <v>0.5936906572928623</v>
      </c>
      <c r="C80" s="2">
        <f t="shared" si="35"/>
        <v>4.2302970659236751E-2</v>
      </c>
      <c r="D80" s="2">
        <f t="shared" si="33"/>
        <v>8.9970929337135214E-3</v>
      </c>
      <c r="E80" s="2">
        <f t="shared" si="34"/>
        <v>-2.2143455707338989E-2</v>
      </c>
      <c r="F80" s="2">
        <f t="shared" si="36"/>
        <v>-2.2139837552109447E-2</v>
      </c>
      <c r="G80" s="2" t="str">
        <f t="shared" si="37"/>
        <v xml:space="preserve"> </v>
      </c>
      <c r="H80" s="2" t="str">
        <f t="shared" si="38"/>
        <v xml:space="preserve"> </v>
      </c>
      <c r="I80" s="2" t="str">
        <f t="shared" si="39"/>
        <v xml:space="preserve"> </v>
      </c>
      <c r="J80" s="2">
        <f t="shared" si="40"/>
        <v>8.9970929337135214E-3</v>
      </c>
      <c r="K80" s="2">
        <f t="shared" si="41"/>
        <v>-2.2139837552109447E-2</v>
      </c>
      <c r="L80" s="2">
        <f t="shared" si="31"/>
        <v>0.59275415290697209</v>
      </c>
      <c r="M80" s="2">
        <f t="shared" si="32"/>
        <v>-3.3295510274548017E-2</v>
      </c>
      <c r="U80" s="7">
        <f t="shared" si="42"/>
        <v>0.59275415290697209</v>
      </c>
      <c r="V80" s="7">
        <f t="shared" si="44"/>
        <v>-3.3295510274548017E-2</v>
      </c>
    </row>
    <row r="81" spans="2:22" x14ac:dyDescent="0.3">
      <c r="B81" s="2">
        <v>0.62434494358242743</v>
      </c>
      <c r="C81" s="2">
        <f t="shared" si="35"/>
        <v>3.9953034438362137E-2</v>
      </c>
      <c r="D81" s="2">
        <f t="shared" si="33"/>
        <v>8.3183011030204465E-3</v>
      </c>
      <c r="E81" s="2">
        <f t="shared" si="34"/>
        <v>-2.2143455707338989E-2</v>
      </c>
      <c r="F81" s="2">
        <f t="shared" si="36"/>
        <v>-2.2139837552109447E-2</v>
      </c>
      <c r="G81" s="2" t="str">
        <f t="shared" si="37"/>
        <v xml:space="preserve"> </v>
      </c>
      <c r="H81" s="2" t="str">
        <f t="shared" si="38"/>
        <v xml:space="preserve"> </v>
      </c>
      <c r="I81" s="2" t="str">
        <f t="shared" si="39"/>
        <v xml:space="preserve"> </v>
      </c>
      <c r="J81" s="2">
        <f t="shared" si="40"/>
        <v>8.3183011030204465E-3</v>
      </c>
      <c r="K81" s="2">
        <f t="shared" si="41"/>
        <v>-2.2139837552109447E-2</v>
      </c>
      <c r="L81" s="2">
        <f t="shared" si="31"/>
        <v>0.62346046215244588</v>
      </c>
      <c r="M81" s="2">
        <f t="shared" si="32"/>
        <v>-3.1624941797787805E-2</v>
      </c>
      <c r="U81" s="7">
        <f t="shared" si="42"/>
        <v>0.62346046215244588</v>
      </c>
      <c r="V81" s="7">
        <f t="shared" si="44"/>
        <v>-3.1624941797787805E-2</v>
      </c>
    </row>
    <row r="82" spans="2:22" x14ac:dyDescent="0.3">
      <c r="B82" s="2">
        <v>0.6545084971874735</v>
      </c>
      <c r="C82" s="2">
        <f t="shared" si="35"/>
        <v>3.7507623277431665E-2</v>
      </c>
      <c r="D82" s="2">
        <f t="shared" si="33"/>
        <v>7.6503757897911639E-3</v>
      </c>
      <c r="E82" s="2">
        <f t="shared" si="34"/>
        <v>-2.2143455707338989E-2</v>
      </c>
      <c r="F82" s="2">
        <f t="shared" si="36"/>
        <v>-2.2139837552109447E-2</v>
      </c>
      <c r="G82" s="2" t="str">
        <f t="shared" si="37"/>
        <v xml:space="preserve"> </v>
      </c>
      <c r="H82" s="2" t="str">
        <f t="shared" si="38"/>
        <v xml:space="preserve"> </v>
      </c>
      <c r="I82" s="2" t="str">
        <f t="shared" si="39"/>
        <v xml:space="preserve"> </v>
      </c>
      <c r="J82" s="2">
        <f t="shared" si="40"/>
        <v>7.6503757897911639E-3</v>
      </c>
      <c r="K82" s="2">
        <f t="shared" si="41"/>
        <v>-2.2139837552109447E-2</v>
      </c>
      <c r="L82" s="2">
        <f t="shared" si="31"/>
        <v>0.65367815234038029</v>
      </c>
      <c r="M82" s="2">
        <f t="shared" si="32"/>
        <v>-2.9848055262142723E-2</v>
      </c>
      <c r="U82" s="7">
        <f t="shared" si="42"/>
        <v>0.65367815234038029</v>
      </c>
      <c r="V82" s="7">
        <f t="shared" si="44"/>
        <v>-2.9848055262142723E-2</v>
      </c>
    </row>
    <row r="83" spans="2:22" x14ac:dyDescent="0.3">
      <c r="B83" s="2">
        <v>0.68406227634233885</v>
      </c>
      <c r="C83" s="2">
        <f t="shared" si="35"/>
        <v>3.4990775836599729E-2</v>
      </c>
      <c r="D83" s="2">
        <f t="shared" si="33"/>
        <v>6.9959529900909248E-3</v>
      </c>
      <c r="E83" s="2">
        <f t="shared" si="34"/>
        <v>-2.2143455707338989E-2</v>
      </c>
      <c r="F83" s="2">
        <f t="shared" si="36"/>
        <v>-2.2139837552109447E-2</v>
      </c>
      <c r="G83" s="2" t="str">
        <f t="shared" si="37"/>
        <v xml:space="preserve"> </v>
      </c>
      <c r="H83" s="2" t="str">
        <f t="shared" si="38"/>
        <v xml:space="preserve"> </v>
      </c>
      <c r="I83" s="2" t="str">
        <f t="shared" si="39"/>
        <v xml:space="preserve"> </v>
      </c>
      <c r="J83" s="2">
        <f t="shared" si="40"/>
        <v>6.9959529900909248E-3</v>
      </c>
      <c r="K83" s="2">
        <f t="shared" si="41"/>
        <v>-2.2139837552109447E-2</v>
      </c>
      <c r="L83" s="2">
        <f t="shared" si="31"/>
        <v>0.68328764953656107</v>
      </c>
      <c r="M83" s="2">
        <f t="shared" si="32"/>
        <v>-2.7986247440398605E-2</v>
      </c>
      <c r="U83" s="7">
        <f t="shared" si="42"/>
        <v>0.68328764953656107</v>
      </c>
      <c r="V83" s="7">
        <f t="shared" si="44"/>
        <v>-2.7986247440398605E-2</v>
      </c>
    </row>
    <row r="84" spans="2:22" x14ac:dyDescent="0.3">
      <c r="B84" s="2">
        <v>0.71288964578253633</v>
      </c>
      <c r="C84" s="2">
        <f t="shared" si="35"/>
        <v>3.2425733446471559E-2</v>
      </c>
      <c r="D84" s="2">
        <f t="shared" si="33"/>
        <v>6.357615411732815E-3</v>
      </c>
      <c r="E84" s="2">
        <f t="shared" si="34"/>
        <v>-2.2143455707338989E-2</v>
      </c>
      <c r="F84" s="2">
        <f t="shared" si="36"/>
        <v>-2.2139837552109447E-2</v>
      </c>
      <c r="G84" s="2" t="str">
        <f t="shared" si="37"/>
        <v xml:space="preserve"> </v>
      </c>
      <c r="H84" s="2" t="str">
        <f t="shared" si="38"/>
        <v xml:space="preserve"> </v>
      </c>
      <c r="I84" s="2" t="str">
        <f t="shared" si="39"/>
        <v xml:space="preserve"> </v>
      </c>
      <c r="J84" s="2">
        <f t="shared" si="40"/>
        <v>6.357615411732815E-3</v>
      </c>
      <c r="K84" s="2">
        <f t="shared" si="41"/>
        <v>-2.2139837552109447E-2</v>
      </c>
      <c r="L84" s="2">
        <f t="shared" si="31"/>
        <v>0.71217180395925306</v>
      </c>
      <c r="M84" s="2">
        <f t="shared" si="32"/>
        <v>-2.6060171259450798E-2</v>
      </c>
      <c r="U84" s="7">
        <f t="shared" si="42"/>
        <v>0.71217180395925306</v>
      </c>
      <c r="V84" s="7">
        <f t="shared" si="44"/>
        <v>-2.6060171259450798E-2</v>
      </c>
    </row>
    <row r="85" spans="2:22" x14ac:dyDescent="0.3">
      <c r="B85" s="2">
        <v>0.74087683705085772</v>
      </c>
      <c r="C85" s="2">
        <f t="shared" si="35"/>
        <v>2.9834982346979851E-2</v>
      </c>
      <c r="D85" s="2">
        <f t="shared" si="33"/>
        <v>5.7378822815099158E-3</v>
      </c>
      <c r="E85" s="2">
        <f t="shared" si="34"/>
        <v>-2.2143455707338989E-2</v>
      </c>
      <c r="F85" s="2">
        <f t="shared" si="36"/>
        <v>-2.2139837552109447E-2</v>
      </c>
      <c r="G85" s="2" t="str">
        <f t="shared" si="37"/>
        <v xml:space="preserve"> </v>
      </c>
      <c r="H85" s="2" t="str">
        <f t="shared" si="38"/>
        <v xml:space="preserve"> </v>
      </c>
      <c r="I85" s="2" t="str">
        <f t="shared" si="39"/>
        <v xml:space="preserve"> </v>
      </c>
      <c r="J85" s="2">
        <f t="shared" si="40"/>
        <v>5.7378822815099158E-3</v>
      </c>
      <c r="K85" s="2">
        <f t="shared" si="41"/>
        <v>-2.2139837552109447E-2</v>
      </c>
      <c r="L85" s="2">
        <f t="shared" si="31"/>
        <v>0.74021634935021907</v>
      </c>
      <c r="M85" s="2">
        <f t="shared" si="32"/>
        <v>-2.4089788221596835E-2</v>
      </c>
      <c r="U85" s="7">
        <f t="shared" si="42"/>
        <v>0.74021634935021907</v>
      </c>
      <c r="V85" s="7">
        <f t="shared" si="44"/>
        <v>-2.4089788221596835E-2</v>
      </c>
    </row>
    <row r="86" spans="2:22" x14ac:dyDescent="0.3">
      <c r="B86" s="2">
        <v>0.76791339748949849</v>
      </c>
      <c r="C86" s="2">
        <f t="shared" si="35"/>
        <v>2.7240340463486924E-2</v>
      </c>
      <c r="D86" s="2">
        <f t="shared" si="33"/>
        <v>5.1391994029580798E-3</v>
      </c>
      <c r="E86" s="2">
        <f t="shared" si="34"/>
        <v>-2.2143455707338989E-2</v>
      </c>
      <c r="F86" s="2">
        <f t="shared" si="36"/>
        <v>-2.2139837552109447E-2</v>
      </c>
      <c r="G86" s="2" t="str">
        <f t="shared" si="37"/>
        <v xml:space="preserve"> </v>
      </c>
      <c r="H86" s="2" t="str">
        <f t="shared" si="38"/>
        <v xml:space="preserve"> </v>
      </c>
      <c r="I86" s="2" t="str">
        <f t="shared" si="39"/>
        <v xml:space="preserve"> </v>
      </c>
      <c r="J86" s="2">
        <f t="shared" si="40"/>
        <v>5.1391994029580798E-3</v>
      </c>
      <c r="K86" s="2">
        <f t="shared" si="41"/>
        <v>-2.2139837552109447E-2</v>
      </c>
      <c r="L86" s="2">
        <f t="shared" si="31"/>
        <v>0.76731035004579307</v>
      </c>
      <c r="M86" s="2">
        <f t="shared" si="32"/>
        <v>-2.2094465101609121E-2</v>
      </c>
      <c r="U86" s="7">
        <f t="shared" si="42"/>
        <v>0.76731035004579307</v>
      </c>
      <c r="V86" s="7">
        <f t="shared" si="44"/>
        <v>-2.2094465101609121E-2</v>
      </c>
    </row>
    <row r="87" spans="2:22" x14ac:dyDescent="0.3">
      <c r="B87" s="2">
        <v>0.79389262614623646</v>
      </c>
      <c r="C87" s="2">
        <f t="shared" si="35"/>
        <v>2.4663068440816765E-2</v>
      </c>
      <c r="D87" s="2">
        <f t="shared" si="33"/>
        <v>4.5639295038867713E-3</v>
      </c>
      <c r="E87" s="2">
        <f t="shared" si="34"/>
        <v>-2.2143455707338989E-2</v>
      </c>
      <c r="F87" s="2">
        <f t="shared" si="36"/>
        <v>-2.2139837552109447E-2</v>
      </c>
      <c r="G87" s="2" t="str">
        <f t="shared" si="37"/>
        <v xml:space="preserve"> </v>
      </c>
      <c r="H87" s="2" t="str">
        <f t="shared" si="38"/>
        <v xml:space="preserve"> </v>
      </c>
      <c r="I87" s="2" t="str">
        <f t="shared" si="39"/>
        <v xml:space="preserve"> </v>
      </c>
      <c r="J87" s="2">
        <f t="shared" si="40"/>
        <v>4.5639295038867713E-3</v>
      </c>
      <c r="K87" s="2">
        <f t="shared" si="41"/>
        <v>-2.2139837552109447E-2</v>
      </c>
      <c r="L87" s="2">
        <f t="shared" si="31"/>
        <v>0.79334663442498388</v>
      </c>
      <c r="M87" s="2">
        <f t="shared" si="32"/>
        <v>-2.0093094606024296E-2</v>
      </c>
      <c r="U87" s="7">
        <f t="shared" si="42"/>
        <v>0.79334663442498388</v>
      </c>
      <c r="V87" s="7">
        <f t="shared" si="44"/>
        <v>-2.0093094606024296E-2</v>
      </c>
    </row>
    <row r="88" spans="2:22" x14ac:dyDescent="0.3">
      <c r="B88" s="2">
        <v>0.81871199487434487</v>
      </c>
      <c r="C88" s="2">
        <f t="shared" si="35"/>
        <v>2.2123984068381407E-2</v>
      </c>
      <c r="D88" s="2">
        <f t="shared" si="33"/>
        <v>4.014342911771788E-3</v>
      </c>
      <c r="E88" s="2">
        <f t="shared" si="34"/>
        <v>-2.2143455707338989E-2</v>
      </c>
      <c r="F88" s="2">
        <f t="shared" si="36"/>
        <v>-2.2139837552109447E-2</v>
      </c>
      <c r="G88" s="2" t="str">
        <f t="shared" si="37"/>
        <v xml:space="preserve"> </v>
      </c>
      <c r="H88" s="2" t="str">
        <f t="shared" si="38"/>
        <v xml:space="preserve"> </v>
      </c>
      <c r="I88" s="2" t="str">
        <f t="shared" si="39"/>
        <v xml:space="preserve"> </v>
      </c>
      <c r="J88" s="2">
        <f t="shared" si="40"/>
        <v>4.014342911771788E-3</v>
      </c>
      <c r="K88" s="2">
        <f t="shared" si="41"/>
        <v>-2.2139837552109447E-2</v>
      </c>
      <c r="L88" s="2">
        <f t="shared" si="31"/>
        <v>0.81822221347624158</v>
      </c>
      <c r="M88" s="2">
        <f t="shared" si="32"/>
        <v>-1.8104219094834031E-2</v>
      </c>
      <c r="U88" s="7">
        <f t="shared" si="42"/>
        <v>0.81822221347624158</v>
      </c>
      <c r="V88" s="7">
        <f t="shared" si="44"/>
        <v>-1.8104219094834031E-2</v>
      </c>
    </row>
    <row r="89" spans="2:22" x14ac:dyDescent="0.3">
      <c r="B89" s="2">
        <v>0.84227355296434436</v>
      </c>
      <c r="C89" s="2">
        <f t="shared" si="35"/>
        <v>1.9643560152366717E-2</v>
      </c>
      <c r="D89" s="2">
        <f t="shared" si="33"/>
        <v>3.4926085938099894E-3</v>
      </c>
      <c r="E89" s="2">
        <f t="shared" si="34"/>
        <v>-2.2143455707338989E-2</v>
      </c>
      <c r="F89" s="2">
        <f t="shared" si="36"/>
        <v>-2.2139837552109447E-2</v>
      </c>
      <c r="G89" s="2" t="str">
        <f t="shared" si="37"/>
        <v xml:space="preserve"> </v>
      </c>
      <c r="H89" s="2" t="str">
        <f t="shared" si="38"/>
        <v xml:space="preserve"> </v>
      </c>
      <c r="I89" s="2" t="str">
        <f t="shared" si="39"/>
        <v xml:space="preserve"> </v>
      </c>
      <c r="J89" s="2">
        <f t="shared" si="40"/>
        <v>3.4926085938099894E-3</v>
      </c>
      <c r="K89" s="2">
        <f t="shared" si="41"/>
        <v>-2.2139837552109447E-2</v>
      </c>
      <c r="L89" s="2">
        <f t="shared" si="31"/>
        <v>0.84183868326251243</v>
      </c>
      <c r="M89" s="2">
        <f t="shared" si="32"/>
        <v>-1.6146137389629944E-2</v>
      </c>
      <c r="U89" s="7">
        <f t="shared" si="42"/>
        <v>0.84183868326251243</v>
      </c>
      <c r="V89" s="7">
        <f t="shared" si="44"/>
        <v>-1.6146137389629944E-2</v>
      </c>
    </row>
    <row r="90" spans="2:22" x14ac:dyDescent="0.3">
      <c r="B90" s="2">
        <v>0.86448431371070567</v>
      </c>
      <c r="C90" s="2">
        <f t="shared" si="35"/>
        <v>1.7241988216358313E-2</v>
      </c>
      <c r="D90" s="2">
        <f t="shared" si="33"/>
        <v>3.0007855969966346E-3</v>
      </c>
      <c r="E90" s="2">
        <f t="shared" si="34"/>
        <v>-2.2143455707338989E-2</v>
      </c>
      <c r="F90" s="2">
        <f t="shared" si="36"/>
        <v>-2.2139837552109447E-2</v>
      </c>
      <c r="G90" s="2" t="str">
        <f t="shared" si="37"/>
        <v xml:space="preserve"> </v>
      </c>
      <c r="H90" s="2" t="str">
        <f t="shared" si="38"/>
        <v xml:space="preserve"> </v>
      </c>
      <c r="I90" s="2" t="str">
        <f t="shared" si="39"/>
        <v xml:space="preserve"> </v>
      </c>
      <c r="J90" s="2">
        <f t="shared" si="40"/>
        <v>3.0007855969966346E-3</v>
      </c>
      <c r="K90" s="2">
        <f t="shared" si="41"/>
        <v>-2.2139837552109447E-2</v>
      </c>
      <c r="L90" s="2">
        <f t="shared" si="31"/>
        <v>0.86410261007773492</v>
      </c>
      <c r="M90" s="2">
        <f t="shared" si="32"/>
        <v>-1.4236977018540681E-2</v>
      </c>
      <c r="U90" s="7">
        <f t="shared" si="42"/>
        <v>0.86410261007773492</v>
      </c>
      <c r="V90" s="7">
        <f t="shared" si="44"/>
        <v>-1.4236977018540681E-2</v>
      </c>
    </row>
    <row r="91" spans="2:22" x14ac:dyDescent="0.3">
      <c r="B91" s="2">
        <v>0.88525662138789452</v>
      </c>
      <c r="C91" s="2">
        <f t="shared" si="35"/>
        <v>1.4939193942003135E-2</v>
      </c>
      <c r="D91" s="2">
        <f t="shared" si="33"/>
        <v>2.5408149220075855E-3</v>
      </c>
      <c r="E91" s="2">
        <f t="shared" si="34"/>
        <v>-2.2143455707338989E-2</v>
      </c>
      <c r="F91" s="2">
        <f t="shared" si="36"/>
        <v>-2.2139837552109447E-2</v>
      </c>
      <c r="G91" s="2" t="str">
        <f t="shared" si="37"/>
        <v xml:space="preserve"> </v>
      </c>
      <c r="H91" s="2" t="str">
        <f t="shared" si="38"/>
        <v xml:space="preserve"> </v>
      </c>
      <c r="I91" s="2" t="str">
        <f t="shared" si="39"/>
        <v xml:space="preserve"> </v>
      </c>
      <c r="J91" s="2">
        <f t="shared" si="40"/>
        <v>2.5408149220075855E-3</v>
      </c>
      <c r="K91" s="2">
        <f t="shared" si="41"/>
        <v>-2.2139837552109447E-2</v>
      </c>
      <c r="L91" s="2">
        <f t="shared" si="31"/>
        <v>0.88492589708105918</v>
      </c>
      <c r="M91" s="2">
        <f t="shared" si="32"/>
        <v>-1.2394717779227129E-2</v>
      </c>
      <c r="U91" s="7">
        <f t="shared" si="42"/>
        <v>0.88492589708105918</v>
      </c>
      <c r="V91" s="7">
        <f t="shared" si="44"/>
        <v>-1.2394717779227129E-2</v>
      </c>
    </row>
    <row r="92" spans="2:22" x14ac:dyDescent="0.3">
      <c r="B92" s="2">
        <v>0.90450849718747373</v>
      </c>
      <c r="C92" s="2">
        <f t="shared" si="35"/>
        <v>1.2754794722804044E-2</v>
      </c>
      <c r="D92" s="2">
        <f t="shared" si="33"/>
        <v>2.114511862956412E-3</v>
      </c>
      <c r="E92" s="2">
        <f t="shared" si="34"/>
        <v>-2.2143455707338989E-2</v>
      </c>
      <c r="F92" s="2">
        <f t="shared" si="36"/>
        <v>-2.2139837552109447E-2</v>
      </c>
      <c r="G92" s="2" t="str">
        <f t="shared" si="37"/>
        <v xml:space="preserve"> </v>
      </c>
      <c r="H92" s="2" t="str">
        <f t="shared" si="38"/>
        <v xml:space="preserve"> </v>
      </c>
      <c r="I92" s="2" t="str">
        <f t="shared" si="39"/>
        <v xml:space="preserve"> </v>
      </c>
      <c r="J92" s="2">
        <f t="shared" si="40"/>
        <v>2.114511862956412E-3</v>
      </c>
      <c r="K92" s="2">
        <f t="shared" si="41"/>
        <v>-2.2139837552109447E-2</v>
      </c>
      <c r="L92" s="2">
        <f t="shared" si="31"/>
        <v>0.90422613117362438</v>
      </c>
      <c r="M92" s="2">
        <f t="shared" si="32"/>
        <v>-1.0637156963322472E-2</v>
      </c>
      <c r="U92" s="7">
        <f t="shared" si="42"/>
        <v>0.90422613117362438</v>
      </c>
      <c r="V92" s="7">
        <f t="shared" si="44"/>
        <v>-1.0637156963322472E-2</v>
      </c>
    </row>
    <row r="93" spans="2:22" x14ac:dyDescent="0.3">
      <c r="B93" s="2">
        <v>0.92216396275100743</v>
      </c>
      <c r="C93" s="2">
        <f t="shared" si="35"/>
        <v>1.0707994766854304E-2</v>
      </c>
      <c r="D93" s="2">
        <f t="shared" si="33"/>
        <v>1.7235588432578546E-3</v>
      </c>
      <c r="E93" s="2">
        <f t="shared" si="34"/>
        <v>-2.2143455707338989E-2</v>
      </c>
      <c r="F93" s="2">
        <f t="shared" si="36"/>
        <v>-2.2139837552109447E-2</v>
      </c>
      <c r="G93" s="2" t="str">
        <f t="shared" si="37"/>
        <v xml:space="preserve"> </v>
      </c>
      <c r="H93" s="2" t="str">
        <f t="shared" si="38"/>
        <v xml:space="preserve"> </v>
      </c>
      <c r="I93" s="2" t="str">
        <f t="shared" si="39"/>
        <v xml:space="preserve"> </v>
      </c>
      <c r="J93" s="2">
        <f t="shared" si="40"/>
        <v>1.7235588432578546E-3</v>
      </c>
      <c r="K93" s="2">
        <f t="shared" si="41"/>
        <v>-2.2139837552109447E-2</v>
      </c>
      <c r="L93" s="2">
        <f t="shared" si="31"/>
        <v>0.92192690885368123</v>
      </c>
      <c r="M93" s="2">
        <f t="shared" si="32"/>
        <v>-8.9818116490110438E-3</v>
      </c>
      <c r="U93" s="7">
        <f t="shared" si="42"/>
        <v>0.92192690885368123</v>
      </c>
      <c r="V93" s="7">
        <f t="shared" si="44"/>
        <v>-8.9818116490110438E-3</v>
      </c>
    </row>
    <row r="94" spans="2:22" x14ac:dyDescent="0.3">
      <c r="B94" s="2">
        <v>0.93815334002193174</v>
      </c>
      <c r="C94" s="2">
        <f t="shared" si="35"/>
        <v>8.8174184841491206E-3</v>
      </c>
      <c r="D94" s="2">
        <f t="shared" si="33"/>
        <v>1.3694987758712095E-3</v>
      </c>
      <c r="E94" s="2">
        <f t="shared" si="34"/>
        <v>-2.2143455707338989E-2</v>
      </c>
      <c r="F94" s="2">
        <f t="shared" si="36"/>
        <v>-2.2139837552109447E-2</v>
      </c>
      <c r="G94" s="2" t="str">
        <f t="shared" si="37"/>
        <v xml:space="preserve"> </v>
      </c>
      <c r="H94" s="2" t="str">
        <f t="shared" si="38"/>
        <v xml:space="preserve"> </v>
      </c>
      <c r="I94" s="2" t="str">
        <f t="shared" si="39"/>
        <v xml:space="preserve"> </v>
      </c>
      <c r="J94" s="2">
        <f t="shared" si="40"/>
        <v>1.3694987758712095E-3</v>
      </c>
      <c r="K94" s="2">
        <f t="shared" si="41"/>
        <v>-2.2139837552109447E-2</v>
      </c>
      <c r="L94" s="2">
        <f t="shared" si="31"/>
        <v>0.93795813975693965</v>
      </c>
      <c r="M94" s="2">
        <f t="shared" si="32"/>
        <v>-7.4457587689292608E-3</v>
      </c>
      <c r="U94" s="7">
        <f t="shared" si="42"/>
        <v>0.93795813975693965</v>
      </c>
      <c r="V94" s="7">
        <f t="shared" si="44"/>
        <v>-7.4457587689292608E-3</v>
      </c>
    </row>
    <row r="95" spans="2:22" x14ac:dyDescent="0.3">
      <c r="B95" s="2">
        <v>0.95241352623300968</v>
      </c>
      <c r="C95" s="2">
        <f t="shared" si="35"/>
        <v>7.1008880574649647E-3</v>
      </c>
      <c r="D95" s="2">
        <f t="shared" si="33"/>
        <v>1.0537289741277989E-3</v>
      </c>
      <c r="E95" s="2">
        <f t="shared" si="34"/>
        <v>-2.2143455707338989E-2</v>
      </c>
      <c r="F95" s="2">
        <f t="shared" si="36"/>
        <v>-2.2139837552109447E-2</v>
      </c>
      <c r="G95" s="2" t="str">
        <f t="shared" si="37"/>
        <v xml:space="preserve"> </v>
      </c>
      <c r="H95" s="2" t="str">
        <f t="shared" si="38"/>
        <v xml:space="preserve"> </v>
      </c>
      <c r="I95" s="2" t="str">
        <f t="shared" si="39"/>
        <v xml:space="preserve"> </v>
      </c>
      <c r="J95" s="2">
        <f t="shared" si="40"/>
        <v>1.0537289741277989E-3</v>
      </c>
      <c r="K95" s="2">
        <f t="shared" si="41"/>
        <v>-2.2139837552109447E-2</v>
      </c>
      <c r="L95" s="2">
        <f t="shared" si="31"/>
        <v>0.95225632656816583</v>
      </c>
      <c r="M95" s="2">
        <f t="shared" si="32"/>
        <v>-6.0454188247295784E-3</v>
      </c>
      <c r="U95" s="7">
        <f t="shared" si="42"/>
        <v>0.95225632656816583</v>
      </c>
      <c r="V95" s="7">
        <f t="shared" si="44"/>
        <v>-6.0454188247295784E-3</v>
      </c>
    </row>
    <row r="96" spans="2:22" x14ac:dyDescent="0.3">
      <c r="B96" s="2">
        <v>0.96488824294412567</v>
      </c>
      <c r="C96" s="2">
        <f t="shared" si="35"/>
        <v>5.5751557644225696E-3</v>
      </c>
      <c r="D96" s="2">
        <f t="shared" si="33"/>
        <v>7.7749563717360035E-4</v>
      </c>
      <c r="E96" s="2">
        <f t="shared" si="34"/>
        <v>-2.2143455707338989E-2</v>
      </c>
      <c r="F96" s="2">
        <f t="shared" si="36"/>
        <v>-2.2139837552109447E-2</v>
      </c>
      <c r="G96" s="2" t="str">
        <f t="shared" si="37"/>
        <v xml:space="preserve"> </v>
      </c>
      <c r="H96" s="2" t="str">
        <f t="shared" si="38"/>
        <v xml:space="preserve"> </v>
      </c>
      <c r="I96" s="2" t="str">
        <f t="shared" si="39"/>
        <v xml:space="preserve"> </v>
      </c>
      <c r="J96" s="2">
        <f t="shared" si="40"/>
        <v>7.7749563717360035E-4</v>
      </c>
      <c r="K96" s="2">
        <f t="shared" si="41"/>
        <v>-2.2139837552109447E-2</v>
      </c>
      <c r="L96" s="2">
        <f t="shared" si="31"/>
        <v>0.96476481998483843</v>
      </c>
      <c r="M96" s="2">
        <f t="shared" si="32"/>
        <v>-4.7962937893023406E-3</v>
      </c>
      <c r="U96" s="7">
        <f t="shared" si="42"/>
        <v>0.96476481998483843</v>
      </c>
      <c r="V96" s="7">
        <f t="shared" si="44"/>
        <v>-4.7962937893023406E-3</v>
      </c>
    </row>
    <row r="97" spans="2:22" x14ac:dyDescent="0.3">
      <c r="B97" s="2">
        <v>0.97552825814757682</v>
      </c>
      <c r="C97" s="2">
        <f t="shared" si="35"/>
        <v>4.2556054729732899E-3</v>
      </c>
      <c r="D97" s="2">
        <f t="shared" ref="D97:D102" si="45">IF($A$20=$A$21, IF(B97&lt;$A$9, ($A$10/6)*((B97^3)-3*$A$9*(B97^2)+($A$9^2)*(3-$A$9)*B97), (($A$10*($A$9^3))/6)*(1-B97)), " ")</f>
        <v>5.4188893179056639E-4</v>
      </c>
      <c r="E97" s="2">
        <f t="shared" ref="E97:E102" si="46">IF($A$20=$A$21,IF(B97&lt;$A$9, ($A$10/6)*(3*(B97^2)-6*$A$9*B97+($A$9^2)*(3-$A$9)), -($A$10*($A$9^3))/6), " ")</f>
        <v>-2.2143455707338989E-2</v>
      </c>
      <c r="F97" s="2">
        <f t="shared" si="36"/>
        <v>-2.2139837552109447E-2</v>
      </c>
      <c r="G97" s="2" t="str">
        <f t="shared" si="37"/>
        <v xml:space="preserve"> </v>
      </c>
      <c r="H97" s="2" t="str">
        <f t="shared" si="38"/>
        <v xml:space="preserve"> </v>
      </c>
      <c r="I97" s="2" t="str">
        <f t="shared" si="39"/>
        <v xml:space="preserve"> </v>
      </c>
      <c r="J97" s="2">
        <f t="shared" si="40"/>
        <v>5.4188893179056639E-4</v>
      </c>
      <c r="K97" s="2">
        <f t="shared" si="41"/>
        <v>-2.2139837552109447E-2</v>
      </c>
      <c r="L97" s="2">
        <f t="shared" si="31"/>
        <v>0.9754340474307418</v>
      </c>
      <c r="M97" s="2">
        <f t="shared" si="32"/>
        <v>-3.7126735935971667E-3</v>
      </c>
      <c r="U97" s="7">
        <f t="shared" si="42"/>
        <v>0.9754340474307418</v>
      </c>
      <c r="V97" s="7">
        <f t="shared" si="44"/>
        <v>-3.7126735935971667E-3</v>
      </c>
    </row>
    <row r="98" spans="2:22" x14ac:dyDescent="0.3">
      <c r="B98" s="2">
        <v>0.98429158056431554</v>
      </c>
      <c r="C98" s="2">
        <f t="shared" si="35"/>
        <v>3.1559405136538142E-3</v>
      </c>
      <c r="D98" s="2">
        <f t="shared" si="45"/>
        <v>3.4783869000638178E-4</v>
      </c>
      <c r="E98" s="2">
        <f t="shared" si="46"/>
        <v>-2.2143455707338989E-2</v>
      </c>
      <c r="F98" s="2">
        <f t="shared" si="36"/>
        <v>-2.2139837552109447E-2</v>
      </c>
      <c r="G98" s="2" t="str">
        <f t="shared" si="37"/>
        <v xml:space="preserve"> </v>
      </c>
      <c r="H98" s="2" t="str">
        <f t="shared" si="38"/>
        <v xml:space="preserve"> </v>
      </c>
      <c r="I98" s="2" t="str">
        <f t="shared" si="39"/>
        <v xml:space="preserve"> </v>
      </c>
      <c r="J98" s="2">
        <f t="shared" si="40"/>
        <v>3.4783869000638178E-4</v>
      </c>
      <c r="K98" s="2">
        <f t="shared" si="41"/>
        <v>-2.2139837552109447E-2</v>
      </c>
      <c r="L98" s="2">
        <f t="shared" si="31"/>
        <v>0.98422171426210114</v>
      </c>
      <c r="M98" s="2">
        <f t="shared" si="32"/>
        <v>-2.8073283777629915E-3</v>
      </c>
      <c r="U98" s="7">
        <f t="shared" si="42"/>
        <v>0.98422171426210114</v>
      </c>
      <c r="V98" s="7">
        <f t="shared" si="44"/>
        <v>-2.8073283777629915E-3</v>
      </c>
    </row>
    <row r="99" spans="2:22" x14ac:dyDescent="0.3">
      <c r="B99" s="2">
        <v>0.99114362536434442</v>
      </c>
      <c r="C99" s="2">
        <f t="shared" si="35"/>
        <v>2.2878766565437789E-3</v>
      </c>
      <c r="D99" s="2">
        <f t="shared" si="45"/>
        <v>1.9611073947223989E-4</v>
      </c>
      <c r="E99" s="2">
        <f t="shared" si="46"/>
        <v>-2.2143455707338989E-2</v>
      </c>
      <c r="F99" s="2">
        <f t="shared" si="36"/>
        <v>-2.2139837552109447E-2</v>
      </c>
      <c r="G99" s="2" t="str">
        <f t="shared" si="37"/>
        <v xml:space="preserve"> </v>
      </c>
      <c r="H99" s="2" t="str">
        <f t="shared" si="38"/>
        <v xml:space="preserve"> </v>
      </c>
      <c r="I99" s="2" t="str">
        <f t="shared" si="39"/>
        <v xml:space="preserve"> </v>
      </c>
      <c r="J99" s="2">
        <f t="shared" si="40"/>
        <v>1.9611073947223989E-4</v>
      </c>
      <c r="K99" s="2">
        <f t="shared" si="41"/>
        <v>-2.2139837552109447E-2</v>
      </c>
      <c r="L99" s="2">
        <f t="shared" si="31"/>
        <v>0.99109297628486281</v>
      </c>
      <c r="M99" s="2">
        <f t="shared" si="32"/>
        <v>-2.0912052129719353E-3</v>
      </c>
      <c r="U99" s="7">
        <f t="shared" si="42"/>
        <v>0.99109297628486281</v>
      </c>
      <c r="V99" s="7">
        <f t="shared" si="44"/>
        <v>-2.0912052129719353E-3</v>
      </c>
    </row>
    <row r="100" spans="2:22" x14ac:dyDescent="0.3">
      <c r="B100" s="2">
        <v>0.99605735065723888</v>
      </c>
      <c r="C100" s="2">
        <f t="shared" si="35"/>
        <v>1.6608590939693768E-3</v>
      </c>
      <c r="D100" s="2">
        <f t="shared" si="45"/>
        <v>8.7303881090999979E-5</v>
      </c>
      <c r="E100" s="2">
        <f t="shared" si="46"/>
        <v>-2.2143455707338989E-2</v>
      </c>
      <c r="F100" s="2">
        <f t="shared" si="36"/>
        <v>-2.2139837552109447E-2</v>
      </c>
      <c r="G100" s="2" t="str">
        <f t="shared" si="37"/>
        <v xml:space="preserve"> </v>
      </c>
      <c r="H100" s="2" t="str">
        <f t="shared" si="38"/>
        <v xml:space="preserve"> </v>
      </c>
      <c r="I100" s="2" t="str">
        <f t="shared" si="39"/>
        <v xml:space="preserve"> </v>
      </c>
      <c r="J100" s="2">
        <f t="shared" si="40"/>
        <v>8.7303881090999979E-5</v>
      </c>
      <c r="K100" s="2">
        <f t="shared" si="41"/>
        <v>-2.2139837552109447E-2</v>
      </c>
      <c r="L100" s="2">
        <f t="shared" si="31"/>
        <v>0.99602058251066172</v>
      </c>
      <c r="M100" s="2">
        <f t="shared" si="32"/>
        <v>-1.5731481758555594E-3</v>
      </c>
      <c r="U100" s="7">
        <f t="shared" si="42"/>
        <v>0.99602058251066172</v>
      </c>
      <c r="V100" s="7">
        <f t="shared" si="44"/>
        <v>-1.5731481758555594E-3</v>
      </c>
    </row>
    <row r="101" spans="2:22" x14ac:dyDescent="0.3">
      <c r="B101" s="2">
        <v>0.99901336421413578</v>
      </c>
      <c r="C101" s="2">
        <f t="shared" si="35"/>
        <v>1.2818211503499947E-3</v>
      </c>
      <c r="D101" s="2">
        <f t="shared" si="45"/>
        <v>2.1847525823559962E-5</v>
      </c>
      <c r="E101" s="2">
        <f t="shared" si="46"/>
        <v>-2.2143455707338989E-2</v>
      </c>
      <c r="F101" s="2">
        <f t="shared" si="36"/>
        <v>-2.2139837552109447E-2</v>
      </c>
      <c r="G101" s="2" t="str">
        <f t="shared" si="37"/>
        <v xml:space="preserve"> </v>
      </c>
      <c r="H101" s="2" t="str">
        <f t="shared" si="38"/>
        <v xml:space="preserve"> </v>
      </c>
      <c r="I101" s="2" t="str">
        <f t="shared" si="39"/>
        <v xml:space="preserve"> </v>
      </c>
      <c r="J101" s="2">
        <f t="shared" si="40"/>
        <v>2.1847525823559962E-5</v>
      </c>
      <c r="K101" s="2">
        <f t="shared" si="41"/>
        <v>-2.2139837552109447E-2</v>
      </c>
      <c r="L101" s="2">
        <f t="shared" si="31"/>
        <v>0.99898498722049867</v>
      </c>
      <c r="M101" s="2">
        <f t="shared" si="32"/>
        <v>-1.2596594806796042E-3</v>
      </c>
      <c r="U101" s="7">
        <f t="shared" si="42"/>
        <v>0.99898498722049867</v>
      </c>
      <c r="V101" s="7">
        <f t="shared" si="44"/>
        <v>-1.2596594806796042E-3</v>
      </c>
    </row>
    <row r="102" spans="2:22" x14ac:dyDescent="0.3">
      <c r="B102" s="2">
        <v>1</v>
      </c>
      <c r="C102" s="2">
        <f t="shared" si="35"/>
        <v>1.1549999999999798E-3</v>
      </c>
      <c r="D102" s="2">
        <f t="shared" si="45"/>
        <v>0</v>
      </c>
      <c r="E102" s="2">
        <f t="shared" si="46"/>
        <v>-2.2143455707338989E-2</v>
      </c>
      <c r="F102" s="2">
        <f t="shared" si="36"/>
        <v>-2.2139837552109447E-2</v>
      </c>
      <c r="G102" s="2" t="str">
        <f t="shared" si="37"/>
        <v xml:space="preserve"> </v>
      </c>
      <c r="H102" s="2" t="str">
        <f t="shared" si="38"/>
        <v xml:space="preserve"> </v>
      </c>
      <c r="I102" s="2" t="str">
        <f t="shared" si="39"/>
        <v xml:space="preserve"> </v>
      </c>
      <c r="J102" s="2">
        <f t="shared" si="40"/>
        <v>0</v>
      </c>
      <c r="K102" s="2">
        <f t="shared" si="41"/>
        <v>-2.2139837552109447E-2</v>
      </c>
      <c r="L102" s="2">
        <v>1</v>
      </c>
      <c r="M102" s="2">
        <v>0</v>
      </c>
      <c r="U102" s="7">
        <f t="shared" si="42"/>
        <v>1</v>
      </c>
      <c r="V102" s="7">
        <f t="shared" si="44"/>
        <v>0</v>
      </c>
    </row>
    <row r="103" spans="2:22" x14ac:dyDescent="0.3">
      <c r="C103" s="2"/>
      <c r="D103" s="2"/>
      <c r="J103" s="2"/>
    </row>
    <row r="104" spans="2:22" x14ac:dyDescent="0.3">
      <c r="C104" s="2"/>
      <c r="D104" s="2"/>
      <c r="J104" s="2"/>
    </row>
    <row r="105" spans="2:22" x14ac:dyDescent="0.3">
      <c r="C105" s="2"/>
      <c r="D105" s="2"/>
      <c r="J105" s="2"/>
    </row>
    <row r="106" spans="2:22" x14ac:dyDescent="0.3">
      <c r="C106" s="2"/>
      <c r="D106" s="2"/>
      <c r="J106" s="2"/>
    </row>
    <row r="107" spans="2:22" x14ac:dyDescent="0.3">
      <c r="C107" s="2"/>
      <c r="D107" s="2"/>
      <c r="J107" s="2"/>
    </row>
    <row r="108" spans="2:22" x14ac:dyDescent="0.3">
      <c r="C108" s="2"/>
      <c r="D108" s="2"/>
      <c r="J108" s="2"/>
    </row>
    <row r="109" spans="2:22" x14ac:dyDescent="0.3">
      <c r="C109" s="2"/>
      <c r="D109" s="2"/>
      <c r="J109" s="2"/>
    </row>
    <row r="110" spans="2:22" x14ac:dyDescent="0.3">
      <c r="C110" s="2"/>
      <c r="D110" s="2"/>
      <c r="J110" s="2"/>
    </row>
    <row r="111" spans="2:22" x14ac:dyDescent="0.3">
      <c r="C111" s="2"/>
      <c r="D111" s="2"/>
      <c r="J111" s="2"/>
    </row>
    <row r="112" spans="2:22" x14ac:dyDescent="0.3">
      <c r="C112" s="2"/>
      <c r="D112" s="2"/>
      <c r="J112" s="2"/>
    </row>
    <row r="113" spans="3:10" x14ac:dyDescent="0.3">
      <c r="C113" s="2"/>
      <c r="D113" s="2"/>
      <c r="J113" s="2"/>
    </row>
    <row r="114" spans="3:10" x14ac:dyDescent="0.3">
      <c r="C114" s="2"/>
      <c r="D114" s="2"/>
      <c r="J114" s="2"/>
    </row>
    <row r="115" spans="3:10" x14ac:dyDescent="0.3">
      <c r="C115" s="2"/>
      <c r="D115" s="2"/>
      <c r="J115" s="2"/>
    </row>
    <row r="116" spans="3:10" x14ac:dyDescent="0.3">
      <c r="C116" s="2"/>
      <c r="D116" s="2"/>
      <c r="J116" s="2"/>
    </row>
    <row r="117" spans="3:10" x14ac:dyDescent="0.3">
      <c r="C117" s="2"/>
      <c r="D117" s="2"/>
      <c r="J117" s="2"/>
    </row>
    <row r="118" spans="3:10" x14ac:dyDescent="0.3">
      <c r="C118" s="2"/>
      <c r="D118" s="2"/>
      <c r="J118" s="2"/>
    </row>
    <row r="119" spans="3:10" x14ac:dyDescent="0.3">
      <c r="C119" s="2"/>
      <c r="D119" s="2"/>
      <c r="J119" s="2"/>
    </row>
    <row r="120" spans="3:10" x14ac:dyDescent="0.3">
      <c r="C120" s="2"/>
      <c r="D120" s="2"/>
      <c r="J120" s="2"/>
    </row>
    <row r="121" spans="3:10" x14ac:dyDescent="0.3">
      <c r="C121" s="2"/>
      <c r="D121" s="2"/>
      <c r="J121" s="2"/>
    </row>
    <row r="122" spans="3:10" x14ac:dyDescent="0.3">
      <c r="C122" s="2"/>
      <c r="D122" s="2"/>
      <c r="J122" s="2"/>
    </row>
    <row r="123" spans="3:10" x14ac:dyDescent="0.3">
      <c r="C123" s="2"/>
      <c r="D123" s="2"/>
      <c r="J123" s="2"/>
    </row>
    <row r="124" spans="3:10" x14ac:dyDescent="0.3">
      <c r="C124" s="2"/>
      <c r="D124" s="2"/>
      <c r="J124" s="2"/>
    </row>
    <row r="125" spans="3:10" x14ac:dyDescent="0.3">
      <c r="C125" s="2"/>
      <c r="D125" s="2"/>
      <c r="J125" s="2"/>
    </row>
    <row r="126" spans="3:10" x14ac:dyDescent="0.3">
      <c r="C126" s="2"/>
      <c r="D126" s="2"/>
      <c r="J126" s="2"/>
    </row>
    <row r="127" spans="3:10" x14ac:dyDescent="0.3">
      <c r="C127" s="2"/>
      <c r="D127" s="2"/>
      <c r="J127" s="2"/>
    </row>
    <row r="128" spans="3:10" x14ac:dyDescent="0.3">
      <c r="C128" s="2"/>
      <c r="D128" s="2"/>
      <c r="J128" s="2"/>
    </row>
    <row r="129" spans="3:10" x14ac:dyDescent="0.3">
      <c r="C129" s="2"/>
      <c r="D129" s="2"/>
      <c r="J129" s="2"/>
    </row>
    <row r="130" spans="3:10" x14ac:dyDescent="0.3">
      <c r="C130" s="2"/>
      <c r="D130" s="2"/>
      <c r="J130" s="2"/>
    </row>
    <row r="131" spans="3:10" x14ac:dyDescent="0.3">
      <c r="C131" s="2"/>
      <c r="D131" s="2"/>
      <c r="J131" s="2"/>
    </row>
    <row r="132" spans="3:10" x14ac:dyDescent="0.3">
      <c r="C132" s="2"/>
      <c r="D132" s="2"/>
      <c r="J132" s="2"/>
    </row>
    <row r="133" spans="3:10" x14ac:dyDescent="0.3">
      <c r="C133" s="2"/>
      <c r="D133" s="2"/>
      <c r="J133" s="2"/>
    </row>
    <row r="134" spans="3:10" x14ac:dyDescent="0.3">
      <c r="C134" s="2"/>
      <c r="D134" s="2"/>
      <c r="J134" s="2"/>
    </row>
    <row r="135" spans="3:10" x14ac:dyDescent="0.3">
      <c r="C135" s="2"/>
      <c r="D135" s="2"/>
      <c r="J135" s="2"/>
    </row>
    <row r="136" spans="3:10" x14ac:dyDescent="0.3">
      <c r="C136" s="2"/>
      <c r="D136" s="2"/>
      <c r="J136" s="2"/>
    </row>
    <row r="137" spans="3:10" x14ac:dyDescent="0.3">
      <c r="C137" s="2"/>
      <c r="D137" s="2"/>
      <c r="J137" s="2"/>
    </row>
    <row r="138" spans="3:10" x14ac:dyDescent="0.3">
      <c r="C138" s="2"/>
      <c r="D138" s="2"/>
      <c r="J138" s="2"/>
    </row>
    <row r="139" spans="3:10" x14ac:dyDescent="0.3">
      <c r="C139" s="2"/>
      <c r="D139" s="2"/>
      <c r="J139" s="2"/>
    </row>
    <row r="140" spans="3:10" x14ac:dyDescent="0.3">
      <c r="C140" s="2"/>
      <c r="D140" s="2"/>
      <c r="J140" s="2"/>
    </row>
    <row r="141" spans="3:10" x14ac:dyDescent="0.3">
      <c r="C141" s="2"/>
      <c r="D141" s="2"/>
      <c r="J141" s="2"/>
    </row>
    <row r="142" spans="3:10" x14ac:dyDescent="0.3">
      <c r="C142" s="2"/>
      <c r="D142" s="2"/>
      <c r="J142" s="2"/>
    </row>
    <row r="143" spans="3:10" x14ac:dyDescent="0.3">
      <c r="C143" s="2"/>
      <c r="D143" s="2"/>
      <c r="J143" s="2"/>
    </row>
    <row r="144" spans="3:10" x14ac:dyDescent="0.3">
      <c r="C144" s="2"/>
      <c r="D144" s="2"/>
      <c r="J144" s="2"/>
    </row>
    <row r="145" spans="3:10" x14ac:dyDescent="0.3">
      <c r="C145" s="2"/>
      <c r="D145" s="2"/>
      <c r="J145" s="2"/>
    </row>
    <row r="146" spans="3:10" x14ac:dyDescent="0.3">
      <c r="C146" s="2"/>
      <c r="D146" s="2"/>
      <c r="J146" s="2"/>
    </row>
    <row r="147" spans="3:10" x14ac:dyDescent="0.3">
      <c r="C147" s="2"/>
      <c r="D147" s="2"/>
      <c r="J147" s="2"/>
    </row>
    <row r="148" spans="3:10" x14ac:dyDescent="0.3">
      <c r="C148" s="2"/>
      <c r="D148" s="2"/>
      <c r="J148" s="2"/>
    </row>
    <row r="149" spans="3:10" x14ac:dyDescent="0.3">
      <c r="C149" s="2"/>
      <c r="D149" s="2"/>
      <c r="J149" s="2"/>
    </row>
    <row r="150" spans="3:10" x14ac:dyDescent="0.3">
      <c r="C150" s="2"/>
      <c r="D150" s="2"/>
      <c r="J150" s="2"/>
    </row>
    <row r="151" spans="3:10" x14ac:dyDescent="0.3">
      <c r="C151" s="2"/>
      <c r="D151" s="2"/>
      <c r="J151" s="2"/>
    </row>
    <row r="152" spans="3:10" x14ac:dyDescent="0.3">
      <c r="C152" s="2"/>
      <c r="D152" s="2"/>
      <c r="J152" s="2"/>
    </row>
    <row r="153" spans="3:10" x14ac:dyDescent="0.3">
      <c r="C153" s="2"/>
      <c r="D153" s="2"/>
      <c r="J153" s="2"/>
    </row>
    <row r="154" spans="3:10" x14ac:dyDescent="0.3">
      <c r="C154" s="2"/>
      <c r="D154" s="2"/>
      <c r="J154" s="2"/>
    </row>
    <row r="155" spans="3:10" x14ac:dyDescent="0.3">
      <c r="C155" s="2"/>
      <c r="D155" s="2"/>
      <c r="J155" s="2"/>
    </row>
    <row r="156" spans="3:10" x14ac:dyDescent="0.3">
      <c r="C156" s="2"/>
      <c r="D156" s="2"/>
      <c r="J156" s="2"/>
    </row>
    <row r="157" spans="3:10" x14ac:dyDescent="0.3">
      <c r="C157" s="2"/>
      <c r="D157" s="2"/>
      <c r="J157" s="2"/>
    </row>
    <row r="158" spans="3:10" x14ac:dyDescent="0.3">
      <c r="C158" s="2"/>
      <c r="D158" s="2"/>
      <c r="J158" s="2"/>
    </row>
    <row r="159" spans="3:10" x14ac:dyDescent="0.3">
      <c r="C159" s="2"/>
      <c r="D159" s="2"/>
      <c r="J159" s="2"/>
    </row>
    <row r="160" spans="3:10" x14ac:dyDescent="0.3">
      <c r="C160" s="2"/>
      <c r="D160" s="2"/>
      <c r="J160" s="2"/>
    </row>
    <row r="161" spans="3:10" x14ac:dyDescent="0.3">
      <c r="C161" s="2"/>
      <c r="D161" s="2"/>
      <c r="J161" s="2"/>
    </row>
    <row r="162" spans="3:10" x14ac:dyDescent="0.3">
      <c r="C162" s="2"/>
      <c r="D162" s="2"/>
      <c r="J162" s="2"/>
    </row>
    <row r="163" spans="3:10" x14ac:dyDescent="0.3">
      <c r="C163" s="2"/>
      <c r="D163" s="2"/>
      <c r="J163" s="2"/>
    </row>
    <row r="164" spans="3:10" x14ac:dyDescent="0.3">
      <c r="C164" s="2"/>
      <c r="D164" s="2"/>
      <c r="J164" s="2"/>
    </row>
    <row r="165" spans="3:10" x14ac:dyDescent="0.3">
      <c r="C165" s="2"/>
      <c r="D165" s="2"/>
      <c r="J165" s="2"/>
    </row>
    <row r="166" spans="3:10" x14ac:dyDescent="0.3">
      <c r="C166" s="2"/>
      <c r="D166" s="2"/>
      <c r="J166" s="2"/>
    </row>
    <row r="167" spans="3:10" x14ac:dyDescent="0.3">
      <c r="C167" s="2"/>
      <c r="D167" s="2"/>
      <c r="J167" s="2"/>
    </row>
    <row r="168" spans="3:10" x14ac:dyDescent="0.3">
      <c r="C168" s="2"/>
      <c r="D168" s="2"/>
      <c r="J168" s="2"/>
    </row>
    <row r="169" spans="3:10" x14ac:dyDescent="0.3">
      <c r="C169" s="2"/>
      <c r="D169" s="2"/>
      <c r="J169" s="2"/>
    </row>
    <row r="170" spans="3:10" x14ac:dyDescent="0.3">
      <c r="C170" s="2"/>
      <c r="D170" s="2"/>
      <c r="J170" s="2"/>
    </row>
    <row r="171" spans="3:10" x14ac:dyDescent="0.3">
      <c r="C171" s="2"/>
      <c r="D171" s="2"/>
      <c r="J171" s="2"/>
    </row>
    <row r="172" spans="3:10" x14ac:dyDescent="0.3">
      <c r="C172" s="2"/>
      <c r="D172" s="2"/>
      <c r="J172" s="2"/>
    </row>
    <row r="173" spans="3:10" x14ac:dyDescent="0.3">
      <c r="C173" s="2"/>
      <c r="D173" s="2"/>
      <c r="J173" s="2"/>
    </row>
    <row r="174" spans="3:10" x14ac:dyDescent="0.3">
      <c r="C174" s="2"/>
      <c r="D174" s="2"/>
      <c r="J174" s="2"/>
    </row>
    <row r="175" spans="3:10" x14ac:dyDescent="0.3">
      <c r="C175" s="2"/>
      <c r="D175" s="2"/>
      <c r="J175" s="2"/>
    </row>
    <row r="176" spans="3:10" x14ac:dyDescent="0.3">
      <c r="C176" s="2"/>
      <c r="D176" s="2"/>
      <c r="J176" s="2"/>
    </row>
    <row r="177" spans="3:10" x14ac:dyDescent="0.3">
      <c r="C177" s="2"/>
      <c r="D177" s="2"/>
      <c r="J177" s="2"/>
    </row>
    <row r="178" spans="3:10" x14ac:dyDescent="0.3">
      <c r="C178" s="2"/>
      <c r="D178" s="2"/>
      <c r="J178" s="2"/>
    </row>
    <row r="179" spans="3:10" x14ac:dyDescent="0.3">
      <c r="C179" s="2"/>
      <c r="D179" s="2"/>
      <c r="J179" s="2"/>
    </row>
    <row r="180" spans="3:10" x14ac:dyDescent="0.3">
      <c r="C180" s="2"/>
      <c r="D180" s="2"/>
      <c r="J180" s="2"/>
    </row>
    <row r="181" spans="3:10" x14ac:dyDescent="0.3">
      <c r="C181" s="2"/>
      <c r="D181" s="2"/>
      <c r="J181" s="2"/>
    </row>
    <row r="182" spans="3:10" x14ac:dyDescent="0.3">
      <c r="C182" s="2"/>
      <c r="D182" s="2"/>
      <c r="J182" s="2"/>
    </row>
    <row r="183" spans="3:10" x14ac:dyDescent="0.3">
      <c r="C183" s="2"/>
      <c r="D183" s="2"/>
      <c r="J183" s="2"/>
    </row>
    <row r="184" spans="3:10" x14ac:dyDescent="0.3">
      <c r="C184" s="2"/>
      <c r="D184" s="2"/>
      <c r="J184" s="2"/>
    </row>
    <row r="185" spans="3:10" x14ac:dyDescent="0.3">
      <c r="C185" s="2"/>
      <c r="D185" s="2"/>
      <c r="J185" s="2"/>
    </row>
    <row r="186" spans="3:10" x14ac:dyDescent="0.3">
      <c r="C186" s="2"/>
      <c r="D186" s="2"/>
      <c r="J186" s="2"/>
    </row>
    <row r="187" spans="3:10" x14ac:dyDescent="0.3">
      <c r="C187" s="2"/>
      <c r="D187" s="2"/>
      <c r="J187" s="2"/>
    </row>
    <row r="188" spans="3:10" x14ac:dyDescent="0.3">
      <c r="C188" s="2"/>
      <c r="D188" s="2"/>
      <c r="J188" s="2"/>
    </row>
    <row r="189" spans="3:10" x14ac:dyDescent="0.3">
      <c r="C189" s="2"/>
      <c r="D189" s="2"/>
      <c r="J189" s="2"/>
    </row>
    <row r="190" spans="3:10" x14ac:dyDescent="0.3">
      <c r="C190" s="2"/>
      <c r="D190" s="2"/>
      <c r="J190" s="2"/>
    </row>
    <row r="191" spans="3:10" x14ac:dyDescent="0.3">
      <c r="C191" s="2"/>
      <c r="D191" s="2"/>
      <c r="J191" s="2"/>
    </row>
    <row r="192" spans="3:10" x14ac:dyDescent="0.3">
      <c r="C192" s="2"/>
      <c r="D192" s="2"/>
      <c r="J192" s="2"/>
    </row>
    <row r="193" spans="3:10" x14ac:dyDescent="0.3">
      <c r="C193" s="2"/>
      <c r="D193" s="2"/>
      <c r="J193" s="2"/>
    </row>
    <row r="194" spans="3:10" x14ac:dyDescent="0.3">
      <c r="C194" s="2"/>
      <c r="D194" s="2"/>
      <c r="J194" s="2"/>
    </row>
    <row r="195" spans="3:10" x14ac:dyDescent="0.3">
      <c r="C195" s="2"/>
      <c r="D195" s="2"/>
      <c r="J195" s="2"/>
    </row>
    <row r="196" spans="3:10" x14ac:dyDescent="0.3">
      <c r="C196" s="2"/>
      <c r="D196" s="2"/>
      <c r="J196" s="2"/>
    </row>
    <row r="197" spans="3:10" x14ac:dyDescent="0.3">
      <c r="C197" s="2"/>
      <c r="D197" s="2"/>
      <c r="J197" s="2"/>
    </row>
    <row r="198" spans="3:10" x14ac:dyDescent="0.3">
      <c r="C198" s="2"/>
      <c r="D198" s="2"/>
      <c r="J198" s="2"/>
    </row>
    <row r="199" spans="3:10" x14ac:dyDescent="0.3">
      <c r="C199" s="2"/>
      <c r="D199" s="2"/>
      <c r="J199" s="2"/>
    </row>
    <row r="200" spans="3:10" x14ac:dyDescent="0.3">
      <c r="C200" s="2"/>
      <c r="D200" s="2"/>
      <c r="J200" s="2"/>
    </row>
    <row r="201" spans="3:10" x14ac:dyDescent="0.3">
      <c r="C201" s="2"/>
      <c r="D201" s="2"/>
      <c r="J201" s="2"/>
    </row>
    <row r="202" spans="3:10" x14ac:dyDescent="0.3">
      <c r="C202" s="2"/>
      <c r="D202" s="2"/>
      <c r="J202" s="2"/>
    </row>
    <row r="203" spans="3:10" x14ac:dyDescent="0.3">
      <c r="C203" s="2"/>
      <c r="D203" s="2"/>
      <c r="J203" s="2"/>
    </row>
    <row r="204" spans="3:10" x14ac:dyDescent="0.3">
      <c r="C204" s="2"/>
      <c r="D204" s="2"/>
      <c r="J204" s="2"/>
    </row>
    <row r="205" spans="3:10" x14ac:dyDescent="0.3">
      <c r="C205" s="2"/>
      <c r="D205" s="2"/>
      <c r="J205" s="2"/>
    </row>
    <row r="206" spans="3:10" x14ac:dyDescent="0.3">
      <c r="C206" s="2"/>
      <c r="D206" s="2"/>
      <c r="J206" s="2"/>
    </row>
    <row r="207" spans="3:10" x14ac:dyDescent="0.3">
      <c r="C207" s="2"/>
      <c r="D207" s="2"/>
      <c r="J207" s="2"/>
    </row>
    <row r="208" spans="3:10" x14ac:dyDescent="0.3">
      <c r="C208" s="2"/>
      <c r="D208" s="2"/>
      <c r="J208" s="2"/>
    </row>
    <row r="209" spans="3:10" x14ac:dyDescent="0.3">
      <c r="C209" s="2"/>
      <c r="D209" s="2"/>
      <c r="J209" s="2"/>
    </row>
    <row r="210" spans="3:10" x14ac:dyDescent="0.3">
      <c r="C210" s="2"/>
      <c r="D210" s="2"/>
      <c r="J210" s="2"/>
    </row>
    <row r="211" spans="3:10" x14ac:dyDescent="0.3">
      <c r="C211" s="2"/>
      <c r="D211" s="2"/>
      <c r="J211" s="2"/>
    </row>
    <row r="212" spans="3:10" x14ac:dyDescent="0.3">
      <c r="C212" s="2"/>
      <c r="D212" s="2"/>
      <c r="J212" s="2"/>
    </row>
    <row r="213" spans="3:10" x14ac:dyDescent="0.3">
      <c r="C213" s="2"/>
      <c r="D213" s="2"/>
      <c r="J213" s="2"/>
    </row>
    <row r="214" spans="3:10" x14ac:dyDescent="0.3">
      <c r="C214" s="2"/>
      <c r="D214" s="2"/>
      <c r="J214" s="2"/>
    </row>
    <row r="215" spans="3:10" x14ac:dyDescent="0.3">
      <c r="C215" s="2"/>
      <c r="D215" s="2"/>
      <c r="J215" s="2"/>
    </row>
    <row r="216" spans="3:10" x14ac:dyDescent="0.3">
      <c r="C216" s="2"/>
      <c r="D216" s="2"/>
      <c r="J216" s="2"/>
    </row>
    <row r="217" spans="3:10" x14ac:dyDescent="0.3">
      <c r="C217" s="2"/>
      <c r="D217" s="2"/>
      <c r="J217" s="2"/>
    </row>
    <row r="218" spans="3:10" x14ac:dyDescent="0.3">
      <c r="C218" s="2"/>
      <c r="D218" s="2"/>
      <c r="J218" s="2"/>
    </row>
    <row r="219" spans="3:10" x14ac:dyDescent="0.3">
      <c r="C219" s="2"/>
      <c r="D219" s="2"/>
      <c r="J219" s="2"/>
    </row>
    <row r="220" spans="3:10" x14ac:dyDescent="0.3">
      <c r="C220" s="2"/>
      <c r="D220" s="2"/>
      <c r="J220" s="2"/>
    </row>
    <row r="221" spans="3:10" x14ac:dyDescent="0.3">
      <c r="C221" s="2"/>
      <c r="D221" s="2"/>
      <c r="J221" s="2"/>
    </row>
    <row r="222" spans="3:10" x14ac:dyDescent="0.3">
      <c r="C222" s="2"/>
      <c r="D222" s="2"/>
      <c r="J222" s="2"/>
    </row>
    <row r="223" spans="3:10" x14ac:dyDescent="0.3">
      <c r="C223" s="2"/>
      <c r="D223" s="2"/>
      <c r="J223" s="2"/>
    </row>
    <row r="224" spans="3:10" x14ac:dyDescent="0.3">
      <c r="C224" s="2"/>
      <c r="D224" s="2"/>
      <c r="J224" s="2"/>
    </row>
    <row r="225" spans="3:10" x14ac:dyDescent="0.3">
      <c r="C225" s="2"/>
      <c r="D225" s="2"/>
      <c r="J225" s="2"/>
    </row>
    <row r="226" spans="3:10" x14ac:dyDescent="0.3">
      <c r="C226" s="2"/>
      <c r="D226" s="2"/>
      <c r="J226" s="2"/>
    </row>
    <row r="227" spans="3:10" x14ac:dyDescent="0.3">
      <c r="C227" s="2"/>
      <c r="D227" s="2"/>
      <c r="J227" s="2"/>
    </row>
    <row r="228" spans="3:10" x14ac:dyDescent="0.3">
      <c r="C228" s="2"/>
      <c r="D228" s="2"/>
      <c r="J228" s="2"/>
    </row>
    <row r="229" spans="3:10" x14ac:dyDescent="0.3">
      <c r="C229" s="2"/>
      <c r="D229" s="2"/>
      <c r="J229" s="2"/>
    </row>
    <row r="230" spans="3:10" x14ac:dyDescent="0.3">
      <c r="C230" s="2"/>
      <c r="D230" s="2"/>
      <c r="J230" s="2"/>
    </row>
    <row r="231" spans="3:10" x14ac:dyDescent="0.3">
      <c r="C231" s="2"/>
      <c r="D231" s="2"/>
      <c r="J231" s="2"/>
    </row>
    <row r="232" spans="3:10" x14ac:dyDescent="0.3">
      <c r="C232" s="2"/>
      <c r="D232" s="2"/>
      <c r="J232" s="2"/>
    </row>
    <row r="233" spans="3:10" x14ac:dyDescent="0.3">
      <c r="C233" s="2"/>
      <c r="D233" s="2"/>
      <c r="J233" s="2"/>
    </row>
    <row r="234" spans="3:10" x14ac:dyDescent="0.3">
      <c r="C234" s="2"/>
      <c r="D234" s="2"/>
      <c r="J234" s="2"/>
    </row>
    <row r="235" spans="3:10" x14ac:dyDescent="0.3">
      <c r="C235" s="2"/>
      <c r="D235" s="2"/>
      <c r="J235" s="2"/>
    </row>
    <row r="236" spans="3:10" x14ac:dyDescent="0.3">
      <c r="C236" s="2"/>
      <c r="D236" s="2"/>
      <c r="J236" s="2"/>
    </row>
    <row r="237" spans="3:10" x14ac:dyDescent="0.3">
      <c r="C237" s="2"/>
      <c r="D237" s="2"/>
      <c r="J237" s="2"/>
    </row>
    <row r="238" spans="3:10" x14ac:dyDescent="0.3">
      <c r="C238" s="2"/>
      <c r="D238" s="2"/>
      <c r="J238" s="2"/>
    </row>
    <row r="239" spans="3:10" x14ac:dyDescent="0.3">
      <c r="C239" s="2"/>
      <c r="D239" s="2"/>
      <c r="J239" s="2"/>
    </row>
    <row r="240" spans="3:10" x14ac:dyDescent="0.3">
      <c r="C240" s="2"/>
      <c r="D240" s="2"/>
      <c r="J240" s="2"/>
    </row>
    <row r="241" spans="3:10" x14ac:dyDescent="0.3">
      <c r="C241" s="2"/>
      <c r="D241" s="2"/>
      <c r="J241" s="2"/>
    </row>
    <row r="242" spans="3:10" x14ac:dyDescent="0.3">
      <c r="C242" s="2"/>
      <c r="D242" s="2"/>
      <c r="J242" s="2"/>
    </row>
    <row r="243" spans="3:10" x14ac:dyDescent="0.3">
      <c r="C243" s="2"/>
      <c r="D243" s="2"/>
      <c r="J243" s="2"/>
    </row>
    <row r="244" spans="3:10" x14ac:dyDescent="0.3">
      <c r="C244" s="2"/>
      <c r="D244" s="2"/>
      <c r="J244" s="2"/>
    </row>
    <row r="245" spans="3:10" x14ac:dyDescent="0.3">
      <c r="C245" s="2"/>
      <c r="D245" s="2"/>
      <c r="J245" s="2"/>
    </row>
    <row r="246" spans="3:10" x14ac:dyDescent="0.3">
      <c r="C246" s="2"/>
      <c r="D246" s="2"/>
      <c r="J246" s="2"/>
    </row>
    <row r="247" spans="3:10" x14ac:dyDescent="0.3">
      <c r="C247" s="2"/>
      <c r="D247" s="2"/>
      <c r="J247" s="2"/>
    </row>
    <row r="248" spans="3:10" x14ac:dyDescent="0.3">
      <c r="C248" s="2"/>
      <c r="D248" s="2"/>
      <c r="J248" s="2"/>
    </row>
    <row r="249" spans="3:10" x14ac:dyDescent="0.3">
      <c r="C249" s="2"/>
      <c r="D249" s="2"/>
      <c r="J249" s="2"/>
    </row>
    <row r="250" spans="3:10" x14ac:dyDescent="0.3">
      <c r="C250" s="2"/>
      <c r="D250" s="2"/>
      <c r="J250" s="2"/>
    </row>
    <row r="251" spans="3:10" x14ac:dyDescent="0.3">
      <c r="C251" s="2"/>
      <c r="D251" s="2"/>
      <c r="J251" s="2"/>
    </row>
    <row r="252" spans="3:10" x14ac:dyDescent="0.3">
      <c r="C252" s="2"/>
      <c r="D252" s="2"/>
      <c r="J252" s="2"/>
    </row>
    <row r="253" spans="3:10" x14ac:dyDescent="0.3">
      <c r="C253" s="2"/>
      <c r="D253" s="2"/>
      <c r="J253" s="2"/>
    </row>
    <row r="254" spans="3:10" x14ac:dyDescent="0.3">
      <c r="C254" s="2"/>
      <c r="D254" s="2"/>
      <c r="J254" s="2"/>
    </row>
    <row r="255" spans="3:10" x14ac:dyDescent="0.3">
      <c r="C255" s="2"/>
      <c r="D255" s="2"/>
      <c r="J255" s="2"/>
    </row>
    <row r="256" spans="3:10" x14ac:dyDescent="0.3">
      <c r="C256" s="2"/>
      <c r="D256" s="2"/>
      <c r="J256" s="2"/>
    </row>
    <row r="257" spans="3:10" x14ac:dyDescent="0.3">
      <c r="C257" s="2"/>
      <c r="D257" s="2"/>
      <c r="J257" s="2"/>
    </row>
    <row r="258" spans="3:10" x14ac:dyDescent="0.3">
      <c r="C258" s="2"/>
      <c r="D258" s="2"/>
      <c r="J258" s="2"/>
    </row>
    <row r="259" spans="3:10" x14ac:dyDescent="0.3">
      <c r="C259" s="2"/>
      <c r="D259" s="2"/>
      <c r="J259" s="2"/>
    </row>
    <row r="260" spans="3:10" x14ac:dyDescent="0.3">
      <c r="C260" s="2"/>
      <c r="D260" s="2"/>
      <c r="J260" s="2"/>
    </row>
    <row r="261" spans="3:10" x14ac:dyDescent="0.3">
      <c r="C261" s="2"/>
      <c r="D261" s="2"/>
      <c r="J261" s="2"/>
    </row>
    <row r="262" spans="3:10" x14ac:dyDescent="0.3">
      <c r="C262" s="2"/>
      <c r="D262" s="2"/>
      <c r="J262" s="2"/>
    </row>
    <row r="263" spans="3:10" x14ac:dyDescent="0.3">
      <c r="C263" s="2"/>
      <c r="D263" s="2"/>
      <c r="J263" s="2"/>
    </row>
    <row r="264" spans="3:10" x14ac:dyDescent="0.3">
      <c r="C264" s="2"/>
      <c r="D264" s="2"/>
      <c r="J264" s="2"/>
    </row>
    <row r="265" spans="3:10" x14ac:dyDescent="0.3">
      <c r="C265" s="2"/>
      <c r="D265" s="2"/>
      <c r="J265" s="2"/>
    </row>
    <row r="266" spans="3:10" x14ac:dyDescent="0.3">
      <c r="C266" s="2"/>
      <c r="D266" s="2"/>
      <c r="J266" s="2"/>
    </row>
    <row r="267" spans="3:10" x14ac:dyDescent="0.3">
      <c r="C267" s="2"/>
      <c r="D267" s="2"/>
      <c r="J267" s="2"/>
    </row>
    <row r="268" spans="3:10" x14ac:dyDescent="0.3">
      <c r="C268" s="2"/>
      <c r="D268" s="2"/>
      <c r="J268" s="2"/>
    </row>
    <row r="269" spans="3:10" x14ac:dyDescent="0.3">
      <c r="C269" s="2"/>
      <c r="D269" s="2"/>
      <c r="J269" s="2"/>
    </row>
    <row r="270" spans="3:10" x14ac:dyDescent="0.3">
      <c r="C270" s="2"/>
      <c r="D270" s="2"/>
      <c r="J270" s="2"/>
    </row>
    <row r="271" spans="3:10" x14ac:dyDescent="0.3">
      <c r="C271" s="2"/>
      <c r="D271" s="2"/>
      <c r="J271" s="2"/>
    </row>
    <row r="272" spans="3:10" x14ac:dyDescent="0.3">
      <c r="C272" s="2"/>
      <c r="D272" s="2"/>
      <c r="J272" s="2"/>
    </row>
    <row r="273" spans="3:10" x14ac:dyDescent="0.3">
      <c r="C273" s="2"/>
      <c r="D273" s="2"/>
      <c r="J273" s="2"/>
    </row>
    <row r="274" spans="3:10" x14ac:dyDescent="0.3">
      <c r="C274" s="2"/>
      <c r="D274" s="2"/>
      <c r="J274" s="2"/>
    </row>
    <row r="275" spans="3:10" x14ac:dyDescent="0.3">
      <c r="C275" s="2"/>
      <c r="D275" s="2"/>
      <c r="J275" s="2"/>
    </row>
    <row r="276" spans="3:10" x14ac:dyDescent="0.3">
      <c r="C276" s="2"/>
      <c r="D276" s="2"/>
      <c r="J276" s="2"/>
    </row>
    <row r="277" spans="3:10" x14ac:dyDescent="0.3">
      <c r="C277" s="2"/>
      <c r="D277" s="2"/>
      <c r="J277" s="2"/>
    </row>
    <row r="278" spans="3:10" x14ac:dyDescent="0.3">
      <c r="C278" s="2"/>
      <c r="D278" s="2"/>
      <c r="J278" s="2"/>
    </row>
    <row r="279" spans="3:10" x14ac:dyDescent="0.3">
      <c r="C279" s="2"/>
      <c r="D279" s="2"/>
      <c r="J279" s="2"/>
    </row>
    <row r="280" spans="3:10" x14ac:dyDescent="0.3">
      <c r="C280" s="2"/>
      <c r="D280" s="2"/>
      <c r="J280" s="2"/>
    </row>
    <row r="281" spans="3:10" x14ac:dyDescent="0.3">
      <c r="C281" s="2"/>
      <c r="D281" s="2"/>
      <c r="J281" s="2"/>
    </row>
    <row r="282" spans="3:10" x14ac:dyDescent="0.3">
      <c r="C282" s="2"/>
      <c r="D282" s="2"/>
      <c r="J282" s="2"/>
    </row>
    <row r="283" spans="3:10" x14ac:dyDescent="0.3">
      <c r="C283" s="2"/>
      <c r="D283" s="2"/>
      <c r="J283" s="2"/>
    </row>
    <row r="284" spans="3:10" x14ac:dyDescent="0.3">
      <c r="C284" s="2"/>
      <c r="D284" s="2"/>
      <c r="J284" s="2"/>
    </row>
    <row r="285" spans="3:10" x14ac:dyDescent="0.3">
      <c r="C285" s="2"/>
      <c r="D285" s="2"/>
      <c r="J285" s="2"/>
    </row>
    <row r="286" spans="3:10" x14ac:dyDescent="0.3">
      <c r="C286" s="2"/>
      <c r="D286" s="2"/>
      <c r="J286" s="2"/>
    </row>
    <row r="287" spans="3:10" x14ac:dyDescent="0.3">
      <c r="C287" s="2"/>
      <c r="D287" s="2"/>
      <c r="J287" s="2"/>
    </row>
    <row r="288" spans="3:10" x14ac:dyDescent="0.3">
      <c r="C288" s="2"/>
      <c r="D288" s="2"/>
      <c r="J288" s="2"/>
    </row>
    <row r="289" spans="3:10" x14ac:dyDescent="0.3">
      <c r="C289" s="2"/>
      <c r="D289" s="2"/>
      <c r="J289" s="2"/>
    </row>
    <row r="290" spans="3:10" x14ac:dyDescent="0.3">
      <c r="C290" s="2"/>
      <c r="D290" s="2"/>
      <c r="J290" s="2"/>
    </row>
    <row r="291" spans="3:10" x14ac:dyDescent="0.3">
      <c r="C291" s="2"/>
      <c r="D291" s="2"/>
      <c r="J291" s="2"/>
    </row>
    <row r="292" spans="3:10" x14ac:dyDescent="0.3">
      <c r="C292" s="2"/>
      <c r="D292" s="2"/>
      <c r="J292" s="2"/>
    </row>
    <row r="293" spans="3:10" x14ac:dyDescent="0.3">
      <c r="C293" s="2"/>
      <c r="D293" s="2"/>
      <c r="J293" s="2"/>
    </row>
    <row r="294" spans="3:10" x14ac:dyDescent="0.3">
      <c r="C294" s="2"/>
      <c r="D294" s="2"/>
      <c r="J294" s="2"/>
    </row>
    <row r="295" spans="3:10" x14ac:dyDescent="0.3">
      <c r="C295" s="2"/>
      <c r="D295" s="2"/>
      <c r="J295" s="2"/>
    </row>
    <row r="296" spans="3:10" x14ac:dyDescent="0.3">
      <c r="C296" s="2"/>
      <c r="D296" s="2"/>
      <c r="J296" s="2"/>
    </row>
    <row r="297" spans="3:10" x14ac:dyDescent="0.3">
      <c r="C297" s="2"/>
      <c r="D297" s="2"/>
      <c r="J297" s="2"/>
    </row>
    <row r="298" spans="3:10" x14ac:dyDescent="0.3">
      <c r="C298" s="2"/>
      <c r="D298" s="2"/>
      <c r="J298" s="2"/>
    </row>
    <row r="299" spans="3:10" x14ac:dyDescent="0.3">
      <c r="C299" s="2"/>
      <c r="D299" s="2"/>
      <c r="J299" s="2"/>
    </row>
    <row r="300" spans="3:10" x14ac:dyDescent="0.3">
      <c r="C300" s="2"/>
      <c r="D300" s="2"/>
      <c r="J300" s="2"/>
    </row>
    <row r="301" spans="3:10" x14ac:dyDescent="0.3">
      <c r="C301" s="2"/>
      <c r="D301" s="2"/>
      <c r="J301" s="2"/>
    </row>
    <row r="302" spans="3:10" x14ac:dyDescent="0.3">
      <c r="C302" s="2"/>
      <c r="D302" s="2"/>
      <c r="J302" s="2"/>
    </row>
    <row r="303" spans="3:10" x14ac:dyDescent="0.3">
      <c r="C303" s="2"/>
      <c r="D303" s="2"/>
      <c r="J303" s="2"/>
    </row>
    <row r="304" spans="3:10" x14ac:dyDescent="0.3">
      <c r="C304" s="2"/>
      <c r="D304" s="2"/>
      <c r="J304" s="2"/>
    </row>
    <row r="305" spans="3:10" x14ac:dyDescent="0.3">
      <c r="C305" s="2"/>
      <c r="D305" s="2"/>
      <c r="J305" s="2"/>
    </row>
    <row r="306" spans="3:10" x14ac:dyDescent="0.3">
      <c r="C306" s="2"/>
      <c r="D306" s="2"/>
      <c r="J306" s="2"/>
    </row>
    <row r="307" spans="3:10" x14ac:dyDescent="0.3">
      <c r="C307" s="2"/>
      <c r="D307" s="2"/>
      <c r="J307" s="2"/>
    </row>
    <row r="308" spans="3:10" x14ac:dyDescent="0.3">
      <c r="C308" s="2"/>
      <c r="D308" s="2"/>
      <c r="J308" s="2"/>
    </row>
    <row r="309" spans="3:10" x14ac:dyDescent="0.3">
      <c r="C309" s="2"/>
      <c r="D309" s="2"/>
      <c r="J309" s="2"/>
    </row>
    <row r="310" spans="3:10" x14ac:dyDescent="0.3">
      <c r="C310" s="2"/>
      <c r="D310" s="2"/>
      <c r="J310" s="2"/>
    </row>
    <row r="311" spans="3:10" x14ac:dyDescent="0.3">
      <c r="C311" s="2"/>
      <c r="D311" s="2"/>
      <c r="J311" s="2"/>
    </row>
    <row r="312" spans="3:10" x14ac:dyDescent="0.3">
      <c r="C312" s="2"/>
      <c r="D312" s="2"/>
      <c r="J312" s="2"/>
    </row>
    <row r="313" spans="3:10" x14ac:dyDescent="0.3">
      <c r="C313" s="2"/>
      <c r="D313" s="2"/>
      <c r="J313" s="2"/>
    </row>
    <row r="314" spans="3:10" x14ac:dyDescent="0.3">
      <c r="C314" s="2"/>
      <c r="D314" s="2"/>
      <c r="J314" s="2"/>
    </row>
    <row r="315" spans="3:10" x14ac:dyDescent="0.3">
      <c r="C315" s="2"/>
      <c r="D315" s="2"/>
      <c r="J315" s="2"/>
    </row>
    <row r="316" spans="3:10" x14ac:dyDescent="0.3">
      <c r="C316" s="2"/>
      <c r="D316" s="2"/>
      <c r="J316" s="2"/>
    </row>
    <row r="317" spans="3:10" x14ac:dyDescent="0.3">
      <c r="C317" s="2"/>
      <c r="D317" s="2"/>
      <c r="J317" s="2"/>
    </row>
    <row r="318" spans="3:10" x14ac:dyDescent="0.3">
      <c r="C318" s="2"/>
      <c r="D318" s="2"/>
      <c r="J318" s="2"/>
    </row>
    <row r="319" spans="3:10" x14ac:dyDescent="0.3">
      <c r="C319" s="2"/>
      <c r="D319" s="2"/>
      <c r="J319" s="2"/>
    </row>
    <row r="320" spans="3:10" x14ac:dyDescent="0.3">
      <c r="C320" s="2"/>
      <c r="D320" s="2"/>
      <c r="J320" s="2"/>
    </row>
    <row r="321" spans="3:10" x14ac:dyDescent="0.3">
      <c r="C321" s="2"/>
      <c r="D321" s="2"/>
      <c r="J321" s="2"/>
    </row>
    <row r="322" spans="3:10" x14ac:dyDescent="0.3">
      <c r="C322" s="2"/>
      <c r="D322" s="2"/>
      <c r="J322" s="2"/>
    </row>
    <row r="323" spans="3:10" x14ac:dyDescent="0.3">
      <c r="C323" s="2"/>
      <c r="D323" s="2"/>
      <c r="J323" s="2"/>
    </row>
    <row r="324" spans="3:10" x14ac:dyDescent="0.3">
      <c r="C324" s="2"/>
      <c r="D324" s="2"/>
      <c r="J324" s="2"/>
    </row>
    <row r="325" spans="3:10" x14ac:dyDescent="0.3">
      <c r="C325" s="2"/>
      <c r="D325" s="2"/>
      <c r="J325" s="2"/>
    </row>
    <row r="326" spans="3:10" x14ac:dyDescent="0.3">
      <c r="C326" s="2"/>
      <c r="D326" s="2"/>
      <c r="J326" s="2"/>
    </row>
    <row r="327" spans="3:10" x14ac:dyDescent="0.3">
      <c r="C327" s="2"/>
      <c r="D327" s="2"/>
      <c r="J327" s="2"/>
    </row>
    <row r="328" spans="3:10" x14ac:dyDescent="0.3">
      <c r="C328" s="2"/>
      <c r="D328" s="2"/>
      <c r="J328" s="2"/>
    </row>
    <row r="329" spans="3:10" x14ac:dyDescent="0.3">
      <c r="C329" s="2"/>
      <c r="D329" s="2"/>
      <c r="J329" s="2"/>
    </row>
    <row r="330" spans="3:10" x14ac:dyDescent="0.3">
      <c r="C330" s="2"/>
      <c r="D330" s="2"/>
      <c r="J330" s="2"/>
    </row>
    <row r="331" spans="3:10" x14ac:dyDescent="0.3">
      <c r="C331" s="2"/>
      <c r="D331" s="2"/>
      <c r="J331" s="2"/>
    </row>
    <row r="332" spans="3:10" x14ac:dyDescent="0.3">
      <c r="C332" s="2"/>
      <c r="D332" s="2"/>
      <c r="J332" s="2"/>
    </row>
    <row r="333" spans="3:10" x14ac:dyDescent="0.3">
      <c r="C333" s="2"/>
      <c r="D333" s="2"/>
      <c r="J333" s="2"/>
    </row>
    <row r="334" spans="3:10" x14ac:dyDescent="0.3">
      <c r="C334" s="2"/>
      <c r="D334" s="2"/>
      <c r="J334" s="2"/>
    </row>
    <row r="335" spans="3:10" x14ac:dyDescent="0.3">
      <c r="C335" s="2"/>
      <c r="D335" s="2"/>
      <c r="J335" s="2"/>
    </row>
    <row r="336" spans="3:10" x14ac:dyDescent="0.3">
      <c r="C336" s="2"/>
      <c r="D336" s="2"/>
      <c r="J336" s="2"/>
    </row>
    <row r="337" spans="3:10" x14ac:dyDescent="0.3">
      <c r="C337" s="2"/>
      <c r="D337" s="2"/>
      <c r="J337" s="2"/>
    </row>
    <row r="338" spans="3:10" x14ac:dyDescent="0.3">
      <c r="C338" s="2"/>
      <c r="D338" s="2"/>
      <c r="J338" s="2"/>
    </row>
    <row r="339" spans="3:10" x14ac:dyDescent="0.3">
      <c r="C339" s="2"/>
      <c r="D339" s="2"/>
      <c r="J339" s="2"/>
    </row>
    <row r="340" spans="3:10" x14ac:dyDescent="0.3">
      <c r="C340" s="2"/>
      <c r="D340" s="2"/>
      <c r="J340" s="2"/>
    </row>
    <row r="341" spans="3:10" x14ac:dyDescent="0.3">
      <c r="C341" s="2"/>
      <c r="D341" s="2"/>
      <c r="J341" s="2"/>
    </row>
    <row r="342" spans="3:10" x14ac:dyDescent="0.3">
      <c r="C342" s="2"/>
      <c r="D342" s="2"/>
      <c r="J342" s="2"/>
    </row>
    <row r="343" spans="3:10" x14ac:dyDescent="0.3">
      <c r="C343" s="2"/>
      <c r="D343" s="2"/>
      <c r="J343" s="2"/>
    </row>
    <row r="344" spans="3:10" x14ac:dyDescent="0.3">
      <c r="C344" s="2"/>
      <c r="D344" s="2"/>
      <c r="J344" s="2"/>
    </row>
    <row r="345" spans="3:10" x14ac:dyDescent="0.3">
      <c r="C345" s="2"/>
      <c r="D345" s="2"/>
      <c r="J345" s="2"/>
    </row>
    <row r="346" spans="3:10" x14ac:dyDescent="0.3">
      <c r="C346" s="2"/>
      <c r="D346" s="2"/>
      <c r="J346" s="2"/>
    </row>
    <row r="347" spans="3:10" x14ac:dyDescent="0.3">
      <c r="C347" s="2"/>
      <c r="D347" s="2"/>
      <c r="J347" s="2"/>
    </row>
    <row r="348" spans="3:10" x14ac:dyDescent="0.3">
      <c r="C348" s="2"/>
      <c r="D348" s="2"/>
      <c r="J348" s="2"/>
    </row>
    <row r="349" spans="3:10" x14ac:dyDescent="0.3">
      <c r="C349" s="2"/>
      <c r="D349" s="2"/>
      <c r="J349" s="2"/>
    </row>
    <row r="350" spans="3:10" x14ac:dyDescent="0.3">
      <c r="C350" s="2"/>
      <c r="D350" s="2"/>
      <c r="J350" s="2"/>
    </row>
    <row r="351" spans="3:10" x14ac:dyDescent="0.3">
      <c r="C351" s="2"/>
      <c r="D351" s="2"/>
      <c r="J351" s="2"/>
    </row>
    <row r="352" spans="3:10" x14ac:dyDescent="0.3">
      <c r="C352" s="2"/>
      <c r="D352" s="2"/>
      <c r="J352" s="2"/>
    </row>
    <row r="353" spans="3:10" x14ac:dyDescent="0.3">
      <c r="C353" s="2"/>
      <c r="D353" s="2"/>
      <c r="J353" s="2"/>
    </row>
    <row r="354" spans="3:10" x14ac:dyDescent="0.3">
      <c r="C354" s="2"/>
      <c r="D354" s="2"/>
      <c r="J354" s="2"/>
    </row>
    <row r="355" spans="3:10" x14ac:dyDescent="0.3">
      <c r="C355" s="2"/>
      <c r="D355" s="2"/>
      <c r="J355" s="2"/>
    </row>
    <row r="356" spans="3:10" x14ac:dyDescent="0.3">
      <c r="C356" s="2"/>
      <c r="D356" s="2"/>
      <c r="J356" s="2"/>
    </row>
    <row r="357" spans="3:10" x14ac:dyDescent="0.3">
      <c r="C357" s="2"/>
      <c r="D357" s="2"/>
      <c r="J357" s="2"/>
    </row>
    <row r="358" spans="3:10" x14ac:dyDescent="0.3">
      <c r="C358" s="2"/>
      <c r="D358" s="2"/>
      <c r="J358" s="2"/>
    </row>
    <row r="359" spans="3:10" x14ac:dyDescent="0.3">
      <c r="C359" s="2"/>
      <c r="D359" s="2"/>
      <c r="J359" s="2"/>
    </row>
    <row r="360" spans="3:10" x14ac:dyDescent="0.3">
      <c r="C360" s="2"/>
      <c r="D360" s="2"/>
      <c r="J360" s="2"/>
    </row>
    <row r="361" spans="3:10" x14ac:dyDescent="0.3">
      <c r="C361" s="2"/>
      <c r="D361" s="2"/>
      <c r="J361" s="2"/>
    </row>
    <row r="362" spans="3:10" x14ac:dyDescent="0.3">
      <c r="C362" s="2"/>
      <c r="D362" s="2"/>
      <c r="J362" s="2"/>
    </row>
    <row r="363" spans="3:10" x14ac:dyDescent="0.3">
      <c r="C363" s="2"/>
      <c r="D363" s="2"/>
      <c r="J363" s="2"/>
    </row>
    <row r="364" spans="3:10" x14ac:dyDescent="0.3">
      <c r="C364" s="2"/>
      <c r="D364" s="2"/>
      <c r="J364" s="2"/>
    </row>
    <row r="365" spans="3:10" x14ac:dyDescent="0.3">
      <c r="C365" s="2"/>
      <c r="D365" s="2"/>
      <c r="J365" s="2"/>
    </row>
    <row r="366" spans="3:10" x14ac:dyDescent="0.3">
      <c r="C366" s="2"/>
      <c r="D366" s="2"/>
      <c r="J366" s="2"/>
    </row>
    <row r="367" spans="3:10" x14ac:dyDescent="0.3">
      <c r="C367" s="2"/>
      <c r="D367" s="2"/>
      <c r="J367" s="2"/>
    </row>
    <row r="368" spans="3:10" x14ac:dyDescent="0.3">
      <c r="C368" s="2"/>
      <c r="D368" s="2"/>
      <c r="J368" s="2"/>
    </row>
    <row r="369" spans="3:10" x14ac:dyDescent="0.3">
      <c r="C369" s="2"/>
      <c r="D369" s="2"/>
      <c r="J369" s="2"/>
    </row>
    <row r="370" spans="3:10" x14ac:dyDescent="0.3">
      <c r="C370" s="2"/>
      <c r="D370" s="2"/>
      <c r="J370" s="2"/>
    </row>
    <row r="371" spans="3:10" x14ac:dyDescent="0.3">
      <c r="C371" s="2"/>
      <c r="D371" s="2"/>
      <c r="J371" s="2"/>
    </row>
    <row r="372" spans="3:10" x14ac:dyDescent="0.3">
      <c r="C372" s="2"/>
      <c r="D372" s="2"/>
      <c r="J372" s="2"/>
    </row>
    <row r="373" spans="3:10" x14ac:dyDescent="0.3">
      <c r="C373" s="2"/>
      <c r="D373" s="2"/>
      <c r="J373" s="2"/>
    </row>
    <row r="374" spans="3:10" x14ac:dyDescent="0.3">
      <c r="C374" s="2"/>
      <c r="D374" s="2"/>
      <c r="J374" s="2"/>
    </row>
    <row r="375" spans="3:10" x14ac:dyDescent="0.3">
      <c r="C375" s="2"/>
      <c r="D375" s="2"/>
      <c r="J375" s="2"/>
    </row>
    <row r="376" spans="3:10" x14ac:dyDescent="0.3">
      <c r="C376" s="2"/>
      <c r="D376" s="2"/>
      <c r="J376" s="2"/>
    </row>
    <row r="377" spans="3:10" x14ac:dyDescent="0.3">
      <c r="C377" s="2"/>
      <c r="D377" s="2"/>
      <c r="J377" s="2"/>
    </row>
    <row r="378" spans="3:10" x14ac:dyDescent="0.3">
      <c r="C378" s="2"/>
      <c r="D378" s="2"/>
      <c r="J378" s="2"/>
    </row>
    <row r="379" spans="3:10" x14ac:dyDescent="0.3">
      <c r="C379" s="2"/>
      <c r="D379" s="2"/>
      <c r="J379" s="2"/>
    </row>
    <row r="380" spans="3:10" x14ac:dyDescent="0.3">
      <c r="C380" s="2"/>
      <c r="D380" s="2"/>
      <c r="J380" s="2"/>
    </row>
    <row r="381" spans="3:10" x14ac:dyDescent="0.3">
      <c r="C381" s="2"/>
      <c r="D381" s="2"/>
      <c r="J381" s="2"/>
    </row>
    <row r="382" spans="3:10" x14ac:dyDescent="0.3">
      <c r="C382" s="2"/>
      <c r="D382" s="2"/>
      <c r="J382" s="2"/>
    </row>
    <row r="383" spans="3:10" x14ac:dyDescent="0.3">
      <c r="C383" s="2"/>
      <c r="D383" s="2"/>
      <c r="J383" s="2"/>
    </row>
    <row r="384" spans="3:10" x14ac:dyDescent="0.3">
      <c r="C384" s="2"/>
      <c r="D384" s="2"/>
      <c r="J384" s="2"/>
    </row>
    <row r="385" spans="3:10" x14ac:dyDescent="0.3">
      <c r="C385" s="2"/>
      <c r="D385" s="2"/>
      <c r="J385" s="2"/>
    </row>
    <row r="386" spans="3:10" x14ac:dyDescent="0.3">
      <c r="C386" s="2"/>
      <c r="D386" s="2"/>
      <c r="J386" s="2"/>
    </row>
    <row r="387" spans="3:10" x14ac:dyDescent="0.3">
      <c r="C387" s="2"/>
      <c r="D387" s="2"/>
      <c r="J387" s="2"/>
    </row>
    <row r="388" spans="3:10" x14ac:dyDescent="0.3">
      <c r="C388" s="2"/>
      <c r="D388" s="2"/>
      <c r="J388" s="2"/>
    </row>
    <row r="389" spans="3:10" x14ac:dyDescent="0.3">
      <c r="C389" s="2"/>
      <c r="D389" s="2"/>
      <c r="J389" s="2"/>
    </row>
    <row r="390" spans="3:10" x14ac:dyDescent="0.3">
      <c r="C390" s="2"/>
      <c r="D390" s="2"/>
      <c r="J390" s="2"/>
    </row>
    <row r="391" spans="3:10" x14ac:dyDescent="0.3">
      <c r="C391" s="2"/>
      <c r="D391" s="2"/>
      <c r="J391" s="2"/>
    </row>
    <row r="392" spans="3:10" x14ac:dyDescent="0.3">
      <c r="C392" s="2"/>
      <c r="D392" s="2"/>
      <c r="J392" s="2"/>
    </row>
    <row r="393" spans="3:10" x14ac:dyDescent="0.3">
      <c r="C393" s="2"/>
      <c r="D393" s="2"/>
      <c r="J393" s="2"/>
    </row>
    <row r="394" spans="3:10" x14ac:dyDescent="0.3">
      <c r="C394" s="2"/>
      <c r="D394" s="2"/>
      <c r="J394" s="2"/>
    </row>
    <row r="395" spans="3:10" x14ac:dyDescent="0.3">
      <c r="C395" s="2"/>
      <c r="D395" s="2"/>
      <c r="J395" s="2"/>
    </row>
    <row r="396" spans="3:10" x14ac:dyDescent="0.3">
      <c r="C396" s="2"/>
      <c r="D396" s="2"/>
      <c r="J396" s="2"/>
    </row>
    <row r="397" spans="3:10" x14ac:dyDescent="0.3">
      <c r="C397" s="2"/>
      <c r="D397" s="2"/>
      <c r="J397" s="2"/>
    </row>
    <row r="398" spans="3:10" x14ac:dyDescent="0.3">
      <c r="C398" s="2"/>
      <c r="D398" s="2"/>
      <c r="J398" s="2"/>
    </row>
    <row r="399" spans="3:10" x14ac:dyDescent="0.3">
      <c r="C399" s="2"/>
      <c r="D399" s="2"/>
      <c r="J399" s="2"/>
    </row>
    <row r="400" spans="3:10" x14ac:dyDescent="0.3">
      <c r="C400" s="2"/>
      <c r="D400" s="2"/>
      <c r="J400" s="2"/>
    </row>
    <row r="401" spans="3:10" x14ac:dyDescent="0.3">
      <c r="C401" s="2"/>
      <c r="D401" s="2"/>
      <c r="J401" s="2"/>
    </row>
    <row r="402" spans="3:10" x14ac:dyDescent="0.3">
      <c r="C402" s="2"/>
      <c r="D402" s="2"/>
      <c r="J402" s="2"/>
    </row>
    <row r="403" spans="3:10" x14ac:dyDescent="0.3">
      <c r="C403" s="2"/>
      <c r="D403" s="2"/>
      <c r="J403" s="2"/>
    </row>
    <row r="404" spans="3:10" x14ac:dyDescent="0.3">
      <c r="C404" s="2"/>
      <c r="D404" s="2"/>
      <c r="J404" s="2"/>
    </row>
    <row r="405" spans="3:10" x14ac:dyDescent="0.3">
      <c r="C405" s="2"/>
      <c r="D405" s="2"/>
      <c r="J405" s="2"/>
    </row>
    <row r="406" spans="3:10" x14ac:dyDescent="0.3">
      <c r="C406" s="2"/>
      <c r="D406" s="2"/>
      <c r="J406" s="2"/>
    </row>
    <row r="407" spans="3:10" x14ac:dyDescent="0.3">
      <c r="C407" s="2"/>
      <c r="D407" s="2"/>
      <c r="J407" s="2"/>
    </row>
    <row r="408" spans="3:10" x14ac:dyDescent="0.3">
      <c r="C408" s="2"/>
      <c r="D408" s="2"/>
      <c r="J408" s="2"/>
    </row>
    <row r="409" spans="3:10" x14ac:dyDescent="0.3">
      <c r="C409" s="2"/>
      <c r="D409" s="2"/>
      <c r="J409" s="2"/>
    </row>
    <row r="410" spans="3:10" x14ac:dyDescent="0.3">
      <c r="C410" s="2"/>
      <c r="D410" s="2"/>
      <c r="J410" s="2"/>
    </row>
    <row r="411" spans="3:10" x14ac:dyDescent="0.3">
      <c r="C411" s="2"/>
      <c r="D411" s="2"/>
      <c r="J411" s="2"/>
    </row>
    <row r="412" spans="3:10" x14ac:dyDescent="0.3">
      <c r="C412" s="2"/>
      <c r="D412" s="2"/>
      <c r="J412" s="2"/>
    </row>
    <row r="413" spans="3:10" x14ac:dyDescent="0.3">
      <c r="C413" s="2"/>
      <c r="D413" s="2"/>
      <c r="J413" s="2"/>
    </row>
    <row r="414" spans="3:10" x14ac:dyDescent="0.3">
      <c r="C414" s="2"/>
      <c r="D414" s="2"/>
      <c r="J414" s="2"/>
    </row>
    <row r="415" spans="3:10" x14ac:dyDescent="0.3">
      <c r="C415" s="2"/>
      <c r="D415" s="2"/>
      <c r="J415" s="2"/>
    </row>
    <row r="416" spans="3:10" x14ac:dyDescent="0.3">
      <c r="C416" s="2"/>
      <c r="D416" s="2"/>
      <c r="J416" s="2"/>
    </row>
    <row r="417" spans="3:10" x14ac:dyDescent="0.3">
      <c r="C417" s="2"/>
      <c r="D417" s="2"/>
      <c r="J417" s="2"/>
    </row>
    <row r="418" spans="3:10" x14ac:dyDescent="0.3">
      <c r="C418" s="2"/>
      <c r="D418" s="2"/>
      <c r="J418" s="2"/>
    </row>
    <row r="419" spans="3:10" x14ac:dyDescent="0.3">
      <c r="C419" s="2"/>
      <c r="D419" s="2"/>
      <c r="J419" s="2"/>
    </row>
    <row r="420" spans="3:10" x14ac:dyDescent="0.3">
      <c r="C420" s="2"/>
      <c r="D420" s="2"/>
      <c r="J420" s="2"/>
    </row>
    <row r="421" spans="3:10" x14ac:dyDescent="0.3">
      <c r="C421" s="2"/>
      <c r="D421" s="2"/>
      <c r="J421" s="2"/>
    </row>
    <row r="422" spans="3:10" x14ac:dyDescent="0.3">
      <c r="C422" s="2"/>
      <c r="D422" s="2"/>
      <c r="J422" s="2"/>
    </row>
    <row r="423" spans="3:10" x14ac:dyDescent="0.3">
      <c r="C423" s="2"/>
      <c r="D423" s="2"/>
      <c r="J423" s="2"/>
    </row>
    <row r="424" spans="3:10" x14ac:dyDescent="0.3">
      <c r="C424" s="2"/>
      <c r="D424" s="2"/>
      <c r="J424" s="2"/>
    </row>
    <row r="425" spans="3:10" x14ac:dyDescent="0.3">
      <c r="C425" s="2"/>
      <c r="D425" s="2"/>
      <c r="J425" s="2"/>
    </row>
    <row r="426" spans="3:10" x14ac:dyDescent="0.3">
      <c r="C426" s="2"/>
      <c r="D426" s="2"/>
      <c r="J426" s="2"/>
    </row>
    <row r="427" spans="3:10" x14ac:dyDescent="0.3">
      <c r="C427" s="2"/>
      <c r="D427" s="2"/>
      <c r="J427" s="2"/>
    </row>
    <row r="428" spans="3:10" x14ac:dyDescent="0.3">
      <c r="C428" s="2"/>
      <c r="D428" s="2"/>
      <c r="J428" s="2"/>
    </row>
    <row r="429" spans="3:10" x14ac:dyDescent="0.3">
      <c r="C429" s="2"/>
      <c r="D429" s="2"/>
      <c r="J429" s="2"/>
    </row>
    <row r="430" spans="3:10" x14ac:dyDescent="0.3">
      <c r="C430" s="2"/>
      <c r="D430" s="2"/>
      <c r="J430" s="2"/>
    </row>
    <row r="431" spans="3:10" x14ac:dyDescent="0.3">
      <c r="C431" s="2"/>
      <c r="D431" s="2"/>
      <c r="J431" s="2"/>
    </row>
    <row r="432" spans="3:10" x14ac:dyDescent="0.3">
      <c r="C432" s="2"/>
      <c r="D432" s="2"/>
      <c r="J432" s="2"/>
    </row>
    <row r="433" spans="3:10" x14ac:dyDescent="0.3">
      <c r="C433" s="2"/>
      <c r="D433" s="2"/>
      <c r="J433" s="2"/>
    </row>
    <row r="434" spans="3:10" x14ac:dyDescent="0.3">
      <c r="C434" s="2"/>
      <c r="D434" s="2"/>
      <c r="J434" s="2"/>
    </row>
    <row r="435" spans="3:10" x14ac:dyDescent="0.3">
      <c r="C435" s="2"/>
      <c r="D435" s="2"/>
      <c r="J435" s="2"/>
    </row>
    <row r="436" spans="3:10" x14ac:dyDescent="0.3">
      <c r="C436" s="2"/>
      <c r="D436" s="2"/>
      <c r="J436" s="2"/>
    </row>
    <row r="437" spans="3:10" x14ac:dyDescent="0.3">
      <c r="C437" s="2"/>
      <c r="D437" s="2"/>
      <c r="J437" s="2"/>
    </row>
    <row r="438" spans="3:10" x14ac:dyDescent="0.3">
      <c r="C438" s="2"/>
      <c r="D438" s="2"/>
      <c r="J438" s="2"/>
    </row>
    <row r="439" spans="3:10" x14ac:dyDescent="0.3">
      <c r="C439" s="2"/>
      <c r="D439" s="2"/>
      <c r="J439" s="2"/>
    </row>
    <row r="440" spans="3:10" x14ac:dyDescent="0.3">
      <c r="C440" s="2"/>
      <c r="D440" s="2"/>
      <c r="J440" s="2"/>
    </row>
    <row r="441" spans="3:10" x14ac:dyDescent="0.3">
      <c r="C441" s="2"/>
      <c r="D441" s="2"/>
      <c r="J441" s="2"/>
    </row>
    <row r="442" spans="3:10" x14ac:dyDescent="0.3">
      <c r="C442" s="2"/>
      <c r="D442" s="2"/>
      <c r="J442" s="2"/>
    </row>
    <row r="443" spans="3:10" x14ac:dyDescent="0.3">
      <c r="C443" s="2"/>
      <c r="D443" s="2"/>
      <c r="J443" s="2"/>
    </row>
    <row r="444" spans="3:10" x14ac:dyDescent="0.3">
      <c r="C444" s="2"/>
      <c r="D444" s="2"/>
      <c r="J444" s="2"/>
    </row>
    <row r="445" spans="3:10" x14ac:dyDescent="0.3">
      <c r="C445" s="2"/>
      <c r="D445" s="2"/>
      <c r="J445" s="2"/>
    </row>
    <row r="446" spans="3:10" x14ac:dyDescent="0.3">
      <c r="C446" s="2"/>
      <c r="D446" s="2"/>
      <c r="J446" s="2"/>
    </row>
    <row r="447" spans="3:10" x14ac:dyDescent="0.3">
      <c r="C447" s="2"/>
      <c r="D447" s="2"/>
      <c r="J447" s="2"/>
    </row>
    <row r="448" spans="3:10" x14ac:dyDescent="0.3">
      <c r="C448" s="2"/>
      <c r="D448" s="2"/>
      <c r="J448" s="2"/>
    </row>
    <row r="449" spans="3:10" x14ac:dyDescent="0.3">
      <c r="C449" s="2"/>
      <c r="D449" s="2"/>
      <c r="J449" s="2"/>
    </row>
    <row r="450" spans="3:10" x14ac:dyDescent="0.3">
      <c r="C450" s="2"/>
      <c r="D450" s="2"/>
      <c r="J450" s="2"/>
    </row>
    <row r="451" spans="3:10" x14ac:dyDescent="0.3">
      <c r="C451" s="2"/>
      <c r="D451" s="2"/>
      <c r="J451" s="2"/>
    </row>
    <row r="452" spans="3:10" x14ac:dyDescent="0.3">
      <c r="C452" s="2"/>
      <c r="D452" s="2"/>
      <c r="J452" s="2"/>
    </row>
    <row r="453" spans="3:10" x14ac:dyDescent="0.3">
      <c r="C453" s="2"/>
      <c r="D453" s="2"/>
      <c r="J453" s="2"/>
    </row>
    <row r="454" spans="3:10" x14ac:dyDescent="0.3">
      <c r="C454" s="2"/>
      <c r="D454" s="2"/>
      <c r="J454" s="2"/>
    </row>
    <row r="455" spans="3:10" x14ac:dyDescent="0.3">
      <c r="C455" s="2"/>
      <c r="D455" s="2"/>
      <c r="J455" s="2"/>
    </row>
    <row r="456" spans="3:10" x14ac:dyDescent="0.3">
      <c r="C456" s="2"/>
      <c r="D456" s="2"/>
      <c r="J456" s="2"/>
    </row>
    <row r="457" spans="3:10" x14ac:dyDescent="0.3">
      <c r="C457" s="2"/>
      <c r="D457" s="2"/>
      <c r="J457" s="2"/>
    </row>
    <row r="458" spans="3:10" x14ac:dyDescent="0.3">
      <c r="C458" s="2"/>
      <c r="D458" s="2"/>
      <c r="J458" s="2"/>
    </row>
    <row r="459" spans="3:10" x14ac:dyDescent="0.3">
      <c r="C459" s="2"/>
      <c r="D459" s="2"/>
      <c r="J459" s="2"/>
    </row>
    <row r="460" spans="3:10" x14ac:dyDescent="0.3">
      <c r="C460" s="2"/>
      <c r="D460" s="2"/>
      <c r="J460" s="2"/>
    </row>
    <row r="461" spans="3:10" x14ac:dyDescent="0.3">
      <c r="C461" s="2"/>
      <c r="D461" s="2"/>
      <c r="J461" s="2"/>
    </row>
    <row r="462" spans="3:10" x14ac:dyDescent="0.3">
      <c r="C462" s="2"/>
      <c r="D462" s="2"/>
      <c r="J462" s="2"/>
    </row>
    <row r="463" spans="3:10" x14ac:dyDescent="0.3">
      <c r="C463" s="2"/>
      <c r="D463" s="2"/>
      <c r="J463" s="2"/>
    </row>
    <row r="464" spans="3:10" x14ac:dyDescent="0.3">
      <c r="C464" s="2"/>
      <c r="D464" s="2"/>
      <c r="J464" s="2"/>
    </row>
    <row r="465" spans="3:10" x14ac:dyDescent="0.3">
      <c r="C465" s="2"/>
      <c r="D465" s="2"/>
      <c r="J465" s="2"/>
    </row>
    <row r="466" spans="3:10" x14ac:dyDescent="0.3">
      <c r="C466" s="2"/>
      <c r="D466" s="2"/>
      <c r="J466" s="2"/>
    </row>
    <row r="467" spans="3:10" x14ac:dyDescent="0.3">
      <c r="C467" s="2"/>
      <c r="D467" s="2"/>
      <c r="J467" s="2"/>
    </row>
    <row r="468" spans="3:10" x14ac:dyDescent="0.3">
      <c r="C468" s="2"/>
      <c r="D468" s="2"/>
      <c r="J468" s="2"/>
    </row>
    <row r="469" spans="3:10" x14ac:dyDescent="0.3">
      <c r="C469" s="2"/>
      <c r="D469" s="2"/>
      <c r="J469" s="2"/>
    </row>
    <row r="470" spans="3:10" x14ac:dyDescent="0.3">
      <c r="C470" s="2"/>
      <c r="D470" s="2"/>
      <c r="J470" s="2"/>
    </row>
    <row r="471" spans="3:10" x14ac:dyDescent="0.3">
      <c r="C471" s="2"/>
      <c r="D471" s="2"/>
      <c r="J471" s="2"/>
    </row>
    <row r="472" spans="3:10" x14ac:dyDescent="0.3">
      <c r="C472" s="2"/>
      <c r="D472" s="2"/>
      <c r="J472" s="2"/>
    </row>
    <row r="473" spans="3:10" x14ac:dyDescent="0.3">
      <c r="C473" s="2"/>
      <c r="D473" s="2"/>
      <c r="J473" s="2"/>
    </row>
    <row r="474" spans="3:10" x14ac:dyDescent="0.3">
      <c r="C474" s="2"/>
      <c r="D474" s="2"/>
      <c r="J474" s="2"/>
    </row>
    <row r="475" spans="3:10" x14ac:dyDescent="0.3">
      <c r="C475" s="2"/>
      <c r="D475" s="2"/>
      <c r="J475" s="2"/>
    </row>
    <row r="476" spans="3:10" x14ac:dyDescent="0.3">
      <c r="C476" s="2"/>
      <c r="D476" s="2"/>
      <c r="J476" s="2"/>
    </row>
    <row r="477" spans="3:10" x14ac:dyDescent="0.3">
      <c r="C477" s="2"/>
      <c r="D477" s="2"/>
      <c r="J477" s="2"/>
    </row>
    <row r="478" spans="3:10" x14ac:dyDescent="0.3">
      <c r="C478" s="2"/>
      <c r="D478" s="2"/>
      <c r="J478" s="2"/>
    </row>
    <row r="479" spans="3:10" x14ac:dyDescent="0.3">
      <c r="C479" s="2"/>
      <c r="D479" s="2"/>
      <c r="J479" s="2"/>
    </row>
    <row r="480" spans="3:10" x14ac:dyDescent="0.3">
      <c r="C480" s="2"/>
      <c r="D480" s="2"/>
      <c r="J480" s="2"/>
    </row>
    <row r="481" spans="3:10" x14ac:dyDescent="0.3">
      <c r="C481" s="2"/>
      <c r="D481" s="2"/>
      <c r="J481" s="2"/>
    </row>
    <row r="482" spans="3:10" x14ac:dyDescent="0.3">
      <c r="C482" s="2"/>
      <c r="D482" s="2"/>
      <c r="J482" s="2"/>
    </row>
    <row r="483" spans="3:10" x14ac:dyDescent="0.3">
      <c r="C483" s="2"/>
      <c r="D483" s="2"/>
      <c r="J483" s="2"/>
    </row>
    <row r="484" spans="3:10" x14ac:dyDescent="0.3">
      <c r="C484" s="2"/>
      <c r="D484" s="2"/>
      <c r="J484" s="2"/>
    </row>
    <row r="485" spans="3:10" x14ac:dyDescent="0.3">
      <c r="C485" s="2"/>
      <c r="D485" s="2"/>
      <c r="J485" s="2"/>
    </row>
    <row r="486" spans="3:10" x14ac:dyDescent="0.3">
      <c r="C486" s="2"/>
      <c r="D486" s="2"/>
      <c r="J486" s="2"/>
    </row>
    <row r="487" spans="3:10" x14ac:dyDescent="0.3">
      <c r="C487" s="2"/>
      <c r="D487" s="2"/>
      <c r="J487" s="2"/>
    </row>
    <row r="488" spans="3:10" x14ac:dyDescent="0.3">
      <c r="C488" s="2"/>
      <c r="D488" s="2"/>
      <c r="J488" s="2"/>
    </row>
    <row r="489" spans="3:10" x14ac:dyDescent="0.3">
      <c r="C489" s="2"/>
      <c r="D489" s="2"/>
      <c r="J489" s="2"/>
    </row>
    <row r="490" spans="3:10" x14ac:dyDescent="0.3">
      <c r="C490" s="2"/>
      <c r="D490" s="2"/>
      <c r="J490" s="2"/>
    </row>
    <row r="491" spans="3:10" x14ac:dyDescent="0.3">
      <c r="C491" s="2"/>
      <c r="D491" s="2"/>
      <c r="J491" s="2"/>
    </row>
    <row r="492" spans="3:10" x14ac:dyDescent="0.3">
      <c r="C492" s="2"/>
      <c r="D492" s="2"/>
      <c r="J492" s="2"/>
    </row>
    <row r="493" spans="3:10" x14ac:dyDescent="0.3">
      <c r="C493" s="2"/>
      <c r="D493" s="2"/>
      <c r="J493" s="2"/>
    </row>
    <row r="494" spans="3:10" x14ac:dyDescent="0.3">
      <c r="C494" s="2"/>
      <c r="D494" s="2"/>
      <c r="J494" s="2"/>
    </row>
    <row r="495" spans="3:10" x14ac:dyDescent="0.3">
      <c r="C495" s="2"/>
      <c r="D495" s="2"/>
      <c r="J495" s="2"/>
    </row>
    <row r="496" spans="3:10" x14ac:dyDescent="0.3">
      <c r="C496" s="2"/>
      <c r="D496" s="2"/>
      <c r="J496" s="2"/>
    </row>
    <row r="497" spans="3:10" x14ac:dyDescent="0.3">
      <c r="C497" s="2"/>
      <c r="D497" s="2"/>
      <c r="J497" s="2"/>
    </row>
    <row r="498" spans="3:10" x14ac:dyDescent="0.3">
      <c r="C498" s="2"/>
      <c r="D498" s="2"/>
      <c r="J498" s="2"/>
    </row>
    <row r="499" spans="3:10" x14ac:dyDescent="0.3">
      <c r="C499" s="2"/>
      <c r="D499" s="2"/>
      <c r="J499" s="2"/>
    </row>
    <row r="500" spans="3:10" x14ac:dyDescent="0.3">
      <c r="C500" s="2"/>
      <c r="D500" s="2"/>
      <c r="J500" s="2"/>
    </row>
    <row r="501" spans="3:10" x14ac:dyDescent="0.3">
      <c r="C501" s="2"/>
      <c r="D501" s="2"/>
      <c r="J501" s="2"/>
    </row>
    <row r="502" spans="3:10" x14ac:dyDescent="0.3">
      <c r="C502" s="2"/>
      <c r="D502" s="2"/>
      <c r="J502" s="2"/>
    </row>
    <row r="503" spans="3:10" x14ac:dyDescent="0.3">
      <c r="C503" s="2"/>
      <c r="D503" s="2"/>
      <c r="J503" s="2"/>
    </row>
    <row r="504" spans="3:10" x14ac:dyDescent="0.3">
      <c r="C504" s="2"/>
      <c r="D504" s="2"/>
      <c r="J504" s="2"/>
    </row>
    <row r="505" spans="3:10" x14ac:dyDescent="0.3">
      <c r="C505" s="2"/>
      <c r="D505" s="2"/>
      <c r="J505" s="2"/>
    </row>
    <row r="506" spans="3:10" x14ac:dyDescent="0.3">
      <c r="C506" s="2"/>
      <c r="D506" s="2"/>
      <c r="J506" s="2"/>
    </row>
    <row r="507" spans="3:10" x14ac:dyDescent="0.3">
      <c r="C507" s="2"/>
      <c r="D507" s="2"/>
      <c r="J507" s="2"/>
    </row>
    <row r="508" spans="3:10" x14ac:dyDescent="0.3">
      <c r="C508" s="2"/>
      <c r="D508" s="2"/>
      <c r="J508" s="2"/>
    </row>
    <row r="509" spans="3:10" x14ac:dyDescent="0.3">
      <c r="C509" s="2"/>
      <c r="D509" s="2"/>
      <c r="J509" s="2"/>
    </row>
    <row r="510" spans="3:10" x14ac:dyDescent="0.3">
      <c r="C510" s="2"/>
      <c r="D510" s="2"/>
      <c r="J510" s="2"/>
    </row>
    <row r="511" spans="3:10" x14ac:dyDescent="0.3">
      <c r="C511" s="2"/>
      <c r="D511" s="2"/>
      <c r="J511" s="2"/>
    </row>
    <row r="512" spans="3:10" x14ac:dyDescent="0.3">
      <c r="C512" s="2"/>
      <c r="D512" s="2"/>
      <c r="J512" s="2"/>
    </row>
    <row r="513" spans="3:10" x14ac:dyDescent="0.3">
      <c r="C513" s="2"/>
      <c r="D513" s="2"/>
      <c r="J513" s="2"/>
    </row>
    <row r="514" spans="3:10" x14ac:dyDescent="0.3">
      <c r="C514" s="2"/>
      <c r="D514" s="2"/>
      <c r="J514" s="2"/>
    </row>
    <row r="515" spans="3:10" x14ac:dyDescent="0.3">
      <c r="C515" s="2"/>
      <c r="D515" s="2"/>
      <c r="J515" s="2"/>
    </row>
    <row r="516" spans="3:10" x14ac:dyDescent="0.3">
      <c r="C516" s="2"/>
      <c r="D516" s="2"/>
      <c r="J516" s="2"/>
    </row>
    <row r="517" spans="3:10" x14ac:dyDescent="0.3">
      <c r="C517" s="2"/>
      <c r="D517" s="2"/>
      <c r="J517" s="2"/>
    </row>
    <row r="518" spans="3:10" x14ac:dyDescent="0.3">
      <c r="C518" s="2"/>
      <c r="D518" s="2"/>
      <c r="J518" s="2"/>
    </row>
    <row r="519" spans="3:10" x14ac:dyDescent="0.3">
      <c r="C519" s="2"/>
      <c r="D519" s="2"/>
      <c r="J519" s="2"/>
    </row>
    <row r="520" spans="3:10" x14ac:dyDescent="0.3">
      <c r="C520" s="2"/>
      <c r="D520" s="2"/>
      <c r="J520" s="2"/>
    </row>
    <row r="521" spans="3:10" x14ac:dyDescent="0.3">
      <c r="C521" s="2"/>
      <c r="D521" s="2"/>
      <c r="J521" s="2"/>
    </row>
    <row r="522" spans="3:10" x14ac:dyDescent="0.3">
      <c r="C522" s="2"/>
      <c r="D522" s="2"/>
      <c r="J522" s="2"/>
    </row>
    <row r="523" spans="3:10" x14ac:dyDescent="0.3">
      <c r="C523" s="2"/>
      <c r="D523" s="2"/>
      <c r="J523" s="2"/>
    </row>
    <row r="524" spans="3:10" x14ac:dyDescent="0.3">
      <c r="C524" s="2"/>
      <c r="D524" s="2"/>
      <c r="J524" s="2"/>
    </row>
    <row r="525" spans="3:10" x14ac:dyDescent="0.3">
      <c r="C525" s="2"/>
      <c r="D525" s="2"/>
      <c r="J525" s="2"/>
    </row>
    <row r="526" spans="3:10" x14ac:dyDescent="0.3">
      <c r="C526" s="2"/>
      <c r="D526" s="2"/>
      <c r="J526" s="2"/>
    </row>
    <row r="527" spans="3:10" x14ac:dyDescent="0.3">
      <c r="C527" s="2"/>
      <c r="D527" s="2"/>
      <c r="J527" s="2"/>
    </row>
    <row r="528" spans="3:10" x14ac:dyDescent="0.3">
      <c r="C528" s="2"/>
      <c r="D528" s="2"/>
      <c r="J528" s="2"/>
    </row>
    <row r="529" spans="3:10" x14ac:dyDescent="0.3">
      <c r="C529" s="2"/>
      <c r="D529" s="2"/>
      <c r="J529" s="2"/>
    </row>
    <row r="530" spans="3:10" x14ac:dyDescent="0.3">
      <c r="C530" s="2"/>
      <c r="D530" s="2"/>
      <c r="J530" s="2"/>
    </row>
    <row r="531" spans="3:10" x14ac:dyDescent="0.3">
      <c r="C531" s="2"/>
      <c r="D531" s="2"/>
      <c r="J531" s="2"/>
    </row>
    <row r="532" spans="3:10" x14ac:dyDescent="0.3">
      <c r="C532" s="2"/>
      <c r="D532" s="2"/>
      <c r="J532" s="2"/>
    </row>
    <row r="533" spans="3:10" x14ac:dyDescent="0.3">
      <c r="C533" s="2"/>
      <c r="D533" s="2"/>
      <c r="J533" s="2"/>
    </row>
    <row r="534" spans="3:10" x14ac:dyDescent="0.3">
      <c r="C534" s="2"/>
      <c r="D534" s="2"/>
      <c r="J534" s="2"/>
    </row>
    <row r="535" spans="3:10" x14ac:dyDescent="0.3">
      <c r="C535" s="2"/>
      <c r="D535" s="2"/>
      <c r="J535" s="2"/>
    </row>
    <row r="536" spans="3:10" x14ac:dyDescent="0.3">
      <c r="C536" s="2"/>
      <c r="D536" s="2"/>
      <c r="J536" s="2"/>
    </row>
    <row r="537" spans="3:10" x14ac:dyDescent="0.3">
      <c r="C537" s="2"/>
      <c r="D537" s="2"/>
      <c r="J537" s="2"/>
    </row>
    <row r="538" spans="3:10" x14ac:dyDescent="0.3">
      <c r="C538" s="2"/>
      <c r="D538" s="2"/>
      <c r="J538" s="2"/>
    </row>
    <row r="539" spans="3:10" x14ac:dyDescent="0.3">
      <c r="C539" s="2"/>
      <c r="D539" s="2"/>
      <c r="J539" s="2"/>
    </row>
    <row r="540" spans="3:10" x14ac:dyDescent="0.3">
      <c r="C540" s="2"/>
      <c r="D540" s="2"/>
      <c r="J540" s="2"/>
    </row>
    <row r="541" spans="3:10" x14ac:dyDescent="0.3">
      <c r="C541" s="2"/>
      <c r="D541" s="2"/>
      <c r="J541" s="2"/>
    </row>
    <row r="542" spans="3:10" x14ac:dyDescent="0.3">
      <c r="C542" s="2"/>
      <c r="D542" s="2"/>
      <c r="J542" s="2"/>
    </row>
    <row r="543" spans="3:10" x14ac:dyDescent="0.3">
      <c r="C543" s="2"/>
      <c r="D543" s="2"/>
      <c r="J543" s="2"/>
    </row>
    <row r="544" spans="3:10" x14ac:dyDescent="0.3">
      <c r="C544" s="2"/>
      <c r="D544" s="2"/>
      <c r="J544" s="2"/>
    </row>
    <row r="545" spans="3:10" x14ac:dyDescent="0.3">
      <c r="C545" s="2"/>
      <c r="D545" s="2"/>
      <c r="J545" s="2"/>
    </row>
    <row r="546" spans="3:10" x14ac:dyDescent="0.3">
      <c r="C546" s="2"/>
      <c r="D546" s="2"/>
      <c r="J546" s="2"/>
    </row>
    <row r="547" spans="3:10" x14ac:dyDescent="0.3">
      <c r="C547" s="2"/>
      <c r="D547" s="2"/>
      <c r="J547" s="2"/>
    </row>
    <row r="548" spans="3:10" x14ac:dyDescent="0.3">
      <c r="C548" s="2"/>
      <c r="D548" s="2"/>
      <c r="J548" s="2"/>
    </row>
    <row r="549" spans="3:10" x14ac:dyDescent="0.3">
      <c r="C549" s="2"/>
      <c r="D549" s="2"/>
      <c r="J549" s="2"/>
    </row>
    <row r="550" spans="3:10" x14ac:dyDescent="0.3">
      <c r="C550" s="2"/>
      <c r="D550" s="2"/>
      <c r="J550" s="2"/>
    </row>
    <row r="551" spans="3:10" x14ac:dyDescent="0.3">
      <c r="C551" s="2"/>
      <c r="D551" s="2"/>
      <c r="J551" s="2"/>
    </row>
    <row r="552" spans="3:10" x14ac:dyDescent="0.3">
      <c r="C552" s="2"/>
      <c r="D552" s="2"/>
      <c r="J552" s="2"/>
    </row>
    <row r="553" spans="3:10" x14ac:dyDescent="0.3">
      <c r="C553" s="2"/>
      <c r="D553" s="2"/>
      <c r="J553" s="2"/>
    </row>
    <row r="554" spans="3:10" x14ac:dyDescent="0.3">
      <c r="C554" s="2"/>
      <c r="D554" s="2"/>
      <c r="J554" s="2"/>
    </row>
    <row r="555" spans="3:10" x14ac:dyDescent="0.3">
      <c r="C555" s="2"/>
      <c r="D555" s="2"/>
      <c r="J555" s="2"/>
    </row>
    <row r="556" spans="3:10" x14ac:dyDescent="0.3">
      <c r="C556" s="2"/>
      <c r="D556" s="2"/>
      <c r="J556" s="2"/>
    </row>
    <row r="557" spans="3:10" x14ac:dyDescent="0.3">
      <c r="C557" s="2"/>
      <c r="D557" s="2"/>
      <c r="J557" s="2"/>
    </row>
    <row r="558" spans="3:10" x14ac:dyDescent="0.3">
      <c r="C558" s="2"/>
      <c r="D558" s="2"/>
      <c r="J558" s="2"/>
    </row>
    <row r="559" spans="3:10" x14ac:dyDescent="0.3">
      <c r="C559" s="2"/>
      <c r="D559" s="2"/>
      <c r="J559" s="2"/>
    </row>
    <row r="560" spans="3:10" x14ac:dyDescent="0.3">
      <c r="C560" s="2"/>
      <c r="D560" s="2"/>
      <c r="J560" s="2"/>
    </row>
    <row r="561" spans="3:10" x14ac:dyDescent="0.3">
      <c r="C561" s="2"/>
      <c r="D561" s="2"/>
      <c r="J561" s="2"/>
    </row>
    <row r="562" spans="3:10" x14ac:dyDescent="0.3">
      <c r="C562" s="2"/>
      <c r="D562" s="2"/>
      <c r="J562" s="2"/>
    </row>
    <row r="563" spans="3:10" x14ac:dyDescent="0.3">
      <c r="C563" s="2"/>
      <c r="D563" s="2"/>
      <c r="J563" s="2"/>
    </row>
    <row r="564" spans="3:10" x14ac:dyDescent="0.3">
      <c r="C564" s="2"/>
      <c r="D564" s="2"/>
      <c r="J564" s="2"/>
    </row>
    <row r="565" spans="3:10" x14ac:dyDescent="0.3">
      <c r="C565" s="2"/>
      <c r="D565" s="2"/>
      <c r="J565" s="2"/>
    </row>
    <row r="566" spans="3:10" x14ac:dyDescent="0.3">
      <c r="C566" s="2"/>
      <c r="D566" s="2"/>
      <c r="J566" s="2"/>
    </row>
    <row r="567" spans="3:10" x14ac:dyDescent="0.3">
      <c r="C567" s="2"/>
      <c r="D567" s="2"/>
      <c r="J567" s="2"/>
    </row>
    <row r="568" spans="3:10" x14ac:dyDescent="0.3">
      <c r="C568" s="2"/>
      <c r="D568" s="2"/>
      <c r="J568" s="2"/>
    </row>
    <row r="569" spans="3:10" x14ac:dyDescent="0.3">
      <c r="C569" s="2"/>
      <c r="D569" s="2"/>
      <c r="J569" s="2"/>
    </row>
    <row r="570" spans="3:10" x14ac:dyDescent="0.3">
      <c r="C570" s="2"/>
      <c r="D570" s="2"/>
      <c r="J570" s="2"/>
    </row>
    <row r="571" spans="3:10" x14ac:dyDescent="0.3">
      <c r="C571" s="2"/>
      <c r="D571" s="2"/>
      <c r="J571" s="2"/>
    </row>
    <row r="572" spans="3:10" x14ac:dyDescent="0.3">
      <c r="C572" s="2"/>
      <c r="D572" s="2"/>
      <c r="J572" s="2"/>
    </row>
    <row r="573" spans="3:10" x14ac:dyDescent="0.3">
      <c r="C573" s="2"/>
      <c r="D573" s="2"/>
      <c r="J573" s="2"/>
    </row>
    <row r="574" spans="3:10" x14ac:dyDescent="0.3">
      <c r="C574" s="2"/>
      <c r="D574" s="2"/>
      <c r="J574" s="2"/>
    </row>
    <row r="575" spans="3:10" x14ac:dyDescent="0.3">
      <c r="C575" s="2"/>
      <c r="D575" s="2"/>
      <c r="J575" s="2"/>
    </row>
    <row r="576" spans="3:10" x14ac:dyDescent="0.3">
      <c r="C576" s="2"/>
      <c r="D576" s="2"/>
      <c r="J576" s="2"/>
    </row>
    <row r="577" spans="3:10" x14ac:dyDescent="0.3">
      <c r="C577" s="2"/>
      <c r="D577" s="2"/>
      <c r="J577" s="2"/>
    </row>
    <row r="578" spans="3:10" x14ac:dyDescent="0.3">
      <c r="C578" s="2"/>
      <c r="D578" s="2"/>
      <c r="J578" s="2"/>
    </row>
    <row r="579" spans="3:10" x14ac:dyDescent="0.3">
      <c r="C579" s="2"/>
      <c r="D579" s="2"/>
      <c r="J579" s="2"/>
    </row>
    <row r="580" spans="3:10" x14ac:dyDescent="0.3">
      <c r="C580" s="2"/>
      <c r="D580" s="2"/>
      <c r="J580" s="2"/>
    </row>
    <row r="581" spans="3:10" x14ac:dyDescent="0.3">
      <c r="C581" s="2"/>
      <c r="D581" s="2"/>
      <c r="J581" s="2"/>
    </row>
    <row r="582" spans="3:10" x14ac:dyDescent="0.3">
      <c r="C582" s="2"/>
      <c r="D582" s="2"/>
      <c r="J582" s="2"/>
    </row>
    <row r="583" spans="3:10" x14ac:dyDescent="0.3">
      <c r="C583" s="2"/>
      <c r="D583" s="2"/>
      <c r="J583" s="2"/>
    </row>
    <row r="584" spans="3:10" x14ac:dyDescent="0.3">
      <c r="C584" s="2"/>
      <c r="D584" s="2"/>
      <c r="J584" s="2"/>
    </row>
    <row r="585" spans="3:10" x14ac:dyDescent="0.3">
      <c r="C585" s="2"/>
      <c r="D585" s="2"/>
      <c r="J585" s="2"/>
    </row>
    <row r="586" spans="3:10" x14ac:dyDescent="0.3">
      <c r="C586" s="2"/>
      <c r="D586" s="2"/>
      <c r="J586" s="2"/>
    </row>
    <row r="587" spans="3:10" x14ac:dyDescent="0.3">
      <c r="C587" s="2"/>
      <c r="D587" s="2"/>
      <c r="J587" s="2"/>
    </row>
    <row r="588" spans="3:10" x14ac:dyDescent="0.3">
      <c r="C588" s="2"/>
      <c r="D588" s="2"/>
      <c r="J588" s="2"/>
    </row>
    <row r="589" spans="3:10" x14ac:dyDescent="0.3">
      <c r="C589" s="2"/>
      <c r="D589" s="2"/>
      <c r="J589" s="2"/>
    </row>
    <row r="590" spans="3:10" x14ac:dyDescent="0.3">
      <c r="C590" s="2"/>
      <c r="D590" s="2"/>
      <c r="J590" s="2"/>
    </row>
    <row r="591" spans="3:10" x14ac:dyDescent="0.3">
      <c r="C591" s="2"/>
      <c r="D591" s="2"/>
      <c r="J591" s="2"/>
    </row>
    <row r="592" spans="3:10" x14ac:dyDescent="0.3">
      <c r="C592" s="2"/>
      <c r="D592" s="2"/>
      <c r="J592" s="2"/>
    </row>
    <row r="593" spans="3:10" x14ac:dyDescent="0.3">
      <c r="C593" s="2"/>
      <c r="D593" s="2"/>
      <c r="J593" s="2"/>
    </row>
    <row r="594" spans="3:10" x14ac:dyDescent="0.3">
      <c r="C594" s="2"/>
      <c r="D594" s="2"/>
      <c r="J594" s="2"/>
    </row>
    <row r="595" spans="3:10" x14ac:dyDescent="0.3">
      <c r="C595" s="2"/>
      <c r="D595" s="2"/>
      <c r="J595" s="2"/>
    </row>
    <row r="596" spans="3:10" x14ac:dyDescent="0.3">
      <c r="C596" s="2"/>
      <c r="D596" s="2"/>
      <c r="J596" s="2"/>
    </row>
    <row r="597" spans="3:10" x14ac:dyDescent="0.3">
      <c r="C597" s="2"/>
      <c r="D597" s="2"/>
      <c r="J597" s="2"/>
    </row>
    <row r="598" spans="3:10" x14ac:dyDescent="0.3">
      <c r="C598" s="2"/>
      <c r="D598" s="2"/>
      <c r="J598" s="2"/>
    </row>
    <row r="599" spans="3:10" x14ac:dyDescent="0.3">
      <c r="C599" s="2"/>
      <c r="D599" s="2"/>
      <c r="J599" s="2"/>
    </row>
    <row r="600" spans="3:10" x14ac:dyDescent="0.3">
      <c r="C600" s="2"/>
      <c r="D600" s="2"/>
      <c r="J600" s="2"/>
    </row>
    <row r="601" spans="3:10" x14ac:dyDescent="0.3">
      <c r="C601" s="2"/>
      <c r="D601" s="2"/>
      <c r="J601" s="2"/>
    </row>
    <row r="602" spans="3:10" x14ac:dyDescent="0.3">
      <c r="C602" s="2"/>
      <c r="D602" s="2"/>
      <c r="J602" s="2"/>
    </row>
    <row r="603" spans="3:10" x14ac:dyDescent="0.3">
      <c r="C603" s="2"/>
      <c r="D603" s="2"/>
      <c r="J603" s="2"/>
    </row>
    <row r="604" spans="3:10" x14ac:dyDescent="0.3">
      <c r="C604" s="2"/>
      <c r="D604" s="2"/>
      <c r="J604" s="2"/>
    </row>
    <row r="605" spans="3:10" x14ac:dyDescent="0.3">
      <c r="C605" s="2"/>
      <c r="D605" s="2"/>
      <c r="J605" s="2"/>
    </row>
    <row r="606" spans="3:10" x14ac:dyDescent="0.3">
      <c r="C606" s="2"/>
      <c r="D606" s="2"/>
      <c r="J606" s="2"/>
    </row>
    <row r="607" spans="3:10" x14ac:dyDescent="0.3">
      <c r="C607" s="2"/>
      <c r="D607" s="2"/>
      <c r="J607" s="2"/>
    </row>
    <row r="608" spans="3:10" x14ac:dyDescent="0.3">
      <c r="C608" s="2"/>
      <c r="D608" s="2"/>
      <c r="J608" s="2"/>
    </row>
    <row r="609" spans="3:10" x14ac:dyDescent="0.3">
      <c r="C609" s="2"/>
      <c r="D609" s="2"/>
      <c r="J609" s="2"/>
    </row>
    <row r="610" spans="3:10" x14ac:dyDescent="0.3">
      <c r="C610" s="2"/>
      <c r="D610" s="2"/>
      <c r="J610" s="2"/>
    </row>
    <row r="611" spans="3:10" x14ac:dyDescent="0.3">
      <c r="C611" s="2"/>
      <c r="D611" s="2"/>
      <c r="J611" s="2"/>
    </row>
    <row r="612" spans="3:10" x14ac:dyDescent="0.3">
      <c r="C612" s="2"/>
      <c r="D612" s="2"/>
      <c r="J612" s="2"/>
    </row>
    <row r="613" spans="3:10" x14ac:dyDescent="0.3">
      <c r="C613" s="2"/>
      <c r="D613" s="2"/>
      <c r="J613" s="2"/>
    </row>
    <row r="614" spans="3:10" x14ac:dyDescent="0.3">
      <c r="C614" s="2"/>
      <c r="D614" s="2"/>
      <c r="J614" s="2"/>
    </row>
    <row r="615" spans="3:10" x14ac:dyDescent="0.3">
      <c r="C615" s="2"/>
      <c r="D615" s="2"/>
      <c r="J615" s="2"/>
    </row>
    <row r="616" spans="3:10" x14ac:dyDescent="0.3">
      <c r="C616" s="2"/>
      <c r="D616" s="2"/>
      <c r="J616" s="2"/>
    </row>
    <row r="617" spans="3:10" x14ac:dyDescent="0.3">
      <c r="C617" s="2"/>
      <c r="D617" s="2"/>
      <c r="J617" s="2"/>
    </row>
    <row r="618" spans="3:10" x14ac:dyDescent="0.3">
      <c r="C618" s="2"/>
      <c r="D618" s="2"/>
      <c r="J618" s="2"/>
    </row>
    <row r="619" spans="3:10" x14ac:dyDescent="0.3">
      <c r="C619" s="2"/>
      <c r="D619" s="2"/>
      <c r="J619" s="2"/>
    </row>
    <row r="620" spans="3:10" x14ac:dyDescent="0.3">
      <c r="C620" s="2"/>
      <c r="D620" s="2"/>
      <c r="J620" s="2"/>
    </row>
    <row r="621" spans="3:10" x14ac:dyDescent="0.3">
      <c r="C621" s="2"/>
      <c r="D621" s="2"/>
      <c r="J621" s="2"/>
    </row>
    <row r="622" spans="3:10" x14ac:dyDescent="0.3">
      <c r="C622" s="2"/>
      <c r="D622" s="2"/>
      <c r="J622" s="2"/>
    </row>
    <row r="623" spans="3:10" x14ac:dyDescent="0.3">
      <c r="C623" s="2"/>
      <c r="D623" s="2"/>
      <c r="J623" s="2"/>
    </row>
    <row r="624" spans="3:10" x14ac:dyDescent="0.3">
      <c r="C624" s="2"/>
      <c r="D624" s="2"/>
      <c r="J624" s="2"/>
    </row>
    <row r="625" spans="3:10" x14ac:dyDescent="0.3">
      <c r="C625" s="2"/>
      <c r="D625" s="2"/>
      <c r="J625" s="2"/>
    </row>
    <row r="626" spans="3:10" x14ac:dyDescent="0.3">
      <c r="C626" s="2"/>
      <c r="D626" s="2"/>
      <c r="J626" s="2"/>
    </row>
    <row r="627" spans="3:10" x14ac:dyDescent="0.3">
      <c r="C627" s="2"/>
      <c r="D627" s="2"/>
      <c r="J627" s="2"/>
    </row>
    <row r="628" spans="3:10" x14ac:dyDescent="0.3">
      <c r="C628" s="2"/>
      <c r="D628" s="2"/>
      <c r="J628" s="2"/>
    </row>
    <row r="629" spans="3:10" x14ac:dyDescent="0.3">
      <c r="C629" s="2"/>
      <c r="D629" s="2"/>
      <c r="J629" s="2"/>
    </row>
    <row r="630" spans="3:10" x14ac:dyDescent="0.3">
      <c r="C630" s="2"/>
      <c r="D630" s="2"/>
      <c r="J630" s="2"/>
    </row>
    <row r="631" spans="3:10" x14ac:dyDescent="0.3">
      <c r="C631" s="2"/>
      <c r="D631" s="2"/>
      <c r="J631" s="2"/>
    </row>
    <row r="632" spans="3:10" x14ac:dyDescent="0.3">
      <c r="C632" s="2"/>
      <c r="D632" s="2"/>
      <c r="J632" s="2"/>
    </row>
    <row r="633" spans="3:10" x14ac:dyDescent="0.3">
      <c r="C633" s="2"/>
      <c r="D633" s="2"/>
      <c r="J633" s="2"/>
    </row>
    <row r="634" spans="3:10" x14ac:dyDescent="0.3">
      <c r="C634" s="2"/>
      <c r="D634" s="2"/>
      <c r="J634" s="2"/>
    </row>
    <row r="635" spans="3:10" x14ac:dyDescent="0.3">
      <c r="C635" s="2"/>
      <c r="D635" s="2"/>
      <c r="J635" s="2"/>
    </row>
    <row r="636" spans="3:10" x14ac:dyDescent="0.3">
      <c r="C636" s="2"/>
      <c r="D636" s="2"/>
      <c r="J636" s="2"/>
    </row>
    <row r="637" spans="3:10" x14ac:dyDescent="0.3">
      <c r="C637" s="2"/>
      <c r="D637" s="2"/>
      <c r="J637" s="2"/>
    </row>
    <row r="638" spans="3:10" x14ac:dyDescent="0.3">
      <c r="C638" s="2"/>
      <c r="D638" s="2"/>
      <c r="J638" s="2"/>
    </row>
    <row r="639" spans="3:10" x14ac:dyDescent="0.3">
      <c r="C639" s="2"/>
      <c r="D639" s="2"/>
      <c r="J639" s="2"/>
    </row>
    <row r="640" spans="3:10" x14ac:dyDescent="0.3">
      <c r="C640" s="2"/>
      <c r="D640" s="2"/>
      <c r="J640" s="2"/>
    </row>
    <row r="641" spans="3:10" x14ac:dyDescent="0.3">
      <c r="C641" s="2"/>
      <c r="D641" s="2"/>
      <c r="J641" s="2"/>
    </row>
    <row r="642" spans="3:10" x14ac:dyDescent="0.3">
      <c r="C642" s="2"/>
      <c r="D642" s="2"/>
      <c r="J642" s="2"/>
    </row>
    <row r="643" spans="3:10" x14ac:dyDescent="0.3">
      <c r="C643" s="2"/>
      <c r="D643" s="2"/>
      <c r="J643" s="2"/>
    </row>
    <row r="644" spans="3:10" x14ac:dyDescent="0.3">
      <c r="C644" s="2"/>
      <c r="D644" s="2"/>
      <c r="J644" s="2"/>
    </row>
    <row r="645" spans="3:10" x14ac:dyDescent="0.3">
      <c r="C645" s="2"/>
      <c r="D645" s="2"/>
      <c r="J645" s="2"/>
    </row>
    <row r="646" spans="3:10" x14ac:dyDescent="0.3">
      <c r="C646" s="2"/>
      <c r="D646" s="2"/>
      <c r="J646" s="2"/>
    </row>
    <row r="647" spans="3:10" x14ac:dyDescent="0.3">
      <c r="C647" s="2"/>
      <c r="D647" s="2"/>
      <c r="J647" s="2"/>
    </row>
    <row r="648" spans="3:10" x14ac:dyDescent="0.3">
      <c r="C648" s="2"/>
      <c r="D648" s="2"/>
      <c r="J648" s="2"/>
    </row>
    <row r="649" spans="3:10" x14ac:dyDescent="0.3">
      <c r="C649" s="2"/>
      <c r="D649" s="2"/>
      <c r="J649" s="2"/>
    </row>
    <row r="650" spans="3:10" x14ac:dyDescent="0.3">
      <c r="C650" s="2"/>
      <c r="D650" s="2"/>
      <c r="J650" s="2"/>
    </row>
    <row r="651" spans="3:10" x14ac:dyDescent="0.3">
      <c r="C651" s="2"/>
      <c r="D651" s="2"/>
      <c r="J651" s="2"/>
    </row>
    <row r="652" spans="3:10" x14ac:dyDescent="0.3">
      <c r="C652" s="2"/>
      <c r="D652" s="2"/>
      <c r="J652" s="2"/>
    </row>
    <row r="653" spans="3:10" x14ac:dyDescent="0.3">
      <c r="C653" s="2"/>
      <c r="D653" s="2"/>
      <c r="J653" s="2"/>
    </row>
    <row r="654" spans="3:10" x14ac:dyDescent="0.3">
      <c r="C654" s="2"/>
      <c r="D654" s="2"/>
      <c r="J654" s="2"/>
    </row>
    <row r="655" spans="3:10" x14ac:dyDescent="0.3">
      <c r="C655" s="2"/>
      <c r="D655" s="2"/>
      <c r="J655" s="2"/>
    </row>
    <row r="656" spans="3:10" x14ac:dyDescent="0.3">
      <c r="C656" s="2"/>
      <c r="D656" s="2"/>
      <c r="J656" s="2"/>
    </row>
    <row r="657" spans="3:10" x14ac:dyDescent="0.3">
      <c r="C657" s="2"/>
      <c r="D657" s="2"/>
      <c r="J657" s="2"/>
    </row>
    <row r="658" spans="3:10" x14ac:dyDescent="0.3">
      <c r="C658" s="2"/>
      <c r="D658" s="2"/>
      <c r="J658" s="2"/>
    </row>
    <row r="659" spans="3:10" x14ac:dyDescent="0.3">
      <c r="C659" s="2"/>
      <c r="D659" s="2"/>
      <c r="J659" s="2"/>
    </row>
    <row r="660" spans="3:10" x14ac:dyDescent="0.3">
      <c r="C660" s="2"/>
      <c r="D660" s="2"/>
      <c r="J660" s="2"/>
    </row>
    <row r="661" spans="3:10" x14ac:dyDescent="0.3">
      <c r="C661" s="2"/>
      <c r="D661" s="2"/>
      <c r="J661" s="2"/>
    </row>
    <row r="662" spans="3:10" x14ac:dyDescent="0.3">
      <c r="C662" s="2"/>
      <c r="D662" s="2"/>
      <c r="J662" s="2"/>
    </row>
    <row r="663" spans="3:10" x14ac:dyDescent="0.3">
      <c r="C663" s="2"/>
      <c r="D663" s="2"/>
      <c r="J663" s="2"/>
    </row>
    <row r="664" spans="3:10" x14ac:dyDescent="0.3">
      <c r="C664" s="2"/>
      <c r="D664" s="2"/>
      <c r="J664" s="2"/>
    </row>
    <row r="665" spans="3:10" x14ac:dyDescent="0.3">
      <c r="C665" s="2"/>
      <c r="D665" s="2"/>
      <c r="J665" s="2"/>
    </row>
    <row r="666" spans="3:10" x14ac:dyDescent="0.3">
      <c r="C666" s="2"/>
      <c r="D666" s="2"/>
      <c r="J666" s="2"/>
    </row>
    <row r="667" spans="3:10" x14ac:dyDescent="0.3">
      <c r="C667" s="2"/>
      <c r="D667" s="2"/>
      <c r="J667" s="2"/>
    </row>
    <row r="668" spans="3:10" x14ac:dyDescent="0.3">
      <c r="C668" s="2"/>
      <c r="D668" s="2"/>
      <c r="J668" s="2"/>
    </row>
    <row r="669" spans="3:10" x14ac:dyDescent="0.3">
      <c r="C669" s="2"/>
      <c r="D669" s="2"/>
      <c r="J669" s="2"/>
    </row>
    <row r="670" spans="3:10" x14ac:dyDescent="0.3">
      <c r="C670" s="2"/>
      <c r="D670" s="2"/>
      <c r="J670" s="2"/>
    </row>
    <row r="671" spans="3:10" x14ac:dyDescent="0.3">
      <c r="C671" s="2"/>
      <c r="D671" s="2"/>
      <c r="J671" s="2"/>
    </row>
    <row r="672" spans="3:10" x14ac:dyDescent="0.3">
      <c r="C672" s="2"/>
      <c r="D672" s="2"/>
      <c r="J672" s="2"/>
    </row>
    <row r="673" spans="3:10" x14ac:dyDescent="0.3">
      <c r="C673" s="2"/>
      <c r="D673" s="2"/>
      <c r="J673" s="2"/>
    </row>
    <row r="674" spans="3:10" x14ac:dyDescent="0.3">
      <c r="C674" s="2"/>
      <c r="D674" s="2"/>
      <c r="J674" s="2"/>
    </row>
    <row r="675" spans="3:10" x14ac:dyDescent="0.3">
      <c r="C675" s="2"/>
      <c r="D675" s="2"/>
      <c r="J675" s="2"/>
    </row>
    <row r="676" spans="3:10" x14ac:dyDescent="0.3">
      <c r="C676" s="2"/>
      <c r="D676" s="2"/>
      <c r="J676" s="2"/>
    </row>
    <row r="677" spans="3:10" x14ac:dyDescent="0.3">
      <c r="C677" s="2"/>
      <c r="D677" s="2"/>
      <c r="J677" s="2"/>
    </row>
    <row r="678" spans="3:10" x14ac:dyDescent="0.3">
      <c r="C678" s="2"/>
      <c r="D678" s="2"/>
      <c r="J678" s="2"/>
    </row>
    <row r="679" spans="3:10" x14ac:dyDescent="0.3">
      <c r="C679" s="2"/>
      <c r="D679" s="2"/>
      <c r="J679" s="2"/>
    </row>
    <row r="680" spans="3:10" x14ac:dyDescent="0.3">
      <c r="C680" s="2"/>
      <c r="D680" s="2"/>
      <c r="J680" s="2"/>
    </row>
    <row r="681" spans="3:10" x14ac:dyDescent="0.3">
      <c r="C681" s="2"/>
      <c r="D681" s="2"/>
      <c r="J681" s="2"/>
    </row>
    <row r="682" spans="3:10" x14ac:dyDescent="0.3">
      <c r="C682" s="2"/>
      <c r="D682" s="2"/>
      <c r="J682" s="2"/>
    </row>
    <row r="683" spans="3:10" x14ac:dyDescent="0.3">
      <c r="C683" s="2"/>
      <c r="D683" s="2"/>
      <c r="J683" s="2"/>
    </row>
    <row r="684" spans="3:10" x14ac:dyDescent="0.3">
      <c r="C684" s="2"/>
      <c r="D684" s="2"/>
      <c r="J684" s="2"/>
    </row>
    <row r="685" spans="3:10" x14ac:dyDescent="0.3">
      <c r="C685" s="2"/>
      <c r="D685" s="2"/>
      <c r="J685" s="2"/>
    </row>
    <row r="686" spans="3:10" x14ac:dyDescent="0.3">
      <c r="C686" s="2"/>
      <c r="D686" s="2"/>
      <c r="J686" s="2"/>
    </row>
    <row r="687" spans="3:10" x14ac:dyDescent="0.3">
      <c r="C687" s="2"/>
      <c r="D687" s="2"/>
      <c r="J687" s="2"/>
    </row>
    <row r="688" spans="3:10" x14ac:dyDescent="0.3">
      <c r="C688" s="2"/>
      <c r="D688" s="2"/>
      <c r="J688" s="2"/>
    </row>
    <row r="689" spans="3:10" x14ac:dyDescent="0.3">
      <c r="C689" s="2"/>
      <c r="D689" s="2"/>
      <c r="J689" s="2"/>
    </row>
    <row r="690" spans="3:10" x14ac:dyDescent="0.3">
      <c r="C690" s="2"/>
      <c r="D690" s="2"/>
      <c r="J690" s="2"/>
    </row>
    <row r="691" spans="3:10" x14ac:dyDescent="0.3">
      <c r="C691" s="2"/>
      <c r="D691" s="2"/>
      <c r="J691" s="2"/>
    </row>
    <row r="692" spans="3:10" x14ac:dyDescent="0.3">
      <c r="C692" s="2"/>
      <c r="D692" s="2"/>
      <c r="J692" s="2"/>
    </row>
    <row r="693" spans="3:10" x14ac:dyDescent="0.3">
      <c r="C693" s="2"/>
      <c r="D693" s="2"/>
      <c r="J693" s="2"/>
    </row>
    <row r="694" spans="3:10" x14ac:dyDescent="0.3">
      <c r="C694" s="2"/>
      <c r="D694" s="2"/>
      <c r="J694" s="2"/>
    </row>
    <row r="695" spans="3:10" x14ac:dyDescent="0.3">
      <c r="C695" s="2"/>
      <c r="D695" s="2"/>
      <c r="J695" s="2"/>
    </row>
    <row r="696" spans="3:10" x14ac:dyDescent="0.3">
      <c r="C696" s="2"/>
      <c r="D696" s="2"/>
      <c r="J696" s="2"/>
    </row>
    <row r="697" spans="3:10" x14ac:dyDescent="0.3">
      <c r="C697" s="2"/>
      <c r="D697" s="2"/>
      <c r="J697" s="2"/>
    </row>
    <row r="698" spans="3:10" x14ac:dyDescent="0.3">
      <c r="C698" s="2"/>
      <c r="D698" s="2"/>
      <c r="J698" s="2"/>
    </row>
    <row r="699" spans="3:10" x14ac:dyDescent="0.3">
      <c r="C699" s="2"/>
      <c r="D699" s="2"/>
      <c r="J699" s="2"/>
    </row>
    <row r="700" spans="3:10" x14ac:dyDescent="0.3">
      <c r="C700" s="2"/>
      <c r="D700" s="2"/>
      <c r="J700" s="2"/>
    </row>
    <row r="701" spans="3:10" x14ac:dyDescent="0.3">
      <c r="C701" s="2"/>
      <c r="D701" s="2"/>
      <c r="J701" s="2"/>
    </row>
    <row r="702" spans="3:10" x14ac:dyDescent="0.3">
      <c r="C702" s="2"/>
      <c r="D702" s="2"/>
      <c r="J702" s="2"/>
    </row>
    <row r="703" spans="3:10" x14ac:dyDescent="0.3">
      <c r="C703" s="2"/>
      <c r="D703" s="2"/>
      <c r="J703" s="2"/>
    </row>
    <row r="704" spans="3:10" x14ac:dyDescent="0.3">
      <c r="C704" s="2"/>
      <c r="D704" s="2"/>
      <c r="J704" s="2"/>
    </row>
    <row r="705" spans="3:10" x14ac:dyDescent="0.3">
      <c r="C705" s="2"/>
      <c r="D705" s="2"/>
      <c r="J705" s="2"/>
    </row>
    <row r="706" spans="3:10" x14ac:dyDescent="0.3">
      <c r="C706" s="2"/>
      <c r="D706" s="2"/>
      <c r="J706" s="2"/>
    </row>
    <row r="707" spans="3:10" x14ac:dyDescent="0.3">
      <c r="C707" s="2"/>
      <c r="D707" s="2"/>
      <c r="J707" s="2"/>
    </row>
    <row r="708" spans="3:10" x14ac:dyDescent="0.3">
      <c r="C708" s="2"/>
      <c r="D708" s="2"/>
      <c r="J708" s="2"/>
    </row>
    <row r="709" spans="3:10" x14ac:dyDescent="0.3">
      <c r="C709" s="2"/>
      <c r="D709" s="2"/>
      <c r="J709" s="2"/>
    </row>
    <row r="710" spans="3:10" x14ac:dyDescent="0.3">
      <c r="C710" s="2"/>
      <c r="D710" s="2"/>
      <c r="J710" s="2"/>
    </row>
    <row r="711" spans="3:10" x14ac:dyDescent="0.3">
      <c r="C711" s="2"/>
      <c r="D711" s="2"/>
      <c r="J711" s="2"/>
    </row>
    <row r="712" spans="3:10" x14ac:dyDescent="0.3">
      <c r="C712" s="2"/>
      <c r="D712" s="2"/>
      <c r="J712" s="2"/>
    </row>
    <row r="713" spans="3:10" x14ac:dyDescent="0.3">
      <c r="C713" s="2"/>
      <c r="D713" s="2"/>
      <c r="J713" s="2"/>
    </row>
    <row r="714" spans="3:10" x14ac:dyDescent="0.3">
      <c r="C714" s="2"/>
      <c r="D714" s="2"/>
      <c r="J714" s="2"/>
    </row>
    <row r="715" spans="3:10" x14ac:dyDescent="0.3">
      <c r="C715" s="2"/>
      <c r="D715" s="2"/>
      <c r="J715" s="2"/>
    </row>
    <row r="716" spans="3:10" x14ac:dyDescent="0.3">
      <c r="C716" s="2"/>
      <c r="D716" s="2"/>
      <c r="J716" s="2"/>
    </row>
    <row r="717" spans="3:10" x14ac:dyDescent="0.3">
      <c r="C717" s="2"/>
      <c r="D717" s="2"/>
      <c r="J717" s="2"/>
    </row>
    <row r="718" spans="3:10" x14ac:dyDescent="0.3">
      <c r="C718" s="2"/>
      <c r="D718" s="2"/>
      <c r="J718" s="2"/>
    </row>
    <row r="719" spans="3:10" x14ac:dyDescent="0.3">
      <c r="C719" s="2"/>
      <c r="D719" s="2"/>
      <c r="J719" s="2"/>
    </row>
    <row r="720" spans="3:10" x14ac:dyDescent="0.3">
      <c r="C720" s="2"/>
      <c r="D720" s="2"/>
      <c r="J720" s="2"/>
    </row>
    <row r="721" spans="3:10" x14ac:dyDescent="0.3">
      <c r="C721" s="2"/>
      <c r="D721" s="2"/>
      <c r="J721" s="2"/>
    </row>
    <row r="722" spans="3:10" x14ac:dyDescent="0.3">
      <c r="C722" s="2"/>
      <c r="D722" s="2"/>
      <c r="J722" s="2"/>
    </row>
    <row r="723" spans="3:10" x14ac:dyDescent="0.3">
      <c r="C723" s="2"/>
      <c r="D723" s="2"/>
      <c r="J723" s="2"/>
    </row>
    <row r="724" spans="3:10" x14ac:dyDescent="0.3">
      <c r="C724" s="2"/>
      <c r="D724" s="2"/>
      <c r="J724" s="2"/>
    </row>
    <row r="725" spans="3:10" x14ac:dyDescent="0.3">
      <c r="C725" s="2"/>
      <c r="D725" s="2"/>
      <c r="J725" s="2"/>
    </row>
    <row r="726" spans="3:10" x14ac:dyDescent="0.3">
      <c r="C726" s="2"/>
      <c r="D726" s="2"/>
      <c r="J726" s="2"/>
    </row>
    <row r="727" spans="3:10" x14ac:dyDescent="0.3">
      <c r="C727" s="2"/>
      <c r="D727" s="2"/>
      <c r="J727" s="2"/>
    </row>
    <row r="728" spans="3:10" x14ac:dyDescent="0.3">
      <c r="C728" s="2"/>
      <c r="D728" s="2"/>
      <c r="J728" s="2"/>
    </row>
    <row r="729" spans="3:10" x14ac:dyDescent="0.3">
      <c r="C729" s="2"/>
      <c r="D729" s="2"/>
      <c r="J729" s="2"/>
    </row>
    <row r="730" spans="3:10" x14ac:dyDescent="0.3">
      <c r="C730" s="2"/>
      <c r="D730" s="2"/>
      <c r="J730" s="2"/>
    </row>
    <row r="731" spans="3:10" x14ac:dyDescent="0.3">
      <c r="C731" s="2"/>
      <c r="D731" s="2"/>
      <c r="J731" s="2"/>
    </row>
    <row r="732" spans="3:10" x14ac:dyDescent="0.3">
      <c r="C732" s="2"/>
      <c r="D732" s="2"/>
      <c r="J732" s="2"/>
    </row>
    <row r="733" spans="3:10" x14ac:dyDescent="0.3">
      <c r="C733" s="2"/>
      <c r="D733" s="2"/>
      <c r="J733" s="2"/>
    </row>
    <row r="734" spans="3:10" x14ac:dyDescent="0.3">
      <c r="C734" s="2"/>
      <c r="D734" s="2"/>
      <c r="J734" s="2"/>
    </row>
    <row r="735" spans="3:10" x14ac:dyDescent="0.3">
      <c r="C735" s="2"/>
      <c r="D735" s="2"/>
      <c r="J735" s="2"/>
    </row>
    <row r="736" spans="3:10" x14ac:dyDescent="0.3">
      <c r="C736" s="2"/>
      <c r="D736" s="2"/>
      <c r="J736" s="2"/>
    </row>
    <row r="737" spans="3:10" x14ac:dyDescent="0.3">
      <c r="C737" s="2"/>
      <c r="D737" s="2"/>
      <c r="J737" s="2"/>
    </row>
    <row r="738" spans="3:10" x14ac:dyDescent="0.3">
      <c r="C738" s="2"/>
      <c r="D738" s="2"/>
      <c r="J738" s="2"/>
    </row>
    <row r="739" spans="3:10" x14ac:dyDescent="0.3">
      <c r="C739" s="2"/>
      <c r="D739" s="2"/>
      <c r="J739" s="2"/>
    </row>
    <row r="740" spans="3:10" x14ac:dyDescent="0.3">
      <c r="C740" s="2"/>
      <c r="D740" s="2"/>
      <c r="J740" s="2"/>
    </row>
    <row r="741" spans="3:10" x14ac:dyDescent="0.3">
      <c r="C741" s="2"/>
      <c r="D741" s="2"/>
      <c r="J741" s="2"/>
    </row>
    <row r="742" spans="3:10" x14ac:dyDescent="0.3">
      <c r="C742" s="2"/>
      <c r="D742" s="2"/>
      <c r="J742" s="2"/>
    </row>
    <row r="743" spans="3:10" x14ac:dyDescent="0.3">
      <c r="C743" s="2"/>
      <c r="D743" s="2"/>
      <c r="J743" s="2"/>
    </row>
    <row r="744" spans="3:10" x14ac:dyDescent="0.3">
      <c r="C744" s="2"/>
      <c r="D744" s="2"/>
      <c r="J744" s="2"/>
    </row>
    <row r="745" spans="3:10" x14ac:dyDescent="0.3">
      <c r="C745" s="2"/>
      <c r="D745" s="2"/>
      <c r="J745" s="2"/>
    </row>
    <row r="746" spans="3:10" x14ac:dyDescent="0.3">
      <c r="C746" s="2"/>
      <c r="D746" s="2"/>
      <c r="J746" s="2"/>
    </row>
    <row r="747" spans="3:10" x14ac:dyDescent="0.3">
      <c r="C747" s="2"/>
      <c r="D747" s="2"/>
      <c r="J747" s="2"/>
    </row>
    <row r="748" spans="3:10" x14ac:dyDescent="0.3">
      <c r="C748" s="2"/>
      <c r="D748" s="2"/>
      <c r="J748" s="2"/>
    </row>
    <row r="749" spans="3:10" x14ac:dyDescent="0.3">
      <c r="C749" s="2"/>
      <c r="D749" s="2"/>
      <c r="J749" s="2"/>
    </row>
    <row r="750" spans="3:10" x14ac:dyDescent="0.3">
      <c r="C750" s="2"/>
      <c r="D750" s="2"/>
      <c r="J750" s="2"/>
    </row>
    <row r="751" spans="3:10" x14ac:dyDescent="0.3">
      <c r="C751" s="2"/>
      <c r="D751" s="2"/>
      <c r="J751" s="2"/>
    </row>
    <row r="752" spans="3:10" x14ac:dyDescent="0.3">
      <c r="C752" s="2"/>
      <c r="D752" s="2"/>
      <c r="J752" s="2"/>
    </row>
    <row r="753" spans="3:10" x14ac:dyDescent="0.3">
      <c r="C753" s="2"/>
      <c r="D753" s="2"/>
      <c r="J753" s="2"/>
    </row>
    <row r="754" spans="3:10" x14ac:dyDescent="0.3">
      <c r="C754" s="2"/>
      <c r="D754" s="2"/>
      <c r="J754" s="2"/>
    </row>
    <row r="755" spans="3:10" x14ac:dyDescent="0.3">
      <c r="C755" s="2"/>
      <c r="D755" s="2"/>
      <c r="J755" s="2"/>
    </row>
    <row r="756" spans="3:10" x14ac:dyDescent="0.3">
      <c r="C756" s="2"/>
      <c r="D756" s="2"/>
      <c r="J756" s="2"/>
    </row>
    <row r="757" spans="3:10" x14ac:dyDescent="0.3">
      <c r="C757" s="2"/>
      <c r="D757" s="2"/>
      <c r="J757" s="2"/>
    </row>
    <row r="758" spans="3:10" x14ac:dyDescent="0.3">
      <c r="C758" s="2"/>
      <c r="D758" s="2"/>
      <c r="J758" s="2"/>
    </row>
    <row r="759" spans="3:10" x14ac:dyDescent="0.3">
      <c r="C759" s="2"/>
      <c r="D759" s="2"/>
      <c r="J759" s="2"/>
    </row>
    <row r="760" spans="3:10" x14ac:dyDescent="0.3">
      <c r="C760" s="2"/>
      <c r="D760" s="2"/>
      <c r="J760" s="2"/>
    </row>
    <row r="761" spans="3:10" x14ac:dyDescent="0.3">
      <c r="C761" s="2"/>
      <c r="D761" s="2"/>
      <c r="J761" s="2"/>
    </row>
    <row r="762" spans="3:10" x14ac:dyDescent="0.3">
      <c r="C762" s="2"/>
      <c r="D762" s="2"/>
      <c r="J762" s="2"/>
    </row>
    <row r="763" spans="3:10" x14ac:dyDescent="0.3">
      <c r="C763" s="2"/>
      <c r="D763" s="2"/>
      <c r="J763" s="2"/>
    </row>
    <row r="764" spans="3:10" x14ac:dyDescent="0.3">
      <c r="C764" s="2"/>
      <c r="D764" s="2"/>
      <c r="J764" s="2"/>
    </row>
    <row r="765" spans="3:10" x14ac:dyDescent="0.3">
      <c r="C765" s="2"/>
      <c r="D765" s="2"/>
      <c r="J765" s="2"/>
    </row>
    <row r="766" spans="3:10" x14ac:dyDescent="0.3">
      <c r="C766" s="2"/>
      <c r="D766" s="2"/>
      <c r="J766" s="2"/>
    </row>
    <row r="767" spans="3:10" x14ac:dyDescent="0.3">
      <c r="C767" s="2"/>
      <c r="D767" s="2"/>
      <c r="J767" s="2"/>
    </row>
    <row r="768" spans="3:10" x14ac:dyDescent="0.3">
      <c r="C768" s="2"/>
      <c r="D768" s="2"/>
      <c r="J768" s="2"/>
    </row>
    <row r="769" spans="3:10" x14ac:dyDescent="0.3">
      <c r="C769" s="2"/>
      <c r="D769" s="2"/>
      <c r="J769" s="2"/>
    </row>
    <row r="770" spans="3:10" x14ac:dyDescent="0.3">
      <c r="C770" s="2"/>
      <c r="D770" s="2"/>
      <c r="J770" s="2"/>
    </row>
    <row r="771" spans="3:10" x14ac:dyDescent="0.3">
      <c r="C771" s="2"/>
      <c r="D771" s="2"/>
      <c r="J771" s="2"/>
    </row>
    <row r="772" spans="3:10" x14ac:dyDescent="0.3">
      <c r="C772" s="2"/>
      <c r="D772" s="2"/>
      <c r="J772" s="2"/>
    </row>
    <row r="773" spans="3:10" x14ac:dyDescent="0.3">
      <c r="C773" s="2"/>
      <c r="D773" s="2"/>
      <c r="J773" s="2"/>
    </row>
    <row r="774" spans="3:10" x14ac:dyDescent="0.3">
      <c r="C774" s="2"/>
      <c r="D774" s="2"/>
      <c r="J774" s="2"/>
    </row>
    <row r="775" spans="3:10" x14ac:dyDescent="0.3">
      <c r="C775" s="2"/>
      <c r="D775" s="2"/>
      <c r="J775" s="2"/>
    </row>
    <row r="776" spans="3:10" x14ac:dyDescent="0.3">
      <c r="C776" s="2"/>
      <c r="D776" s="2"/>
      <c r="J776" s="2"/>
    </row>
    <row r="777" spans="3:10" x14ac:dyDescent="0.3">
      <c r="C777" s="2"/>
      <c r="D777" s="2"/>
      <c r="J777" s="2"/>
    </row>
    <row r="778" spans="3:10" x14ac:dyDescent="0.3">
      <c r="C778" s="2"/>
      <c r="D778" s="2"/>
      <c r="J778" s="2"/>
    </row>
    <row r="779" spans="3:10" x14ac:dyDescent="0.3">
      <c r="C779" s="2"/>
      <c r="D779" s="2"/>
      <c r="J779" s="2"/>
    </row>
    <row r="780" spans="3:10" x14ac:dyDescent="0.3">
      <c r="C780" s="2"/>
      <c r="D780" s="2"/>
      <c r="J780" s="2"/>
    </row>
    <row r="781" spans="3:10" x14ac:dyDescent="0.3">
      <c r="C781" s="2"/>
      <c r="D781" s="2"/>
      <c r="J781" s="2"/>
    </row>
    <row r="782" spans="3:10" x14ac:dyDescent="0.3">
      <c r="C782" s="2"/>
      <c r="D782" s="2"/>
      <c r="J782" s="2"/>
    </row>
    <row r="783" spans="3:10" x14ac:dyDescent="0.3">
      <c r="C783" s="2"/>
      <c r="D783" s="2"/>
      <c r="J783" s="2"/>
    </row>
    <row r="784" spans="3:10" x14ac:dyDescent="0.3">
      <c r="C784" s="2"/>
      <c r="D784" s="2"/>
      <c r="J784" s="2"/>
    </row>
    <row r="785" spans="3:10" x14ac:dyDescent="0.3">
      <c r="C785" s="2"/>
      <c r="D785" s="2"/>
      <c r="J785" s="2"/>
    </row>
    <row r="786" spans="3:10" x14ac:dyDescent="0.3">
      <c r="C786" s="2"/>
      <c r="D786" s="2"/>
      <c r="J786" s="2"/>
    </row>
    <row r="787" spans="3:10" x14ac:dyDescent="0.3">
      <c r="C787" s="2"/>
      <c r="D787" s="2"/>
      <c r="J787" s="2"/>
    </row>
    <row r="788" spans="3:10" x14ac:dyDescent="0.3">
      <c r="C788" s="2"/>
      <c r="D788" s="2"/>
      <c r="J788" s="2"/>
    </row>
    <row r="789" spans="3:10" x14ac:dyDescent="0.3">
      <c r="C789" s="2"/>
      <c r="D789" s="2"/>
      <c r="J789" s="2"/>
    </row>
    <row r="790" spans="3:10" x14ac:dyDescent="0.3">
      <c r="C790" s="2"/>
      <c r="D790" s="2"/>
      <c r="J790" s="2"/>
    </row>
    <row r="791" spans="3:10" x14ac:dyDescent="0.3">
      <c r="C791" s="2"/>
      <c r="D791" s="2"/>
      <c r="J791" s="2"/>
    </row>
    <row r="792" spans="3:10" x14ac:dyDescent="0.3">
      <c r="C792" s="2"/>
      <c r="D792" s="2"/>
      <c r="J792" s="2"/>
    </row>
    <row r="793" spans="3:10" x14ac:dyDescent="0.3">
      <c r="C793" s="2"/>
      <c r="D793" s="2"/>
      <c r="J793" s="2"/>
    </row>
    <row r="794" spans="3:10" x14ac:dyDescent="0.3">
      <c r="C794" s="2"/>
      <c r="D794" s="2"/>
      <c r="J794" s="2"/>
    </row>
    <row r="795" spans="3:10" x14ac:dyDescent="0.3">
      <c r="C795" s="2"/>
      <c r="D795" s="2"/>
      <c r="J795" s="2"/>
    </row>
    <row r="796" spans="3:10" x14ac:dyDescent="0.3">
      <c r="C796" s="2"/>
      <c r="D796" s="2"/>
      <c r="J796" s="2"/>
    </row>
    <row r="797" spans="3:10" x14ac:dyDescent="0.3">
      <c r="C797" s="2"/>
      <c r="D797" s="2"/>
      <c r="J797" s="2"/>
    </row>
    <row r="798" spans="3:10" x14ac:dyDescent="0.3">
      <c r="C798" s="2"/>
      <c r="D798" s="2"/>
      <c r="J798" s="2"/>
    </row>
    <row r="799" spans="3:10" x14ac:dyDescent="0.3">
      <c r="C799" s="2"/>
      <c r="D799" s="2"/>
      <c r="J799" s="2"/>
    </row>
    <row r="800" spans="3:10" x14ac:dyDescent="0.3">
      <c r="C800" s="2"/>
      <c r="D800" s="2"/>
      <c r="J800" s="2"/>
    </row>
    <row r="801" spans="3:10" x14ac:dyDescent="0.3">
      <c r="C801" s="2"/>
      <c r="D801" s="2"/>
      <c r="J801" s="2"/>
    </row>
    <row r="802" spans="3:10" x14ac:dyDescent="0.3">
      <c r="C802" s="2"/>
      <c r="D802" s="2"/>
      <c r="J802" s="2"/>
    </row>
    <row r="803" spans="3:10" x14ac:dyDescent="0.3">
      <c r="C803" s="2"/>
      <c r="D803" s="2"/>
      <c r="J803" s="2"/>
    </row>
    <row r="804" spans="3:10" x14ac:dyDescent="0.3">
      <c r="C804" s="2"/>
      <c r="D804" s="2"/>
      <c r="J804" s="2"/>
    </row>
    <row r="805" spans="3:10" x14ac:dyDescent="0.3">
      <c r="C805" s="2"/>
      <c r="D805" s="2"/>
      <c r="J805" s="2"/>
    </row>
    <row r="806" spans="3:10" x14ac:dyDescent="0.3">
      <c r="C806" s="2"/>
      <c r="D806" s="2"/>
      <c r="J806" s="2"/>
    </row>
    <row r="807" spans="3:10" x14ac:dyDescent="0.3">
      <c r="C807" s="2"/>
      <c r="D807" s="2"/>
      <c r="J807" s="2"/>
    </row>
    <row r="808" spans="3:10" x14ac:dyDescent="0.3">
      <c r="C808" s="2"/>
      <c r="D808" s="2"/>
      <c r="J808" s="2"/>
    </row>
    <row r="809" spans="3:10" x14ac:dyDescent="0.3">
      <c r="C809" s="2"/>
      <c r="D809" s="2"/>
      <c r="J809" s="2"/>
    </row>
    <row r="810" spans="3:10" x14ac:dyDescent="0.3">
      <c r="C810" s="2"/>
      <c r="D810" s="2"/>
      <c r="J810" s="2"/>
    </row>
    <row r="811" spans="3:10" x14ac:dyDescent="0.3">
      <c r="C811" s="2"/>
      <c r="D811" s="2"/>
      <c r="J811" s="2"/>
    </row>
    <row r="812" spans="3:10" x14ac:dyDescent="0.3">
      <c r="C812" s="2"/>
      <c r="D812" s="2"/>
      <c r="J812" s="2"/>
    </row>
    <row r="813" spans="3:10" x14ac:dyDescent="0.3">
      <c r="C813" s="2"/>
      <c r="D813" s="2"/>
      <c r="J813" s="2"/>
    </row>
    <row r="814" spans="3:10" x14ac:dyDescent="0.3">
      <c r="C814" s="2"/>
      <c r="D814" s="2"/>
      <c r="J814" s="2"/>
    </row>
    <row r="815" spans="3:10" x14ac:dyDescent="0.3">
      <c r="C815" s="2"/>
      <c r="D815" s="2"/>
      <c r="J815" s="2"/>
    </row>
    <row r="816" spans="3:10" x14ac:dyDescent="0.3">
      <c r="C816" s="2"/>
      <c r="D816" s="2"/>
      <c r="J816" s="2"/>
    </row>
    <row r="817" spans="3:10" x14ac:dyDescent="0.3">
      <c r="C817" s="2"/>
      <c r="D817" s="2"/>
      <c r="J817" s="2"/>
    </row>
    <row r="818" spans="3:10" x14ac:dyDescent="0.3">
      <c r="C818" s="2"/>
      <c r="D818" s="2"/>
      <c r="J818" s="2"/>
    </row>
    <row r="819" spans="3:10" x14ac:dyDescent="0.3">
      <c r="C819" s="2"/>
      <c r="D819" s="2"/>
      <c r="J819" s="2"/>
    </row>
    <row r="820" spans="3:10" x14ac:dyDescent="0.3">
      <c r="C820" s="2"/>
      <c r="D820" s="2"/>
      <c r="J820" s="2"/>
    </row>
    <row r="821" spans="3:10" x14ac:dyDescent="0.3">
      <c r="C821" s="2"/>
      <c r="D821" s="2"/>
      <c r="J821" s="2"/>
    </row>
    <row r="822" spans="3:10" x14ac:dyDescent="0.3">
      <c r="C822" s="2"/>
      <c r="D822" s="2"/>
      <c r="J822" s="2"/>
    </row>
    <row r="823" spans="3:10" x14ac:dyDescent="0.3">
      <c r="C823" s="2"/>
      <c r="D823" s="2"/>
      <c r="J823" s="2"/>
    </row>
    <row r="824" spans="3:10" x14ac:dyDescent="0.3">
      <c r="C824" s="2"/>
      <c r="D824" s="2"/>
      <c r="J824" s="2"/>
    </row>
    <row r="825" spans="3:10" x14ac:dyDescent="0.3">
      <c r="C825" s="2"/>
      <c r="D825" s="2"/>
      <c r="J825" s="2"/>
    </row>
    <row r="826" spans="3:10" x14ac:dyDescent="0.3">
      <c r="C826" s="2"/>
      <c r="D826" s="2"/>
      <c r="J826" s="2"/>
    </row>
    <row r="827" spans="3:10" x14ac:dyDescent="0.3">
      <c r="C827" s="2"/>
      <c r="D827" s="2"/>
      <c r="J827" s="2"/>
    </row>
    <row r="828" spans="3:10" x14ac:dyDescent="0.3">
      <c r="C828" s="2"/>
      <c r="D828" s="2"/>
      <c r="J828" s="2"/>
    </row>
    <row r="829" spans="3:10" x14ac:dyDescent="0.3">
      <c r="C829" s="2"/>
      <c r="D829" s="2"/>
      <c r="J829" s="2"/>
    </row>
    <row r="830" spans="3:10" x14ac:dyDescent="0.3">
      <c r="C830" s="2"/>
      <c r="D830" s="2"/>
      <c r="J830" s="2"/>
    </row>
    <row r="831" spans="3:10" x14ac:dyDescent="0.3">
      <c r="C831" s="2"/>
      <c r="D831" s="2"/>
      <c r="J831" s="2"/>
    </row>
    <row r="832" spans="3:10" x14ac:dyDescent="0.3">
      <c r="C832" s="2"/>
      <c r="D832" s="2"/>
      <c r="J832" s="2"/>
    </row>
    <row r="833" spans="3:10" x14ac:dyDescent="0.3">
      <c r="C833" s="2"/>
      <c r="D833" s="2"/>
      <c r="J833" s="2"/>
    </row>
    <row r="834" spans="3:10" x14ac:dyDescent="0.3">
      <c r="C834" s="2"/>
      <c r="D834" s="2"/>
      <c r="J834" s="2"/>
    </row>
    <row r="835" spans="3:10" x14ac:dyDescent="0.3">
      <c r="C835" s="2"/>
      <c r="D835" s="2"/>
      <c r="J835" s="2"/>
    </row>
    <row r="836" spans="3:10" x14ac:dyDescent="0.3">
      <c r="C836" s="2"/>
      <c r="D836" s="2"/>
      <c r="J836" s="2"/>
    </row>
    <row r="837" spans="3:10" x14ac:dyDescent="0.3">
      <c r="C837" s="2"/>
      <c r="D837" s="2"/>
      <c r="J837" s="2"/>
    </row>
    <row r="838" spans="3:10" x14ac:dyDescent="0.3">
      <c r="C838" s="2"/>
      <c r="D838" s="2"/>
      <c r="J838" s="2"/>
    </row>
    <row r="839" spans="3:10" x14ac:dyDescent="0.3">
      <c r="C839" s="2"/>
      <c r="D839" s="2"/>
      <c r="J839" s="2"/>
    </row>
    <row r="840" spans="3:10" x14ac:dyDescent="0.3">
      <c r="C840" s="2"/>
      <c r="D840" s="2"/>
      <c r="J840" s="2"/>
    </row>
    <row r="841" spans="3:10" x14ac:dyDescent="0.3">
      <c r="C841" s="2"/>
      <c r="D841" s="2"/>
      <c r="J841" s="2"/>
    </row>
    <row r="842" spans="3:10" x14ac:dyDescent="0.3">
      <c r="C842" s="2"/>
      <c r="D842" s="2"/>
      <c r="J842" s="2"/>
    </row>
    <row r="843" spans="3:10" x14ac:dyDescent="0.3">
      <c r="C843" s="2"/>
      <c r="D843" s="2"/>
      <c r="J843" s="2"/>
    </row>
    <row r="844" spans="3:10" x14ac:dyDescent="0.3">
      <c r="C844" s="2"/>
      <c r="D844" s="2"/>
      <c r="J844" s="2"/>
    </row>
    <row r="845" spans="3:10" x14ac:dyDescent="0.3">
      <c r="C845" s="2"/>
      <c r="D845" s="2"/>
      <c r="J845" s="2"/>
    </row>
    <row r="846" spans="3:10" x14ac:dyDescent="0.3">
      <c r="C846" s="2"/>
      <c r="D846" s="2"/>
      <c r="J846" s="2"/>
    </row>
    <row r="847" spans="3:10" x14ac:dyDescent="0.3">
      <c r="C847" s="2"/>
      <c r="D847" s="2"/>
      <c r="J847" s="2"/>
    </row>
    <row r="848" spans="3:10" x14ac:dyDescent="0.3">
      <c r="C848" s="2"/>
      <c r="D848" s="2"/>
      <c r="J848" s="2"/>
    </row>
    <row r="849" spans="3:10" x14ac:dyDescent="0.3">
      <c r="C849" s="2"/>
      <c r="D849" s="2"/>
      <c r="J849" s="2"/>
    </row>
    <row r="850" spans="3:10" x14ac:dyDescent="0.3">
      <c r="C850" s="2"/>
      <c r="D850" s="2"/>
      <c r="J850" s="2"/>
    </row>
    <row r="851" spans="3:10" x14ac:dyDescent="0.3">
      <c r="C851" s="2"/>
      <c r="D851" s="2"/>
      <c r="J851" s="2"/>
    </row>
    <row r="852" spans="3:10" x14ac:dyDescent="0.3">
      <c r="C852" s="2"/>
      <c r="D852" s="2"/>
      <c r="J852" s="2"/>
    </row>
    <row r="853" spans="3:10" x14ac:dyDescent="0.3">
      <c r="C853" s="2"/>
      <c r="D853" s="2"/>
      <c r="J853" s="2"/>
    </row>
    <row r="854" spans="3:10" x14ac:dyDescent="0.3">
      <c r="C854" s="2"/>
      <c r="D854" s="2"/>
      <c r="J854" s="2"/>
    </row>
    <row r="855" spans="3:10" x14ac:dyDescent="0.3">
      <c r="C855" s="2"/>
      <c r="D855" s="2"/>
      <c r="J855" s="2"/>
    </row>
    <row r="856" spans="3:10" x14ac:dyDescent="0.3">
      <c r="C856" s="2"/>
      <c r="D856" s="2"/>
      <c r="J856" s="2"/>
    </row>
    <row r="857" spans="3:10" x14ac:dyDescent="0.3">
      <c r="C857" s="2"/>
      <c r="D857" s="2"/>
      <c r="J857" s="2"/>
    </row>
    <row r="858" spans="3:10" x14ac:dyDescent="0.3">
      <c r="C858" s="2"/>
      <c r="D858" s="2"/>
      <c r="J858" s="2"/>
    </row>
    <row r="859" spans="3:10" x14ac:dyDescent="0.3">
      <c r="C859" s="2"/>
      <c r="D859" s="2"/>
      <c r="J859" s="2"/>
    </row>
    <row r="860" spans="3:10" x14ac:dyDescent="0.3">
      <c r="C860" s="2"/>
      <c r="D860" s="2"/>
      <c r="J860" s="2"/>
    </row>
    <row r="861" spans="3:10" x14ac:dyDescent="0.3">
      <c r="C861" s="2"/>
      <c r="D861" s="2"/>
      <c r="J861" s="2"/>
    </row>
    <row r="862" spans="3:10" x14ac:dyDescent="0.3">
      <c r="C862" s="2"/>
      <c r="D862" s="2"/>
      <c r="J862" s="2"/>
    </row>
    <row r="863" spans="3:10" x14ac:dyDescent="0.3">
      <c r="C863" s="2"/>
      <c r="D863" s="2"/>
      <c r="J863" s="2"/>
    </row>
    <row r="864" spans="3:10" x14ac:dyDescent="0.3">
      <c r="C864" s="2"/>
      <c r="D864" s="2"/>
      <c r="J864" s="2"/>
    </row>
    <row r="865" spans="3:10" x14ac:dyDescent="0.3">
      <c r="C865" s="2"/>
      <c r="D865" s="2"/>
      <c r="J865" s="2"/>
    </row>
    <row r="866" spans="3:10" x14ac:dyDescent="0.3">
      <c r="C866" s="2"/>
      <c r="D866" s="2"/>
      <c r="J866" s="2"/>
    </row>
    <row r="867" spans="3:10" x14ac:dyDescent="0.3">
      <c r="C867" s="2"/>
      <c r="D867" s="2"/>
      <c r="J867" s="2"/>
    </row>
    <row r="868" spans="3:10" x14ac:dyDescent="0.3">
      <c r="C868" s="2"/>
      <c r="D868" s="2"/>
      <c r="J868" s="2"/>
    </row>
    <row r="869" spans="3:10" x14ac:dyDescent="0.3">
      <c r="C869" s="2"/>
      <c r="D869" s="2"/>
      <c r="J869" s="2"/>
    </row>
    <row r="870" spans="3:10" x14ac:dyDescent="0.3">
      <c r="C870" s="2"/>
      <c r="D870" s="2"/>
      <c r="J870" s="2"/>
    </row>
    <row r="871" spans="3:10" x14ac:dyDescent="0.3">
      <c r="C871" s="2"/>
      <c r="D871" s="2"/>
      <c r="J871" s="2"/>
    </row>
    <row r="872" spans="3:10" x14ac:dyDescent="0.3">
      <c r="C872" s="2"/>
      <c r="D872" s="2"/>
      <c r="J872" s="2"/>
    </row>
    <row r="873" spans="3:10" x14ac:dyDescent="0.3">
      <c r="C873" s="2"/>
      <c r="D873" s="2"/>
      <c r="J873" s="2"/>
    </row>
    <row r="874" spans="3:10" x14ac:dyDescent="0.3">
      <c r="C874" s="2"/>
      <c r="D874" s="2"/>
      <c r="J874" s="2"/>
    </row>
    <row r="875" spans="3:10" x14ac:dyDescent="0.3">
      <c r="C875" s="2"/>
      <c r="D875" s="2"/>
      <c r="J875" s="2"/>
    </row>
    <row r="876" spans="3:10" x14ac:dyDescent="0.3">
      <c r="C876" s="2"/>
      <c r="D876" s="2"/>
      <c r="J876" s="2"/>
    </row>
    <row r="877" spans="3:10" x14ac:dyDescent="0.3">
      <c r="C877" s="2"/>
      <c r="D877" s="2"/>
      <c r="J877" s="2"/>
    </row>
    <row r="878" spans="3:10" x14ac:dyDescent="0.3">
      <c r="C878" s="2"/>
      <c r="D878" s="2"/>
      <c r="J878" s="2"/>
    </row>
    <row r="879" spans="3:10" x14ac:dyDescent="0.3">
      <c r="C879" s="2"/>
      <c r="D879" s="2"/>
      <c r="J879" s="2"/>
    </row>
    <row r="880" spans="3:10" x14ac:dyDescent="0.3">
      <c r="C880" s="2"/>
      <c r="D880" s="2"/>
      <c r="J880" s="2"/>
    </row>
    <row r="881" spans="3:10" x14ac:dyDescent="0.3">
      <c r="C881" s="2"/>
      <c r="D881" s="2"/>
      <c r="J881" s="2"/>
    </row>
    <row r="882" spans="3:10" x14ac:dyDescent="0.3">
      <c r="C882" s="2"/>
      <c r="D882" s="2"/>
      <c r="J882" s="2"/>
    </row>
    <row r="883" spans="3:10" x14ac:dyDescent="0.3">
      <c r="C883" s="2"/>
      <c r="D883" s="2"/>
      <c r="J883" s="2"/>
    </row>
    <row r="884" spans="3:10" x14ac:dyDescent="0.3">
      <c r="C884" s="2"/>
      <c r="D884" s="2"/>
      <c r="J884" s="2"/>
    </row>
    <row r="885" spans="3:10" x14ac:dyDescent="0.3">
      <c r="C885" s="2"/>
      <c r="D885" s="2"/>
      <c r="J885" s="2"/>
    </row>
    <row r="886" spans="3:10" x14ac:dyDescent="0.3">
      <c r="C886" s="2"/>
      <c r="D886" s="2"/>
      <c r="J886" s="2"/>
    </row>
    <row r="887" spans="3:10" x14ac:dyDescent="0.3">
      <c r="C887" s="2"/>
      <c r="D887" s="2"/>
      <c r="J887" s="2"/>
    </row>
    <row r="888" spans="3:10" x14ac:dyDescent="0.3">
      <c r="C888" s="2"/>
      <c r="D888" s="2"/>
      <c r="J888" s="2"/>
    </row>
    <row r="889" spans="3:10" x14ac:dyDescent="0.3">
      <c r="C889" s="2"/>
      <c r="D889" s="2"/>
      <c r="J889" s="2"/>
    </row>
    <row r="890" spans="3:10" x14ac:dyDescent="0.3">
      <c r="C890" s="2"/>
      <c r="D890" s="2"/>
      <c r="J890" s="2"/>
    </row>
    <row r="891" spans="3:10" x14ac:dyDescent="0.3">
      <c r="C891" s="2"/>
      <c r="D891" s="2"/>
      <c r="J891" s="2"/>
    </row>
    <row r="892" spans="3:10" x14ac:dyDescent="0.3">
      <c r="C892" s="2"/>
      <c r="D892" s="2"/>
      <c r="J892" s="2"/>
    </row>
    <row r="893" spans="3:10" x14ac:dyDescent="0.3">
      <c r="C893" s="2"/>
      <c r="D893" s="2"/>
      <c r="J893" s="2"/>
    </row>
    <row r="894" spans="3:10" x14ac:dyDescent="0.3">
      <c r="C894" s="2"/>
      <c r="D894" s="2"/>
      <c r="J894" s="2"/>
    </row>
    <row r="895" spans="3:10" x14ac:dyDescent="0.3">
      <c r="C895" s="2"/>
      <c r="D895" s="2"/>
      <c r="J895" s="2"/>
    </row>
    <row r="896" spans="3:10" x14ac:dyDescent="0.3">
      <c r="C896" s="2"/>
      <c r="D896" s="2"/>
      <c r="J896" s="2"/>
    </row>
    <row r="897" spans="3:10" x14ac:dyDescent="0.3">
      <c r="C897" s="2"/>
      <c r="D897" s="2"/>
      <c r="J897" s="2"/>
    </row>
    <row r="898" spans="3:10" x14ac:dyDescent="0.3">
      <c r="C898" s="2"/>
      <c r="D898" s="2"/>
      <c r="J898" s="2"/>
    </row>
    <row r="899" spans="3:10" x14ac:dyDescent="0.3">
      <c r="C899" s="2"/>
      <c r="D899" s="2"/>
      <c r="J899" s="2"/>
    </row>
    <row r="900" spans="3:10" x14ac:dyDescent="0.3">
      <c r="C900" s="2"/>
      <c r="D900" s="2"/>
      <c r="J900" s="2"/>
    </row>
    <row r="901" spans="3:10" x14ac:dyDescent="0.3">
      <c r="C901" s="2"/>
      <c r="D901" s="2"/>
      <c r="J901" s="2"/>
    </row>
    <row r="902" spans="3:10" x14ac:dyDescent="0.3">
      <c r="C902" s="2"/>
      <c r="D902" s="2"/>
      <c r="J902" s="2"/>
    </row>
    <row r="903" spans="3:10" x14ac:dyDescent="0.3">
      <c r="C903" s="2"/>
      <c r="D903" s="2"/>
      <c r="J903" s="2"/>
    </row>
    <row r="904" spans="3:10" x14ac:dyDescent="0.3">
      <c r="C904" s="2"/>
      <c r="D904" s="2"/>
      <c r="J904" s="2"/>
    </row>
    <row r="905" spans="3:10" x14ac:dyDescent="0.3">
      <c r="C905" s="2"/>
      <c r="D905" s="2"/>
      <c r="J905" s="2"/>
    </row>
    <row r="906" spans="3:10" x14ac:dyDescent="0.3">
      <c r="C906" s="2"/>
      <c r="D906" s="2"/>
      <c r="J906" s="2"/>
    </row>
    <row r="907" spans="3:10" x14ac:dyDescent="0.3">
      <c r="C907" s="2"/>
      <c r="D907" s="2"/>
      <c r="J907" s="2"/>
    </row>
    <row r="908" spans="3:10" x14ac:dyDescent="0.3">
      <c r="C908" s="2"/>
      <c r="D908" s="2"/>
      <c r="J908" s="2"/>
    </row>
    <row r="909" spans="3:10" x14ac:dyDescent="0.3">
      <c r="C909" s="2"/>
      <c r="D909" s="2"/>
      <c r="J909" s="2"/>
    </row>
    <row r="910" spans="3:10" x14ac:dyDescent="0.3">
      <c r="C910" s="2"/>
      <c r="D910" s="2"/>
      <c r="J910" s="2"/>
    </row>
    <row r="911" spans="3:10" x14ac:dyDescent="0.3">
      <c r="C911" s="2"/>
      <c r="D911" s="2"/>
      <c r="J911" s="2"/>
    </row>
    <row r="912" spans="3:10" x14ac:dyDescent="0.3">
      <c r="C912" s="2"/>
      <c r="D912" s="2"/>
      <c r="J912" s="2"/>
    </row>
    <row r="913" spans="3:10" x14ac:dyDescent="0.3">
      <c r="C913" s="2"/>
      <c r="D913" s="2"/>
      <c r="J913" s="2"/>
    </row>
    <row r="914" spans="3:10" x14ac:dyDescent="0.3">
      <c r="C914" s="2"/>
      <c r="D914" s="2"/>
      <c r="J914" s="2"/>
    </row>
    <row r="915" spans="3:10" x14ac:dyDescent="0.3">
      <c r="C915" s="2"/>
      <c r="D915" s="2"/>
      <c r="J915" s="2"/>
    </row>
    <row r="916" spans="3:10" x14ac:dyDescent="0.3">
      <c r="C916" s="2"/>
      <c r="D916" s="2"/>
      <c r="J916" s="2"/>
    </row>
    <row r="917" spans="3:10" x14ac:dyDescent="0.3">
      <c r="C917" s="2"/>
      <c r="D917" s="2"/>
      <c r="J917" s="2"/>
    </row>
    <row r="918" spans="3:10" x14ac:dyDescent="0.3">
      <c r="C918" s="2"/>
      <c r="D918" s="2"/>
      <c r="J918" s="2"/>
    </row>
    <row r="919" spans="3:10" x14ac:dyDescent="0.3">
      <c r="C919" s="2"/>
      <c r="D919" s="2"/>
      <c r="J919" s="2"/>
    </row>
    <row r="920" spans="3:10" x14ac:dyDescent="0.3">
      <c r="C920" s="2"/>
      <c r="D920" s="2"/>
      <c r="J920" s="2"/>
    </row>
    <row r="921" spans="3:10" x14ac:dyDescent="0.3">
      <c r="C921" s="2"/>
      <c r="D921" s="2"/>
      <c r="J921" s="2"/>
    </row>
    <row r="922" spans="3:10" x14ac:dyDescent="0.3">
      <c r="C922" s="2"/>
      <c r="D922" s="2"/>
      <c r="J922" s="2"/>
    </row>
    <row r="923" spans="3:10" x14ac:dyDescent="0.3">
      <c r="C923" s="2"/>
      <c r="D923" s="2"/>
      <c r="J923" s="2"/>
    </row>
    <row r="924" spans="3:10" x14ac:dyDescent="0.3">
      <c r="C924" s="2"/>
      <c r="D924" s="2"/>
      <c r="J924" s="2"/>
    </row>
    <row r="925" spans="3:10" x14ac:dyDescent="0.3">
      <c r="C925" s="2"/>
      <c r="D925" s="2"/>
      <c r="J925" s="2"/>
    </row>
    <row r="926" spans="3:10" x14ac:dyDescent="0.3">
      <c r="C926" s="2"/>
      <c r="D926" s="2"/>
      <c r="J926" s="2"/>
    </row>
    <row r="927" spans="3:10" x14ac:dyDescent="0.3">
      <c r="C927" s="2"/>
      <c r="D927" s="2"/>
      <c r="J927" s="2"/>
    </row>
    <row r="928" spans="3:10" x14ac:dyDescent="0.3">
      <c r="C928" s="2"/>
      <c r="D928" s="2"/>
      <c r="J928" s="2"/>
    </row>
    <row r="929" spans="3:10" x14ac:dyDescent="0.3">
      <c r="C929" s="2"/>
      <c r="D929" s="2"/>
      <c r="J929" s="2"/>
    </row>
    <row r="930" spans="3:10" x14ac:dyDescent="0.3">
      <c r="C930" s="2"/>
      <c r="D930" s="2"/>
      <c r="J930" s="2"/>
    </row>
    <row r="931" spans="3:10" x14ac:dyDescent="0.3">
      <c r="C931" s="2"/>
      <c r="D931" s="2"/>
      <c r="J931" s="2"/>
    </row>
    <row r="932" spans="3:10" x14ac:dyDescent="0.3">
      <c r="C932" s="2"/>
      <c r="D932" s="2"/>
      <c r="J932" s="2"/>
    </row>
    <row r="933" spans="3:10" x14ac:dyDescent="0.3">
      <c r="C933" s="2"/>
      <c r="D933" s="2"/>
      <c r="J933" s="2"/>
    </row>
    <row r="934" spans="3:10" x14ac:dyDescent="0.3">
      <c r="C934" s="2"/>
      <c r="D934" s="2"/>
      <c r="J934" s="2"/>
    </row>
    <row r="935" spans="3:10" x14ac:dyDescent="0.3">
      <c r="C935" s="2"/>
      <c r="D935" s="2"/>
      <c r="J935" s="2"/>
    </row>
    <row r="936" spans="3:10" x14ac:dyDescent="0.3">
      <c r="C936" s="2"/>
      <c r="D936" s="2"/>
      <c r="J936" s="2"/>
    </row>
    <row r="937" spans="3:10" x14ac:dyDescent="0.3">
      <c r="C937" s="2"/>
      <c r="D937" s="2"/>
      <c r="J937" s="2"/>
    </row>
    <row r="938" spans="3:10" x14ac:dyDescent="0.3">
      <c r="C938" s="2"/>
      <c r="D938" s="2"/>
      <c r="J938" s="2"/>
    </row>
    <row r="939" spans="3:10" x14ac:dyDescent="0.3">
      <c r="C939" s="2"/>
      <c r="D939" s="2"/>
      <c r="J939" s="2"/>
    </row>
    <row r="940" spans="3:10" x14ac:dyDescent="0.3">
      <c r="C940" s="2"/>
      <c r="D940" s="2"/>
      <c r="J940" s="2"/>
    </row>
    <row r="941" spans="3:10" x14ac:dyDescent="0.3">
      <c r="C941" s="2"/>
      <c r="D941" s="2"/>
      <c r="J941" s="2"/>
    </row>
    <row r="942" spans="3:10" x14ac:dyDescent="0.3">
      <c r="C942" s="2"/>
      <c r="D942" s="2"/>
      <c r="J942" s="2"/>
    </row>
    <row r="943" spans="3:10" x14ac:dyDescent="0.3">
      <c r="C943" s="2"/>
      <c r="D943" s="2"/>
      <c r="J943" s="2"/>
    </row>
    <row r="944" spans="3:10" x14ac:dyDescent="0.3">
      <c r="C944" s="2"/>
      <c r="D944" s="2"/>
      <c r="J944" s="2"/>
    </row>
    <row r="945" spans="3:10" x14ac:dyDescent="0.3">
      <c r="C945" s="2"/>
      <c r="D945" s="2"/>
      <c r="J945" s="2"/>
    </row>
    <row r="946" spans="3:10" x14ac:dyDescent="0.3">
      <c r="C946" s="2"/>
      <c r="D946" s="2"/>
      <c r="J946" s="2"/>
    </row>
    <row r="947" spans="3:10" x14ac:dyDescent="0.3">
      <c r="C947" s="2"/>
      <c r="D947" s="2"/>
      <c r="J947" s="2"/>
    </row>
    <row r="948" spans="3:10" x14ac:dyDescent="0.3">
      <c r="C948" s="2"/>
      <c r="D948" s="2"/>
      <c r="J948" s="2"/>
    </row>
    <row r="949" spans="3:10" x14ac:dyDescent="0.3">
      <c r="C949" s="2"/>
      <c r="D949" s="2"/>
      <c r="J949" s="2"/>
    </row>
    <row r="950" spans="3:10" x14ac:dyDescent="0.3">
      <c r="C950" s="2"/>
      <c r="D950" s="2"/>
      <c r="J950" s="2"/>
    </row>
    <row r="951" spans="3:10" x14ac:dyDescent="0.3">
      <c r="C951" s="2"/>
      <c r="D951" s="2"/>
      <c r="J951" s="2"/>
    </row>
    <row r="952" spans="3:10" x14ac:dyDescent="0.3">
      <c r="C952" s="2"/>
      <c r="D952" s="2"/>
      <c r="J952" s="2"/>
    </row>
    <row r="953" spans="3:10" x14ac:dyDescent="0.3">
      <c r="C953" s="2"/>
      <c r="D953" s="2"/>
      <c r="J953" s="2"/>
    </row>
    <row r="954" spans="3:10" x14ac:dyDescent="0.3">
      <c r="C954" s="2"/>
      <c r="D954" s="2"/>
      <c r="J954" s="2"/>
    </row>
    <row r="955" spans="3:10" x14ac:dyDescent="0.3">
      <c r="C955" s="2"/>
      <c r="D955" s="2"/>
      <c r="J955" s="2"/>
    </row>
    <row r="956" spans="3:10" x14ac:dyDescent="0.3">
      <c r="C956" s="2"/>
      <c r="D956" s="2"/>
      <c r="J956" s="2"/>
    </row>
    <row r="957" spans="3:10" x14ac:dyDescent="0.3">
      <c r="C957" s="2"/>
      <c r="D957" s="2"/>
      <c r="J957" s="2"/>
    </row>
    <row r="958" spans="3:10" x14ac:dyDescent="0.3">
      <c r="C958" s="2"/>
      <c r="D958" s="2"/>
      <c r="J958" s="2"/>
    </row>
    <row r="959" spans="3:10" x14ac:dyDescent="0.3">
      <c r="C959" s="2"/>
      <c r="D959" s="2"/>
      <c r="J959" s="2"/>
    </row>
    <row r="960" spans="3:10" x14ac:dyDescent="0.3">
      <c r="C960" s="2"/>
      <c r="D960" s="2"/>
      <c r="J960" s="2"/>
    </row>
    <row r="961" spans="3:10" x14ac:dyDescent="0.3">
      <c r="C961" s="2"/>
      <c r="D961" s="2"/>
      <c r="J961" s="2"/>
    </row>
    <row r="962" spans="3:10" x14ac:dyDescent="0.3">
      <c r="C962" s="2"/>
      <c r="D962" s="2"/>
      <c r="J962" s="2"/>
    </row>
    <row r="963" spans="3:10" x14ac:dyDescent="0.3">
      <c r="C963" s="2"/>
      <c r="D963" s="2"/>
      <c r="J963" s="2"/>
    </row>
    <row r="964" spans="3:10" x14ac:dyDescent="0.3">
      <c r="C964" s="2"/>
      <c r="D964" s="2"/>
      <c r="J964" s="2"/>
    </row>
    <row r="965" spans="3:10" x14ac:dyDescent="0.3">
      <c r="C965" s="2"/>
      <c r="D965" s="2"/>
      <c r="J965" s="2"/>
    </row>
    <row r="966" spans="3:10" x14ac:dyDescent="0.3">
      <c r="C966" s="2"/>
      <c r="D966" s="2"/>
      <c r="J966" s="2"/>
    </row>
    <row r="967" spans="3:10" x14ac:dyDescent="0.3">
      <c r="C967" s="2"/>
      <c r="D967" s="2"/>
      <c r="J967" s="2"/>
    </row>
    <row r="968" spans="3:10" x14ac:dyDescent="0.3">
      <c r="C968" s="2"/>
      <c r="D968" s="2"/>
      <c r="J968" s="2"/>
    </row>
    <row r="969" spans="3:10" x14ac:dyDescent="0.3">
      <c r="C969" s="2"/>
      <c r="D969" s="2"/>
      <c r="J969" s="2"/>
    </row>
    <row r="970" spans="3:10" x14ac:dyDescent="0.3">
      <c r="C970" s="2"/>
      <c r="D970" s="2"/>
      <c r="J970" s="2"/>
    </row>
    <row r="971" spans="3:10" x14ac:dyDescent="0.3">
      <c r="C971" s="2"/>
      <c r="D971" s="2"/>
      <c r="J971" s="2"/>
    </row>
    <row r="972" spans="3:10" x14ac:dyDescent="0.3">
      <c r="C972" s="2"/>
      <c r="D972" s="2"/>
      <c r="J972" s="2"/>
    </row>
    <row r="973" spans="3:10" x14ac:dyDescent="0.3">
      <c r="C973" s="2"/>
      <c r="D973" s="2"/>
      <c r="J973" s="2"/>
    </row>
    <row r="974" spans="3:10" x14ac:dyDescent="0.3">
      <c r="C974" s="2"/>
      <c r="D974" s="2"/>
      <c r="J974" s="2"/>
    </row>
    <row r="975" spans="3:10" x14ac:dyDescent="0.3">
      <c r="C975" s="2"/>
      <c r="D975" s="2"/>
      <c r="J975" s="2"/>
    </row>
    <row r="976" spans="3:10" x14ac:dyDescent="0.3">
      <c r="C976" s="2"/>
      <c r="D976" s="2"/>
      <c r="J976" s="2"/>
    </row>
    <row r="977" spans="3:10" x14ac:dyDescent="0.3">
      <c r="C977" s="2"/>
      <c r="D977" s="2"/>
      <c r="J977" s="2"/>
    </row>
    <row r="978" spans="3:10" x14ac:dyDescent="0.3">
      <c r="C978" s="2"/>
      <c r="D978" s="2"/>
      <c r="J978" s="2"/>
    </row>
    <row r="979" spans="3:10" x14ac:dyDescent="0.3">
      <c r="C979" s="2"/>
      <c r="D979" s="2"/>
      <c r="J979" s="2"/>
    </row>
    <row r="980" spans="3:10" x14ac:dyDescent="0.3">
      <c r="C980" s="2"/>
      <c r="D980" s="2"/>
      <c r="J980" s="2"/>
    </row>
    <row r="981" spans="3:10" x14ac:dyDescent="0.3">
      <c r="C981" s="2"/>
      <c r="D981" s="2"/>
      <c r="J981" s="2"/>
    </row>
    <row r="982" spans="3:10" x14ac:dyDescent="0.3">
      <c r="C982" s="2"/>
      <c r="D982" s="2"/>
      <c r="J982" s="2"/>
    </row>
    <row r="983" spans="3:10" x14ac:dyDescent="0.3">
      <c r="C983" s="2"/>
      <c r="D983" s="2"/>
      <c r="J983" s="2"/>
    </row>
    <row r="984" spans="3:10" x14ac:dyDescent="0.3">
      <c r="C984" s="2"/>
      <c r="D984" s="2"/>
      <c r="J984" s="2"/>
    </row>
    <row r="985" spans="3:10" x14ac:dyDescent="0.3">
      <c r="C985" s="2"/>
      <c r="D985" s="2"/>
      <c r="J985" s="2"/>
    </row>
    <row r="986" spans="3:10" x14ac:dyDescent="0.3">
      <c r="C986" s="2"/>
      <c r="D986" s="2"/>
      <c r="J986" s="2"/>
    </row>
    <row r="987" spans="3:10" x14ac:dyDescent="0.3">
      <c r="C987" s="2"/>
      <c r="D987" s="2"/>
      <c r="J987" s="2"/>
    </row>
    <row r="988" spans="3:10" x14ac:dyDescent="0.3">
      <c r="C988" s="2"/>
      <c r="D988" s="2"/>
      <c r="J988" s="2"/>
    </row>
    <row r="989" spans="3:10" x14ac:dyDescent="0.3">
      <c r="C989" s="2"/>
      <c r="D989" s="2"/>
      <c r="J989" s="2"/>
    </row>
    <row r="990" spans="3:10" x14ac:dyDescent="0.3">
      <c r="C990" s="2"/>
      <c r="D990" s="2"/>
      <c r="J990" s="2"/>
    </row>
    <row r="991" spans="3:10" x14ac:dyDescent="0.3">
      <c r="C991" s="2"/>
      <c r="D991" s="2"/>
      <c r="J991" s="2"/>
    </row>
    <row r="992" spans="3:10" x14ac:dyDescent="0.3">
      <c r="C992" s="2"/>
      <c r="D992" s="2"/>
      <c r="J992" s="2"/>
    </row>
    <row r="993" spans="3:10" x14ac:dyDescent="0.3">
      <c r="C993" s="2"/>
      <c r="D993" s="2"/>
      <c r="J993" s="2"/>
    </row>
    <row r="994" spans="3:10" x14ac:dyDescent="0.3">
      <c r="C994" s="2"/>
      <c r="D994" s="2"/>
      <c r="J994" s="2"/>
    </row>
    <row r="995" spans="3:10" x14ac:dyDescent="0.3">
      <c r="C995" s="2"/>
      <c r="D995" s="2"/>
      <c r="J995" s="2"/>
    </row>
    <row r="996" spans="3:10" x14ac:dyDescent="0.3">
      <c r="C996" s="2"/>
      <c r="D996" s="2"/>
      <c r="J996" s="2"/>
    </row>
    <row r="997" spans="3:10" x14ac:dyDescent="0.3">
      <c r="C997" s="2"/>
      <c r="D997" s="2"/>
      <c r="J997" s="2"/>
    </row>
    <row r="998" spans="3:10" x14ac:dyDescent="0.3">
      <c r="C998" s="2"/>
      <c r="D998" s="2"/>
      <c r="J998" s="2"/>
    </row>
    <row r="999" spans="3:10" x14ac:dyDescent="0.3">
      <c r="C999" s="2"/>
      <c r="D999" s="2"/>
      <c r="J999" s="2"/>
    </row>
    <row r="1000" spans="3:10" x14ac:dyDescent="0.3">
      <c r="C1000" s="2"/>
      <c r="D1000" s="2"/>
      <c r="J1000" s="2"/>
    </row>
    <row r="1001" spans="3:10" x14ac:dyDescent="0.3">
      <c r="C1001" s="2"/>
      <c r="D1001" s="2"/>
      <c r="J1001" s="2"/>
    </row>
    <row r="1002" spans="3:10" x14ac:dyDescent="0.3">
      <c r="C1002" s="2"/>
      <c r="D1002" s="2"/>
      <c r="J1002" s="2"/>
    </row>
    <row r="1003" spans="3:10" x14ac:dyDescent="0.3">
      <c r="C1003" s="2"/>
      <c r="D1003" s="2"/>
      <c r="J1003" s="2"/>
    </row>
    <row r="1004" spans="3:10" x14ac:dyDescent="0.3">
      <c r="C1004" s="2"/>
      <c r="D1004" s="2"/>
      <c r="J1004" s="2"/>
    </row>
    <row r="1005" spans="3:10" x14ac:dyDescent="0.3">
      <c r="C1005" s="2"/>
      <c r="D1005" s="2"/>
      <c r="J1005" s="2"/>
    </row>
    <row r="1006" spans="3:10" x14ac:dyDescent="0.3">
      <c r="C1006" s="2"/>
      <c r="D1006" s="2"/>
      <c r="J1006" s="2"/>
    </row>
    <row r="1007" spans="3:10" x14ac:dyDescent="0.3">
      <c r="C1007" s="2"/>
      <c r="D1007" s="2"/>
      <c r="J1007" s="2"/>
    </row>
    <row r="1008" spans="3:10" x14ac:dyDescent="0.3">
      <c r="C1008" s="2"/>
      <c r="D1008" s="2"/>
      <c r="J1008" s="2"/>
    </row>
    <row r="1009" spans="3:10" x14ac:dyDescent="0.3">
      <c r="C1009" s="2"/>
      <c r="D1009" s="2"/>
      <c r="J1009" s="2"/>
    </row>
    <row r="1010" spans="3:10" x14ac:dyDescent="0.3">
      <c r="C1010" s="2"/>
      <c r="D1010" s="2"/>
      <c r="J1010" s="2"/>
    </row>
    <row r="1011" spans="3:10" x14ac:dyDescent="0.3">
      <c r="C1011" s="2"/>
      <c r="D1011" s="2"/>
      <c r="J1011" s="2"/>
    </row>
    <row r="1012" spans="3:10" x14ac:dyDescent="0.3">
      <c r="C1012" s="2"/>
      <c r="D1012" s="2"/>
      <c r="J1012" s="2"/>
    </row>
    <row r="1013" spans="3:10" x14ac:dyDescent="0.3">
      <c r="C1013" s="2"/>
      <c r="D1013" s="2"/>
      <c r="J1013" s="2"/>
    </row>
    <row r="1014" spans="3:10" x14ac:dyDescent="0.3">
      <c r="C1014" s="2"/>
      <c r="D1014" s="2"/>
      <c r="J1014" s="2"/>
    </row>
    <row r="1015" spans="3:10" x14ac:dyDescent="0.3">
      <c r="C1015" s="2"/>
      <c r="D1015" s="2"/>
      <c r="J1015" s="2"/>
    </row>
    <row r="1016" spans="3:10" x14ac:dyDescent="0.3">
      <c r="C1016" s="2"/>
      <c r="D1016" s="2"/>
      <c r="J1016" s="2"/>
    </row>
    <row r="1017" spans="3:10" x14ac:dyDescent="0.3">
      <c r="C1017" s="2"/>
      <c r="D1017" s="2"/>
      <c r="J1017" s="2"/>
    </row>
    <row r="1018" spans="3:10" x14ac:dyDescent="0.3">
      <c r="C1018" s="2"/>
      <c r="D1018" s="2"/>
      <c r="J1018" s="2"/>
    </row>
    <row r="1019" spans="3:10" x14ac:dyDescent="0.3">
      <c r="C1019" s="2"/>
      <c r="D1019" s="2"/>
      <c r="J1019" s="2"/>
    </row>
    <row r="1020" spans="3:10" x14ac:dyDescent="0.3">
      <c r="C1020" s="2"/>
      <c r="D1020" s="2"/>
      <c r="J1020" s="2"/>
    </row>
    <row r="1021" spans="3:10" x14ac:dyDescent="0.3">
      <c r="C1021" s="2"/>
      <c r="D1021" s="2"/>
      <c r="J1021" s="2"/>
    </row>
    <row r="1022" spans="3:10" x14ac:dyDescent="0.3">
      <c r="C1022" s="2"/>
      <c r="D1022" s="2"/>
      <c r="J1022" s="2"/>
    </row>
    <row r="1023" spans="3:10" x14ac:dyDescent="0.3">
      <c r="C1023" s="2"/>
      <c r="D1023" s="2"/>
      <c r="J1023" s="2"/>
    </row>
    <row r="1024" spans="3:10" x14ac:dyDescent="0.3">
      <c r="C1024" s="2"/>
      <c r="D1024" s="2"/>
      <c r="J1024" s="2"/>
    </row>
    <row r="1025" spans="3:10" x14ac:dyDescent="0.3">
      <c r="C1025" s="2"/>
      <c r="D1025" s="2"/>
      <c r="J1025" s="2"/>
    </row>
    <row r="1026" spans="3:10" x14ac:dyDescent="0.3">
      <c r="C1026" s="2"/>
      <c r="D1026" s="2"/>
      <c r="J1026" s="2"/>
    </row>
    <row r="1027" spans="3:10" x14ac:dyDescent="0.3">
      <c r="C1027" s="2"/>
      <c r="D1027" s="2"/>
      <c r="J1027" s="2"/>
    </row>
    <row r="1028" spans="3:10" x14ac:dyDescent="0.3">
      <c r="C1028" s="2"/>
      <c r="D1028" s="2"/>
      <c r="J1028" s="2"/>
    </row>
    <row r="1029" spans="3:10" x14ac:dyDescent="0.3">
      <c r="C1029" s="2"/>
      <c r="D1029" s="2"/>
      <c r="J1029" s="2"/>
    </row>
    <row r="1030" spans="3:10" x14ac:dyDescent="0.3">
      <c r="C1030" s="2"/>
      <c r="D1030" s="2"/>
      <c r="J1030" s="2"/>
    </row>
    <row r="1031" spans="3:10" x14ac:dyDescent="0.3">
      <c r="C1031" s="2"/>
      <c r="D1031" s="2"/>
      <c r="J1031" s="2"/>
    </row>
    <row r="1032" spans="3:10" x14ac:dyDescent="0.3">
      <c r="C1032" s="2"/>
      <c r="D1032" s="2"/>
      <c r="J1032" s="2"/>
    </row>
    <row r="1033" spans="3:10" x14ac:dyDescent="0.3">
      <c r="C1033" s="2"/>
      <c r="D1033" s="2"/>
      <c r="J1033" s="2"/>
    </row>
    <row r="1034" spans="3:10" x14ac:dyDescent="0.3">
      <c r="C1034" s="2"/>
      <c r="D1034" s="2"/>
      <c r="J1034" s="2"/>
    </row>
    <row r="1035" spans="3:10" x14ac:dyDescent="0.3">
      <c r="C1035" s="2"/>
      <c r="D1035" s="2"/>
      <c r="J1035" s="2"/>
    </row>
    <row r="1036" spans="3:10" x14ac:dyDescent="0.3">
      <c r="C1036" s="2"/>
      <c r="D1036" s="2"/>
      <c r="J1036" s="2"/>
    </row>
    <row r="1037" spans="3:10" x14ac:dyDescent="0.3">
      <c r="C1037" s="2"/>
      <c r="D1037" s="2"/>
      <c r="J1037" s="2"/>
    </row>
    <row r="1038" spans="3:10" x14ac:dyDescent="0.3">
      <c r="C1038" s="2"/>
      <c r="D1038" s="2"/>
      <c r="J1038" s="2"/>
    </row>
    <row r="1039" spans="3:10" x14ac:dyDescent="0.3">
      <c r="C1039" s="2"/>
      <c r="D1039" s="2"/>
      <c r="J1039" s="2"/>
    </row>
    <row r="1040" spans="3:10" x14ac:dyDescent="0.3">
      <c r="C1040" s="2"/>
      <c r="D1040" s="2"/>
      <c r="J1040" s="2"/>
    </row>
    <row r="1041" spans="3:10" x14ac:dyDescent="0.3">
      <c r="C1041" s="2"/>
      <c r="D1041" s="2"/>
      <c r="J1041" s="2"/>
    </row>
    <row r="1042" spans="3:10" x14ac:dyDescent="0.3">
      <c r="C1042" s="2"/>
      <c r="D1042" s="2"/>
      <c r="J1042" s="2"/>
    </row>
    <row r="1043" spans="3:10" x14ac:dyDescent="0.3">
      <c r="C1043" s="2"/>
      <c r="D1043" s="2"/>
      <c r="J1043" s="2"/>
    </row>
    <row r="1044" spans="3:10" x14ac:dyDescent="0.3">
      <c r="C1044" s="2"/>
      <c r="D1044" s="2"/>
      <c r="J1044" s="2"/>
    </row>
    <row r="1045" spans="3:10" x14ac:dyDescent="0.3">
      <c r="C1045" s="2"/>
      <c r="D1045" s="2"/>
      <c r="J1045" s="2"/>
    </row>
    <row r="1046" spans="3:10" x14ac:dyDescent="0.3">
      <c r="C1046" s="2"/>
      <c r="D1046" s="2"/>
      <c r="J1046" s="2"/>
    </row>
    <row r="1047" spans="3:10" x14ac:dyDescent="0.3">
      <c r="C1047" s="2"/>
      <c r="D1047" s="2"/>
      <c r="J1047" s="2"/>
    </row>
    <row r="1048" spans="3:10" x14ac:dyDescent="0.3">
      <c r="C1048" s="2"/>
      <c r="D1048" s="2"/>
      <c r="J1048" s="2"/>
    </row>
    <row r="1049" spans="3:10" x14ac:dyDescent="0.3">
      <c r="C1049" s="2"/>
      <c r="D1049" s="2"/>
      <c r="J1049" s="2"/>
    </row>
    <row r="1050" spans="3:10" x14ac:dyDescent="0.3">
      <c r="C1050" s="2"/>
      <c r="D1050" s="2"/>
      <c r="J1050" s="2"/>
    </row>
    <row r="1051" spans="3:10" x14ac:dyDescent="0.3">
      <c r="C1051" s="2"/>
      <c r="D1051" s="2"/>
      <c r="J1051" s="2"/>
    </row>
    <row r="1052" spans="3:10" x14ac:dyDescent="0.3">
      <c r="C1052" s="2"/>
      <c r="D1052" s="2"/>
      <c r="J1052" s="2"/>
    </row>
    <row r="1053" spans="3:10" x14ac:dyDescent="0.3">
      <c r="C1053" s="2"/>
      <c r="D1053" s="2"/>
      <c r="J1053" s="2"/>
    </row>
    <row r="1054" spans="3:10" x14ac:dyDescent="0.3">
      <c r="C1054" s="2"/>
      <c r="D1054" s="2"/>
      <c r="J1054" s="2"/>
    </row>
    <row r="1055" spans="3:10" x14ac:dyDescent="0.3">
      <c r="C1055" s="2"/>
      <c r="D1055" s="2"/>
      <c r="J1055" s="2"/>
    </row>
    <row r="1056" spans="3:10" x14ac:dyDescent="0.3">
      <c r="C1056" s="2"/>
      <c r="D1056" s="2"/>
      <c r="J1056" s="2"/>
    </row>
    <row r="1057" spans="3:10" x14ac:dyDescent="0.3">
      <c r="C1057" s="2"/>
      <c r="D1057" s="2"/>
      <c r="J1057" s="2"/>
    </row>
    <row r="1058" spans="3:10" x14ac:dyDescent="0.3">
      <c r="C1058" s="2"/>
      <c r="D1058" s="2"/>
      <c r="J1058" s="2"/>
    </row>
    <row r="1059" spans="3:10" x14ac:dyDescent="0.3">
      <c r="C1059" s="2"/>
      <c r="D1059" s="2"/>
      <c r="J1059" s="2"/>
    </row>
    <row r="1060" spans="3:10" x14ac:dyDescent="0.3">
      <c r="C1060" s="2"/>
      <c r="D1060" s="2"/>
      <c r="J1060" s="2"/>
    </row>
    <row r="1061" spans="3:10" x14ac:dyDescent="0.3">
      <c r="C1061" s="2"/>
      <c r="D1061" s="2"/>
      <c r="J1061" s="2"/>
    </row>
    <row r="1062" spans="3:10" x14ac:dyDescent="0.3">
      <c r="C1062" s="2"/>
      <c r="D1062" s="2"/>
      <c r="J1062" s="2"/>
    </row>
    <row r="1063" spans="3:10" x14ac:dyDescent="0.3">
      <c r="C1063" s="2"/>
      <c r="D1063" s="2"/>
      <c r="J1063" s="2"/>
    </row>
    <row r="1064" spans="3:10" x14ac:dyDescent="0.3">
      <c r="C1064" s="2"/>
      <c r="D1064" s="2"/>
      <c r="J1064" s="2"/>
    </row>
    <row r="1065" spans="3:10" x14ac:dyDescent="0.3">
      <c r="C1065" s="2"/>
      <c r="D1065" s="2"/>
      <c r="J1065" s="2"/>
    </row>
    <row r="1066" spans="3:10" x14ac:dyDescent="0.3">
      <c r="C1066" s="2"/>
      <c r="D1066" s="2"/>
      <c r="J1066" s="2"/>
    </row>
    <row r="1067" spans="3:10" x14ac:dyDescent="0.3">
      <c r="C1067" s="2"/>
      <c r="D1067" s="2"/>
      <c r="J1067" s="2"/>
    </row>
    <row r="1068" spans="3:10" x14ac:dyDescent="0.3">
      <c r="C1068" s="2"/>
      <c r="D1068" s="2"/>
      <c r="J1068" s="2"/>
    </row>
    <row r="1069" spans="3:10" x14ac:dyDescent="0.3">
      <c r="C1069" s="2"/>
      <c r="D1069" s="2"/>
      <c r="J1069" s="2"/>
    </row>
    <row r="1070" spans="3:10" x14ac:dyDescent="0.3">
      <c r="C1070" s="2"/>
      <c r="D1070" s="2"/>
      <c r="J1070" s="2"/>
    </row>
    <row r="1071" spans="3:10" x14ac:dyDescent="0.3">
      <c r="C1071" s="2"/>
      <c r="D1071" s="2"/>
      <c r="J1071" s="2"/>
    </row>
    <row r="1072" spans="3:10" x14ac:dyDescent="0.3">
      <c r="C1072" s="2"/>
      <c r="D1072" s="2"/>
      <c r="J1072" s="2"/>
    </row>
    <row r="1073" spans="3:10" x14ac:dyDescent="0.3">
      <c r="C1073" s="2"/>
      <c r="D1073" s="2"/>
      <c r="J1073" s="2"/>
    </row>
    <row r="1074" spans="3:10" x14ac:dyDescent="0.3">
      <c r="C1074" s="2"/>
      <c r="D1074" s="2"/>
      <c r="J1074" s="2"/>
    </row>
    <row r="1075" spans="3:10" x14ac:dyDescent="0.3">
      <c r="C1075" s="2"/>
      <c r="D1075" s="2"/>
      <c r="J1075" s="2"/>
    </row>
    <row r="1076" spans="3:10" x14ac:dyDescent="0.3">
      <c r="C1076" s="2"/>
      <c r="D1076" s="2"/>
      <c r="J1076" s="2"/>
    </row>
    <row r="1077" spans="3:10" x14ac:dyDescent="0.3">
      <c r="C1077" s="2"/>
      <c r="D1077" s="2"/>
      <c r="J1077" s="2"/>
    </row>
    <row r="1078" spans="3:10" x14ac:dyDescent="0.3">
      <c r="C1078" s="2"/>
      <c r="D1078" s="2"/>
      <c r="J1078" s="2"/>
    </row>
    <row r="1079" spans="3:10" x14ac:dyDescent="0.3">
      <c r="C1079" s="2"/>
      <c r="D1079" s="2"/>
      <c r="J1079" s="2"/>
    </row>
    <row r="1080" spans="3:10" x14ac:dyDescent="0.3">
      <c r="C1080" s="2"/>
      <c r="D1080" s="2"/>
      <c r="J1080" s="2"/>
    </row>
    <row r="1081" spans="3:10" x14ac:dyDescent="0.3">
      <c r="C1081" s="2"/>
      <c r="D1081" s="2"/>
      <c r="J1081" s="2"/>
    </row>
    <row r="1082" spans="3:10" x14ac:dyDescent="0.3">
      <c r="C1082" s="2"/>
      <c r="D1082" s="2"/>
      <c r="J1082" s="2"/>
    </row>
    <row r="1083" spans="3:10" x14ac:dyDescent="0.3">
      <c r="C1083" s="2"/>
      <c r="D1083" s="2"/>
      <c r="J1083" s="2"/>
    </row>
    <row r="1084" spans="3:10" x14ac:dyDescent="0.3">
      <c r="C1084" s="2"/>
      <c r="D1084" s="2"/>
      <c r="J1084" s="2"/>
    </row>
    <row r="1085" spans="3:10" x14ac:dyDescent="0.3">
      <c r="C1085" s="2"/>
      <c r="D1085" s="2"/>
      <c r="J1085" s="2"/>
    </row>
    <row r="1086" spans="3:10" x14ac:dyDescent="0.3">
      <c r="C1086" s="2"/>
      <c r="D1086" s="2"/>
      <c r="J1086" s="2"/>
    </row>
    <row r="1087" spans="3:10" x14ac:dyDescent="0.3">
      <c r="C1087" s="2"/>
      <c r="D1087" s="2"/>
      <c r="J1087" s="2"/>
    </row>
    <row r="1088" spans="3:10" x14ac:dyDescent="0.3">
      <c r="C1088" s="2"/>
      <c r="D1088" s="2"/>
      <c r="J1088" s="2"/>
    </row>
    <row r="1089" spans="3:10" x14ac:dyDescent="0.3">
      <c r="C1089" s="2"/>
      <c r="D1089" s="2"/>
      <c r="J1089" s="2"/>
    </row>
    <row r="1090" spans="3:10" x14ac:dyDescent="0.3">
      <c r="C1090" s="2"/>
      <c r="D1090" s="2"/>
      <c r="J1090" s="2"/>
    </row>
    <row r="1091" spans="3:10" x14ac:dyDescent="0.3">
      <c r="C1091" s="2"/>
      <c r="D1091" s="2"/>
      <c r="J1091" s="2"/>
    </row>
    <row r="1092" spans="3:10" x14ac:dyDescent="0.3">
      <c r="C1092" s="2"/>
      <c r="D1092" s="2"/>
      <c r="J1092" s="2"/>
    </row>
    <row r="1093" spans="3:10" x14ac:dyDescent="0.3">
      <c r="C1093" s="2"/>
      <c r="D1093" s="2"/>
      <c r="J1093" s="2"/>
    </row>
    <row r="1094" spans="3:10" x14ac:dyDescent="0.3">
      <c r="C1094" s="2"/>
      <c r="D1094" s="2"/>
      <c r="J1094" s="2"/>
    </row>
    <row r="1095" spans="3:10" x14ac:dyDescent="0.3">
      <c r="C1095" s="2"/>
      <c r="D1095" s="2"/>
      <c r="J1095" s="2"/>
    </row>
    <row r="1096" spans="3:10" x14ac:dyDescent="0.3">
      <c r="C1096" s="2"/>
      <c r="D1096" s="2"/>
      <c r="J1096" s="2"/>
    </row>
    <row r="1097" spans="3:10" x14ac:dyDescent="0.3">
      <c r="C1097" s="2"/>
      <c r="D1097" s="2"/>
      <c r="J1097" s="2"/>
    </row>
    <row r="1098" spans="3:10" x14ac:dyDescent="0.3">
      <c r="C1098" s="2"/>
      <c r="D1098" s="2"/>
      <c r="J1098" s="2"/>
    </row>
    <row r="1099" spans="3:10" x14ac:dyDescent="0.3">
      <c r="C1099" s="2"/>
      <c r="D1099" s="2"/>
      <c r="J1099" s="2"/>
    </row>
    <row r="1100" spans="3:10" x14ac:dyDescent="0.3">
      <c r="C1100" s="2"/>
      <c r="D1100" s="2"/>
      <c r="J1100" s="2"/>
    </row>
    <row r="1101" spans="3:10" x14ac:dyDescent="0.3">
      <c r="C1101" s="2"/>
      <c r="D1101" s="2"/>
      <c r="J1101" s="2"/>
    </row>
    <row r="1102" spans="3:10" x14ac:dyDescent="0.3">
      <c r="C1102" s="2"/>
      <c r="D1102" s="2"/>
      <c r="J1102" s="2"/>
    </row>
    <row r="1103" spans="3:10" x14ac:dyDescent="0.3">
      <c r="C1103" s="2"/>
      <c r="D1103" s="2"/>
      <c r="J1103" s="2"/>
    </row>
    <row r="1104" spans="3:10" x14ac:dyDescent="0.3">
      <c r="C1104" s="2"/>
      <c r="D1104" s="2"/>
      <c r="J1104" s="2"/>
    </row>
    <row r="1105" spans="3:10" x14ac:dyDescent="0.3">
      <c r="C1105" s="2"/>
      <c r="D1105" s="2"/>
      <c r="J1105" s="2"/>
    </row>
    <row r="1106" spans="3:10" x14ac:dyDescent="0.3">
      <c r="C1106" s="2"/>
      <c r="D1106" s="2"/>
      <c r="J1106" s="2"/>
    </row>
    <row r="1107" spans="3:10" x14ac:dyDescent="0.3">
      <c r="C1107" s="2"/>
      <c r="D1107" s="2"/>
      <c r="J1107" s="2"/>
    </row>
    <row r="1108" spans="3:10" x14ac:dyDescent="0.3">
      <c r="C1108" s="2"/>
      <c r="D1108" s="2"/>
      <c r="J1108" s="2"/>
    </row>
    <row r="1109" spans="3:10" x14ac:dyDescent="0.3">
      <c r="C1109" s="2"/>
      <c r="D1109" s="2"/>
      <c r="J1109" s="2"/>
    </row>
    <row r="1110" spans="3:10" x14ac:dyDescent="0.3">
      <c r="C1110" s="2"/>
      <c r="D1110" s="2"/>
      <c r="J1110" s="2"/>
    </row>
    <row r="1111" spans="3:10" x14ac:dyDescent="0.3">
      <c r="C1111" s="2"/>
      <c r="D1111" s="2"/>
      <c r="J1111" s="2"/>
    </row>
    <row r="1112" spans="3:10" x14ac:dyDescent="0.3">
      <c r="C1112" s="2"/>
      <c r="D1112" s="2"/>
      <c r="J1112" s="2"/>
    </row>
    <row r="1113" spans="3:10" x14ac:dyDescent="0.3">
      <c r="C1113" s="2"/>
      <c r="D1113" s="2"/>
      <c r="J1113" s="2"/>
    </row>
    <row r="1114" spans="3:10" x14ac:dyDescent="0.3">
      <c r="C1114" s="2"/>
      <c r="D1114" s="2"/>
      <c r="J1114" s="2"/>
    </row>
    <row r="1115" spans="3:10" x14ac:dyDescent="0.3">
      <c r="C1115" s="2"/>
      <c r="D1115" s="2"/>
      <c r="J1115" s="2"/>
    </row>
    <row r="1116" spans="3:10" x14ac:dyDescent="0.3">
      <c r="C1116" s="2"/>
      <c r="D1116" s="2"/>
      <c r="J1116" s="2"/>
    </row>
    <row r="1117" spans="3:10" x14ac:dyDescent="0.3">
      <c r="C1117" s="2"/>
      <c r="D1117" s="2"/>
      <c r="J1117" s="2"/>
    </row>
    <row r="1118" spans="3:10" x14ac:dyDescent="0.3">
      <c r="C1118" s="2"/>
      <c r="D1118" s="2"/>
      <c r="J1118" s="2"/>
    </row>
    <row r="1119" spans="3:10" x14ac:dyDescent="0.3">
      <c r="C1119" s="2"/>
      <c r="D1119" s="2"/>
      <c r="J1119" s="2"/>
    </row>
    <row r="1120" spans="3:10" x14ac:dyDescent="0.3">
      <c r="C1120" s="2"/>
      <c r="D1120" s="2"/>
      <c r="J1120" s="2"/>
    </row>
    <row r="1121" spans="3:10" x14ac:dyDescent="0.3">
      <c r="C1121" s="2"/>
      <c r="D1121" s="2"/>
      <c r="J1121" s="2"/>
    </row>
    <row r="1122" spans="3:10" x14ac:dyDescent="0.3">
      <c r="C1122" s="2"/>
      <c r="D1122" s="2"/>
      <c r="J1122" s="2"/>
    </row>
    <row r="1123" spans="3:10" x14ac:dyDescent="0.3">
      <c r="C1123" s="2"/>
      <c r="D1123" s="2"/>
      <c r="J1123" s="2"/>
    </row>
    <row r="1124" spans="3:10" x14ac:dyDescent="0.3">
      <c r="C1124" s="2"/>
      <c r="D1124" s="2"/>
      <c r="J1124" s="2"/>
    </row>
    <row r="1125" spans="3:10" x14ac:dyDescent="0.3">
      <c r="C1125" s="2"/>
      <c r="D1125" s="2"/>
      <c r="J1125" s="2"/>
    </row>
    <row r="1126" spans="3:10" x14ac:dyDescent="0.3">
      <c r="C1126" s="2"/>
      <c r="D1126" s="2"/>
      <c r="J1126" s="2"/>
    </row>
    <row r="1127" spans="3:10" x14ac:dyDescent="0.3">
      <c r="C1127" s="2"/>
      <c r="D1127" s="2"/>
      <c r="J1127" s="2"/>
    </row>
    <row r="1128" spans="3:10" x14ac:dyDescent="0.3">
      <c r="C1128" s="2"/>
      <c r="D1128" s="2"/>
      <c r="J1128" s="2"/>
    </row>
    <row r="1129" spans="3:10" x14ac:dyDescent="0.3">
      <c r="C1129" s="2"/>
      <c r="D1129" s="2"/>
      <c r="J1129" s="2"/>
    </row>
    <row r="1130" spans="3:10" x14ac:dyDescent="0.3">
      <c r="C1130" s="2"/>
      <c r="D1130" s="2"/>
      <c r="J1130" s="2"/>
    </row>
    <row r="1131" spans="3:10" x14ac:dyDescent="0.3">
      <c r="C1131" s="2"/>
      <c r="D1131" s="2"/>
      <c r="J1131" s="2"/>
    </row>
    <row r="1132" spans="3:10" x14ac:dyDescent="0.3">
      <c r="C1132" s="2"/>
      <c r="D1132" s="2"/>
      <c r="J1132" s="2"/>
    </row>
    <row r="1133" spans="3:10" x14ac:dyDescent="0.3">
      <c r="C1133" s="2"/>
      <c r="D1133" s="2"/>
      <c r="J1133" s="2"/>
    </row>
    <row r="1134" spans="3:10" x14ac:dyDescent="0.3">
      <c r="C1134" s="2"/>
      <c r="D1134" s="2"/>
      <c r="J1134" s="2"/>
    </row>
    <row r="1135" spans="3:10" x14ac:dyDescent="0.3">
      <c r="C1135" s="2"/>
      <c r="D1135" s="2"/>
      <c r="J1135" s="2"/>
    </row>
    <row r="1136" spans="3:10" x14ac:dyDescent="0.3">
      <c r="C1136" s="2"/>
      <c r="D1136" s="2"/>
      <c r="J1136" s="2"/>
    </row>
    <row r="1137" spans="3:10" x14ac:dyDescent="0.3">
      <c r="C1137" s="2"/>
      <c r="D1137" s="2"/>
      <c r="J1137" s="2"/>
    </row>
    <row r="1138" spans="3:10" x14ac:dyDescent="0.3">
      <c r="C1138" s="2"/>
      <c r="D1138" s="2"/>
      <c r="J1138" s="2"/>
    </row>
    <row r="1139" spans="3:10" x14ac:dyDescent="0.3">
      <c r="C1139" s="2"/>
      <c r="D1139" s="2"/>
      <c r="J1139" s="2"/>
    </row>
    <row r="1140" spans="3:10" x14ac:dyDescent="0.3">
      <c r="C1140" s="2"/>
      <c r="D1140" s="2"/>
      <c r="J1140" s="2"/>
    </row>
    <row r="1141" spans="3:10" x14ac:dyDescent="0.3">
      <c r="C1141" s="2"/>
      <c r="D1141" s="2"/>
      <c r="J1141" s="2"/>
    </row>
    <row r="1142" spans="3:10" x14ac:dyDescent="0.3">
      <c r="C1142" s="2"/>
      <c r="D1142" s="2"/>
      <c r="J1142" s="2"/>
    </row>
    <row r="1143" spans="3:10" x14ac:dyDescent="0.3">
      <c r="C1143" s="2"/>
      <c r="D1143" s="2"/>
      <c r="J1143" s="2"/>
    </row>
    <row r="1144" spans="3:10" x14ac:dyDescent="0.3">
      <c r="C1144" s="2"/>
      <c r="D1144" s="2"/>
      <c r="J1144" s="2"/>
    </row>
    <row r="1145" spans="3:10" x14ac:dyDescent="0.3">
      <c r="C1145" s="2"/>
      <c r="D1145" s="2"/>
      <c r="J1145" s="2"/>
    </row>
    <row r="1146" spans="3:10" x14ac:dyDescent="0.3">
      <c r="C1146" s="2"/>
      <c r="D1146" s="2"/>
      <c r="J1146" s="2"/>
    </row>
    <row r="1147" spans="3:10" x14ac:dyDescent="0.3">
      <c r="C1147" s="2"/>
      <c r="D1147" s="2"/>
      <c r="J1147" s="2"/>
    </row>
    <row r="1148" spans="3:10" x14ac:dyDescent="0.3">
      <c r="C1148" s="2"/>
      <c r="D1148" s="2"/>
      <c r="J1148" s="2"/>
    </row>
    <row r="1149" spans="3:10" x14ac:dyDescent="0.3">
      <c r="C1149" s="2"/>
      <c r="D1149" s="2"/>
      <c r="J1149" s="2"/>
    </row>
    <row r="1150" spans="3:10" x14ac:dyDescent="0.3">
      <c r="C1150" s="2"/>
      <c r="D1150" s="2"/>
      <c r="J1150" s="2"/>
    </row>
    <row r="1151" spans="3:10" x14ac:dyDescent="0.3">
      <c r="C1151" s="2"/>
      <c r="D1151" s="2"/>
      <c r="J1151" s="2"/>
    </row>
    <row r="1152" spans="3:10" x14ac:dyDescent="0.3">
      <c r="C1152" s="2"/>
      <c r="D1152" s="2"/>
      <c r="J1152" s="2"/>
    </row>
    <row r="1153" spans="3:10" x14ac:dyDescent="0.3">
      <c r="C1153" s="2"/>
      <c r="D1153" s="2"/>
      <c r="J1153" s="2"/>
    </row>
    <row r="1154" spans="3:10" x14ac:dyDescent="0.3">
      <c r="C1154" s="2"/>
      <c r="D1154" s="2"/>
      <c r="J1154" s="2"/>
    </row>
    <row r="1155" spans="3:10" x14ac:dyDescent="0.3">
      <c r="C1155" s="2"/>
      <c r="D1155" s="2"/>
      <c r="J1155" s="2"/>
    </row>
    <row r="1156" spans="3:10" x14ac:dyDescent="0.3">
      <c r="C1156" s="2"/>
      <c r="D1156" s="2"/>
      <c r="J1156" s="2"/>
    </row>
    <row r="1157" spans="3:10" x14ac:dyDescent="0.3">
      <c r="C1157" s="2"/>
      <c r="D1157" s="2"/>
      <c r="J1157" s="2"/>
    </row>
    <row r="1158" spans="3:10" x14ac:dyDescent="0.3">
      <c r="C1158" s="2"/>
      <c r="D1158" s="2"/>
      <c r="J1158" s="2"/>
    </row>
    <row r="1159" spans="3:10" x14ac:dyDescent="0.3">
      <c r="C1159" s="2"/>
      <c r="D1159" s="2"/>
      <c r="J1159" s="2"/>
    </row>
    <row r="1160" spans="3:10" x14ac:dyDescent="0.3">
      <c r="C1160" s="2"/>
      <c r="D1160" s="2"/>
      <c r="J1160" s="2"/>
    </row>
    <row r="1161" spans="3:10" x14ac:dyDescent="0.3">
      <c r="C1161" s="2"/>
      <c r="D1161" s="2"/>
      <c r="J1161" s="2"/>
    </row>
    <row r="1162" spans="3:10" x14ac:dyDescent="0.3">
      <c r="C1162" s="2"/>
      <c r="D1162" s="2"/>
      <c r="J1162" s="2"/>
    </row>
    <row r="1163" spans="3:10" x14ac:dyDescent="0.3">
      <c r="C1163" s="2"/>
      <c r="D1163" s="2"/>
      <c r="J1163" s="2"/>
    </row>
    <row r="1164" spans="3:10" x14ac:dyDescent="0.3">
      <c r="C1164" s="2"/>
      <c r="D1164" s="2"/>
      <c r="J1164" s="2"/>
    </row>
    <row r="1165" spans="3:10" x14ac:dyDescent="0.3">
      <c r="C1165" s="2"/>
      <c r="D1165" s="2"/>
      <c r="J1165" s="2"/>
    </row>
    <row r="1166" spans="3:10" x14ac:dyDescent="0.3">
      <c r="C1166" s="2"/>
      <c r="D1166" s="2"/>
      <c r="J1166" s="2"/>
    </row>
    <row r="1167" spans="3:10" x14ac:dyDescent="0.3">
      <c r="C1167" s="2"/>
      <c r="D1167" s="2"/>
      <c r="J1167" s="2"/>
    </row>
    <row r="1168" spans="3:10" x14ac:dyDescent="0.3">
      <c r="C1168" s="2"/>
      <c r="D1168" s="2"/>
      <c r="J1168" s="2"/>
    </row>
    <row r="1169" spans="3:10" x14ac:dyDescent="0.3">
      <c r="C1169" s="2"/>
      <c r="D1169" s="2"/>
      <c r="J1169" s="2"/>
    </row>
    <row r="1170" spans="3:10" x14ac:dyDescent="0.3">
      <c r="C1170" s="2"/>
      <c r="D1170" s="2"/>
      <c r="J1170" s="2"/>
    </row>
    <row r="1171" spans="3:10" x14ac:dyDescent="0.3">
      <c r="C1171" s="2"/>
      <c r="D1171" s="2"/>
      <c r="J1171" s="2"/>
    </row>
    <row r="1172" spans="3:10" x14ac:dyDescent="0.3">
      <c r="C1172" s="2"/>
      <c r="D1172" s="2"/>
      <c r="J1172" s="2"/>
    </row>
    <row r="1173" spans="3:10" x14ac:dyDescent="0.3">
      <c r="C1173" s="2"/>
      <c r="D1173" s="2"/>
      <c r="J1173" s="2"/>
    </row>
    <row r="1174" spans="3:10" x14ac:dyDescent="0.3">
      <c r="C1174" s="2"/>
      <c r="D1174" s="2"/>
      <c r="J1174" s="2"/>
    </row>
    <row r="1175" spans="3:10" x14ac:dyDescent="0.3">
      <c r="C1175" s="2"/>
      <c r="D1175" s="2"/>
      <c r="J1175" s="2"/>
    </row>
    <row r="1176" spans="3:10" x14ac:dyDescent="0.3">
      <c r="C1176" s="2"/>
      <c r="D1176" s="2"/>
      <c r="J1176" s="2"/>
    </row>
    <row r="1177" spans="3:10" x14ac:dyDescent="0.3">
      <c r="C1177" s="2"/>
      <c r="D1177" s="2"/>
      <c r="J1177" s="2"/>
    </row>
    <row r="1178" spans="3:10" x14ac:dyDescent="0.3">
      <c r="C1178" s="2"/>
      <c r="D1178" s="2"/>
      <c r="J1178" s="2"/>
    </row>
    <row r="1179" spans="3:10" x14ac:dyDescent="0.3">
      <c r="C1179" s="2"/>
      <c r="D1179" s="2"/>
      <c r="J1179" s="2"/>
    </row>
    <row r="1180" spans="3:10" x14ac:dyDescent="0.3">
      <c r="C1180" s="2"/>
      <c r="D1180" s="2"/>
      <c r="J1180" s="2"/>
    </row>
    <row r="1181" spans="3:10" x14ac:dyDescent="0.3">
      <c r="C1181" s="2"/>
      <c r="D1181" s="2"/>
      <c r="J1181" s="2"/>
    </row>
    <row r="1182" spans="3:10" x14ac:dyDescent="0.3">
      <c r="C1182" s="2"/>
      <c r="D1182" s="2"/>
      <c r="J1182" s="2"/>
    </row>
    <row r="1183" spans="3:10" x14ac:dyDescent="0.3">
      <c r="C1183" s="2"/>
      <c r="D1183" s="2"/>
      <c r="J1183" s="2"/>
    </row>
    <row r="1184" spans="3:10" x14ac:dyDescent="0.3">
      <c r="C1184" s="2"/>
      <c r="D1184" s="2"/>
      <c r="J1184" s="2"/>
    </row>
    <row r="1185" spans="3:10" x14ac:dyDescent="0.3">
      <c r="C1185" s="2"/>
      <c r="D1185" s="2"/>
      <c r="J1185" s="2"/>
    </row>
    <row r="1186" spans="3:10" x14ac:dyDescent="0.3">
      <c r="C1186" s="2"/>
      <c r="D1186" s="2"/>
      <c r="J1186" s="2"/>
    </row>
    <row r="1187" spans="3:10" x14ac:dyDescent="0.3">
      <c r="C1187" s="2"/>
      <c r="D1187" s="2"/>
      <c r="J1187" s="2"/>
    </row>
    <row r="1188" spans="3:10" x14ac:dyDescent="0.3">
      <c r="C1188" s="2"/>
      <c r="D1188" s="2"/>
      <c r="J1188" s="2"/>
    </row>
    <row r="1189" spans="3:10" x14ac:dyDescent="0.3">
      <c r="C1189" s="2"/>
      <c r="D1189" s="2"/>
      <c r="J1189" s="2"/>
    </row>
    <row r="1190" spans="3:10" x14ac:dyDescent="0.3">
      <c r="C1190" s="2"/>
      <c r="D1190" s="2"/>
      <c r="J1190" s="2"/>
    </row>
    <row r="1191" spans="3:10" x14ac:dyDescent="0.3">
      <c r="C1191" s="2"/>
      <c r="D1191" s="2"/>
      <c r="J1191" s="2"/>
    </row>
    <row r="1192" spans="3:10" x14ac:dyDescent="0.3">
      <c r="C1192" s="2"/>
      <c r="D1192" s="2"/>
      <c r="J1192" s="2"/>
    </row>
    <row r="1193" spans="3:10" x14ac:dyDescent="0.3">
      <c r="C1193" s="2"/>
      <c r="D1193" s="2"/>
      <c r="J1193" s="2"/>
    </row>
    <row r="1194" spans="3:10" x14ac:dyDescent="0.3">
      <c r="C1194" s="2"/>
      <c r="D1194" s="2"/>
      <c r="J1194" s="2"/>
    </row>
    <row r="1195" spans="3:10" x14ac:dyDescent="0.3">
      <c r="C1195" s="2"/>
      <c r="D1195" s="2"/>
      <c r="J1195" s="2"/>
    </row>
    <row r="1196" spans="3:10" x14ac:dyDescent="0.3">
      <c r="C1196" s="2"/>
      <c r="D1196" s="2"/>
      <c r="J1196" s="2"/>
    </row>
    <row r="1197" spans="3:10" x14ac:dyDescent="0.3">
      <c r="C1197" s="2"/>
      <c r="D1197" s="2"/>
      <c r="J1197" s="2"/>
    </row>
    <row r="1198" spans="3:10" x14ac:dyDescent="0.3">
      <c r="C1198" s="2"/>
      <c r="D1198" s="2"/>
      <c r="J1198" s="2"/>
    </row>
    <row r="1199" spans="3:10" x14ac:dyDescent="0.3">
      <c r="C1199" s="2"/>
      <c r="D1199" s="2"/>
      <c r="J1199" s="2"/>
    </row>
    <row r="1200" spans="3:10" x14ac:dyDescent="0.3">
      <c r="C1200" s="2"/>
      <c r="D1200" s="2"/>
      <c r="J1200" s="2"/>
    </row>
    <row r="1201" spans="3:10" x14ac:dyDescent="0.3">
      <c r="C1201" s="2"/>
      <c r="D1201" s="2"/>
      <c r="J1201" s="2"/>
    </row>
    <row r="1202" spans="3:10" x14ac:dyDescent="0.3">
      <c r="C1202" s="2"/>
      <c r="D1202" s="2"/>
      <c r="J1202" s="2"/>
    </row>
    <row r="1203" spans="3:10" x14ac:dyDescent="0.3">
      <c r="C1203" s="2"/>
      <c r="D1203" s="2"/>
      <c r="J1203" s="2"/>
    </row>
    <row r="1204" spans="3:10" x14ac:dyDescent="0.3">
      <c r="C1204" s="2"/>
      <c r="D1204" s="2"/>
      <c r="J1204" s="2"/>
    </row>
    <row r="1205" spans="3:10" x14ac:dyDescent="0.3">
      <c r="C1205" s="2"/>
      <c r="D1205" s="2"/>
      <c r="J1205" s="2"/>
    </row>
    <row r="1206" spans="3:10" x14ac:dyDescent="0.3">
      <c r="C1206" s="2"/>
      <c r="D1206" s="2"/>
      <c r="J1206" s="2"/>
    </row>
    <row r="1207" spans="3:10" x14ac:dyDescent="0.3">
      <c r="C1207" s="2"/>
      <c r="D1207" s="2"/>
      <c r="J1207" s="2"/>
    </row>
    <row r="1208" spans="3:10" x14ac:dyDescent="0.3">
      <c r="C1208" s="2"/>
      <c r="D1208" s="2"/>
      <c r="J1208" s="2"/>
    </row>
    <row r="1209" spans="3:10" x14ac:dyDescent="0.3">
      <c r="C1209" s="2"/>
      <c r="D1209" s="2"/>
      <c r="J1209" s="2"/>
    </row>
    <row r="1210" spans="3:10" x14ac:dyDescent="0.3">
      <c r="C1210" s="2"/>
      <c r="D1210" s="2"/>
      <c r="J1210" s="2"/>
    </row>
    <row r="1211" spans="3:10" x14ac:dyDescent="0.3">
      <c r="C1211" s="2"/>
      <c r="D1211" s="2"/>
      <c r="J1211" s="2"/>
    </row>
    <row r="1212" spans="3:10" x14ac:dyDescent="0.3">
      <c r="C1212" s="2"/>
      <c r="D1212" s="2"/>
      <c r="J1212" s="2"/>
    </row>
    <row r="1213" spans="3:10" x14ac:dyDescent="0.3">
      <c r="C1213" s="2"/>
      <c r="D1213" s="2"/>
      <c r="J1213" s="2"/>
    </row>
    <row r="1214" spans="3:10" x14ac:dyDescent="0.3">
      <c r="C1214" s="2"/>
      <c r="D1214" s="2"/>
      <c r="J1214" s="2"/>
    </row>
    <row r="1215" spans="3:10" x14ac:dyDescent="0.3">
      <c r="C1215" s="2"/>
      <c r="D1215" s="2"/>
      <c r="J1215" s="2"/>
    </row>
    <row r="1216" spans="3:10" x14ac:dyDescent="0.3">
      <c r="C1216" s="2"/>
      <c r="D1216" s="2"/>
      <c r="J1216" s="2"/>
    </row>
    <row r="1217" spans="3:10" x14ac:dyDescent="0.3">
      <c r="C1217" s="2"/>
      <c r="D1217" s="2"/>
      <c r="J1217" s="2"/>
    </row>
    <row r="1218" spans="3:10" x14ac:dyDescent="0.3">
      <c r="C1218" s="2"/>
      <c r="D1218" s="2"/>
      <c r="J1218" s="2"/>
    </row>
    <row r="1219" spans="3:10" x14ac:dyDescent="0.3">
      <c r="C1219" s="2"/>
      <c r="D1219" s="2"/>
      <c r="J1219" s="2"/>
    </row>
    <row r="1220" spans="3:10" x14ac:dyDescent="0.3">
      <c r="C1220" s="2"/>
      <c r="D1220" s="2"/>
      <c r="J1220" s="2"/>
    </row>
    <row r="1221" spans="3:10" x14ac:dyDescent="0.3">
      <c r="C1221" s="2"/>
      <c r="D1221" s="2"/>
      <c r="J1221" s="2"/>
    </row>
    <row r="1222" spans="3:10" x14ac:dyDescent="0.3">
      <c r="C1222" s="2"/>
      <c r="D1222" s="2"/>
      <c r="J1222" s="2"/>
    </row>
    <row r="1223" spans="3:10" x14ac:dyDescent="0.3">
      <c r="C1223" s="2"/>
      <c r="D1223" s="2"/>
      <c r="J1223" s="2"/>
    </row>
    <row r="1224" spans="3:10" x14ac:dyDescent="0.3">
      <c r="C1224" s="2"/>
      <c r="D1224" s="2"/>
      <c r="J1224" s="2"/>
    </row>
    <row r="1225" spans="3:10" x14ac:dyDescent="0.3">
      <c r="C1225" s="2"/>
      <c r="D1225" s="2"/>
      <c r="J1225" s="2"/>
    </row>
    <row r="1226" spans="3:10" x14ac:dyDescent="0.3">
      <c r="C1226" s="2"/>
      <c r="D1226" s="2"/>
      <c r="J1226" s="2"/>
    </row>
    <row r="1227" spans="3:10" x14ac:dyDescent="0.3">
      <c r="C1227" s="2"/>
      <c r="D1227" s="2"/>
      <c r="J1227" s="2"/>
    </row>
    <row r="1228" spans="3:10" x14ac:dyDescent="0.3">
      <c r="C1228" s="2"/>
      <c r="D1228" s="2"/>
      <c r="J1228" s="2"/>
    </row>
    <row r="1229" spans="3:10" x14ac:dyDescent="0.3">
      <c r="C1229" s="2"/>
      <c r="D1229" s="2"/>
      <c r="J1229" s="2"/>
    </row>
    <row r="1230" spans="3:10" x14ac:dyDescent="0.3">
      <c r="C1230" s="2"/>
      <c r="D1230" s="2"/>
      <c r="J1230" s="2"/>
    </row>
    <row r="1231" spans="3:10" x14ac:dyDescent="0.3">
      <c r="C1231" s="2"/>
      <c r="D1231" s="2"/>
      <c r="J1231" s="2"/>
    </row>
    <row r="1232" spans="3:10" x14ac:dyDescent="0.3">
      <c r="C1232" s="2"/>
      <c r="D1232" s="2"/>
      <c r="J1232" s="2"/>
    </row>
    <row r="1233" spans="3:10" x14ac:dyDescent="0.3">
      <c r="C1233" s="2"/>
      <c r="D1233" s="2"/>
      <c r="J1233" s="2"/>
    </row>
    <row r="1234" spans="3:10" x14ac:dyDescent="0.3">
      <c r="C1234" s="2"/>
      <c r="D1234" s="2"/>
      <c r="J1234" s="2"/>
    </row>
    <row r="1235" spans="3:10" x14ac:dyDescent="0.3">
      <c r="C1235" s="2"/>
      <c r="D1235" s="2"/>
      <c r="J1235" s="2"/>
    </row>
    <row r="1236" spans="3:10" x14ac:dyDescent="0.3">
      <c r="C1236" s="2"/>
      <c r="D1236" s="2"/>
      <c r="J1236" s="2"/>
    </row>
    <row r="1237" spans="3:10" x14ac:dyDescent="0.3">
      <c r="C1237" s="2"/>
      <c r="D1237" s="2"/>
      <c r="J1237" s="2"/>
    </row>
    <row r="1238" spans="3:10" x14ac:dyDescent="0.3">
      <c r="C1238" s="2"/>
      <c r="D1238" s="2"/>
      <c r="J1238" s="2"/>
    </row>
    <row r="1239" spans="3:10" x14ac:dyDescent="0.3">
      <c r="C1239" s="2"/>
      <c r="D1239" s="2"/>
      <c r="J1239" s="2"/>
    </row>
    <row r="1240" spans="3:10" x14ac:dyDescent="0.3">
      <c r="C1240" s="2"/>
      <c r="D1240" s="2"/>
      <c r="J1240" s="2"/>
    </row>
    <row r="1241" spans="3:10" x14ac:dyDescent="0.3">
      <c r="C1241" s="2"/>
      <c r="D1241" s="2"/>
      <c r="J1241" s="2"/>
    </row>
    <row r="1242" spans="3:10" x14ac:dyDescent="0.3">
      <c r="C1242" s="2"/>
      <c r="D1242" s="2"/>
      <c r="J1242" s="2"/>
    </row>
    <row r="1243" spans="3:10" x14ac:dyDescent="0.3">
      <c r="C1243" s="2"/>
      <c r="D1243" s="2"/>
      <c r="J1243" s="2"/>
    </row>
    <row r="1244" spans="3:10" x14ac:dyDescent="0.3">
      <c r="C1244" s="2"/>
      <c r="D1244" s="2"/>
      <c r="J1244" s="2"/>
    </row>
    <row r="1245" spans="3:10" x14ac:dyDescent="0.3">
      <c r="C1245" s="2"/>
      <c r="D1245" s="2"/>
      <c r="J1245" s="2"/>
    </row>
    <row r="1246" spans="3:10" x14ac:dyDescent="0.3">
      <c r="C1246" s="2"/>
      <c r="D1246" s="2"/>
      <c r="J1246" s="2"/>
    </row>
    <row r="1247" spans="3:10" x14ac:dyDescent="0.3">
      <c r="C1247" s="2"/>
      <c r="D1247" s="2"/>
      <c r="J1247" s="2"/>
    </row>
    <row r="1248" spans="3:10" x14ac:dyDescent="0.3">
      <c r="C1248" s="2"/>
      <c r="D1248" s="2"/>
      <c r="J1248" s="2"/>
    </row>
    <row r="1249" spans="3:10" x14ac:dyDescent="0.3">
      <c r="C1249" s="2"/>
      <c r="D1249" s="2"/>
      <c r="J1249" s="2"/>
    </row>
    <row r="1250" spans="3:10" x14ac:dyDescent="0.3">
      <c r="C1250" s="2"/>
      <c r="D1250" s="2"/>
      <c r="J1250" s="2"/>
    </row>
    <row r="1251" spans="3:10" x14ac:dyDescent="0.3">
      <c r="C1251" s="2"/>
      <c r="D1251" s="2"/>
      <c r="J1251" s="2"/>
    </row>
    <row r="1252" spans="3:10" x14ac:dyDescent="0.3">
      <c r="C1252" s="2"/>
      <c r="D1252" s="2"/>
      <c r="J1252" s="2"/>
    </row>
    <row r="1253" spans="3:10" x14ac:dyDescent="0.3">
      <c r="C1253" s="2"/>
      <c r="D1253" s="2"/>
      <c r="J1253" s="2"/>
    </row>
    <row r="1254" spans="3:10" x14ac:dyDescent="0.3">
      <c r="C1254" s="2"/>
      <c r="D1254" s="2"/>
      <c r="J1254" s="2"/>
    </row>
    <row r="1255" spans="3:10" x14ac:dyDescent="0.3">
      <c r="C1255" s="2"/>
      <c r="D1255" s="2"/>
      <c r="J1255" s="2"/>
    </row>
    <row r="1256" spans="3:10" x14ac:dyDescent="0.3">
      <c r="C1256" s="2"/>
      <c r="D1256" s="2"/>
      <c r="J1256" s="2"/>
    </row>
    <row r="1257" spans="3:10" x14ac:dyDescent="0.3">
      <c r="C1257" s="2"/>
      <c r="D1257" s="2"/>
      <c r="J1257" s="2"/>
    </row>
    <row r="1258" spans="3:10" x14ac:dyDescent="0.3">
      <c r="C1258" s="2"/>
      <c r="D1258" s="2"/>
      <c r="J1258" s="2"/>
    </row>
    <row r="1259" spans="3:10" x14ac:dyDescent="0.3">
      <c r="C1259" s="2"/>
      <c r="D1259" s="2"/>
      <c r="J1259" s="2"/>
    </row>
    <row r="1260" spans="3:10" x14ac:dyDescent="0.3">
      <c r="C1260" s="2"/>
      <c r="D1260" s="2"/>
      <c r="J1260" s="2"/>
    </row>
    <row r="1261" spans="3:10" x14ac:dyDescent="0.3">
      <c r="C1261" s="2"/>
      <c r="D1261" s="2"/>
      <c r="J1261" s="2"/>
    </row>
    <row r="1262" spans="3:10" x14ac:dyDescent="0.3">
      <c r="C1262" s="2"/>
      <c r="D1262" s="2"/>
      <c r="J1262" s="2"/>
    </row>
    <row r="1263" spans="3:10" x14ac:dyDescent="0.3">
      <c r="C1263" s="2"/>
      <c r="D1263" s="2"/>
      <c r="J1263" s="2"/>
    </row>
    <row r="1264" spans="3:10" x14ac:dyDescent="0.3">
      <c r="C1264" s="2"/>
      <c r="D1264" s="2"/>
      <c r="J1264" s="2"/>
    </row>
    <row r="1265" spans="3:10" x14ac:dyDescent="0.3">
      <c r="C1265" s="2"/>
      <c r="D1265" s="2"/>
      <c r="J1265" s="2"/>
    </row>
    <row r="1266" spans="3:10" x14ac:dyDescent="0.3">
      <c r="C1266" s="2"/>
      <c r="D1266" s="2"/>
      <c r="J1266" s="2"/>
    </row>
    <row r="1267" spans="3:10" x14ac:dyDescent="0.3">
      <c r="C1267" s="2"/>
      <c r="D1267" s="2"/>
      <c r="J1267" s="2"/>
    </row>
    <row r="1268" spans="3:10" x14ac:dyDescent="0.3">
      <c r="C1268" s="2"/>
      <c r="D1268" s="2"/>
      <c r="J1268" s="2"/>
    </row>
    <row r="1269" spans="3:10" x14ac:dyDescent="0.3">
      <c r="C1269" s="2"/>
      <c r="D1269" s="2"/>
      <c r="J1269" s="2"/>
    </row>
    <row r="1270" spans="3:10" x14ac:dyDescent="0.3">
      <c r="C1270" s="2"/>
      <c r="D1270" s="2"/>
      <c r="J1270" s="2"/>
    </row>
    <row r="1271" spans="3:10" x14ac:dyDescent="0.3">
      <c r="C1271" s="2"/>
      <c r="D1271" s="2"/>
      <c r="J1271" s="2"/>
    </row>
    <row r="1272" spans="3:10" x14ac:dyDescent="0.3">
      <c r="C1272" s="2"/>
      <c r="D1272" s="2"/>
      <c r="J1272" s="2"/>
    </row>
    <row r="1273" spans="3:10" x14ac:dyDescent="0.3">
      <c r="C1273" s="2"/>
      <c r="D1273" s="2"/>
      <c r="J1273" s="2"/>
    </row>
    <row r="1274" spans="3:10" x14ac:dyDescent="0.3">
      <c r="C1274" s="2"/>
      <c r="D1274" s="2"/>
      <c r="J1274" s="2"/>
    </row>
    <row r="1275" spans="3:10" x14ac:dyDescent="0.3">
      <c r="C1275" s="2"/>
      <c r="D1275" s="2"/>
      <c r="J1275" s="2"/>
    </row>
    <row r="1276" spans="3:10" x14ac:dyDescent="0.3">
      <c r="C1276" s="2"/>
      <c r="D1276" s="2"/>
      <c r="J1276" s="2"/>
    </row>
    <row r="1277" spans="3:10" x14ac:dyDescent="0.3">
      <c r="C1277" s="2"/>
      <c r="D1277" s="2"/>
      <c r="J1277" s="2"/>
    </row>
    <row r="1278" spans="3:10" x14ac:dyDescent="0.3">
      <c r="C1278" s="2"/>
      <c r="D1278" s="2"/>
      <c r="J1278" s="2"/>
    </row>
    <row r="1279" spans="3:10" x14ac:dyDescent="0.3">
      <c r="C1279" s="2"/>
      <c r="D1279" s="2"/>
      <c r="J1279" s="2"/>
    </row>
    <row r="1280" spans="3:10" x14ac:dyDescent="0.3">
      <c r="C1280" s="2"/>
      <c r="D1280" s="2"/>
      <c r="J1280" s="2"/>
    </row>
    <row r="1281" spans="3:10" x14ac:dyDescent="0.3">
      <c r="C1281" s="2"/>
      <c r="D1281" s="2"/>
      <c r="J1281" s="2"/>
    </row>
    <row r="1282" spans="3:10" x14ac:dyDescent="0.3">
      <c r="C1282" s="2"/>
      <c r="D1282" s="2"/>
      <c r="J1282" s="2"/>
    </row>
    <row r="1283" spans="3:10" x14ac:dyDescent="0.3">
      <c r="C1283" s="2"/>
      <c r="D1283" s="2"/>
      <c r="J1283" s="2"/>
    </row>
    <row r="1284" spans="3:10" x14ac:dyDescent="0.3">
      <c r="C1284" s="2"/>
      <c r="D1284" s="2"/>
      <c r="J1284" s="2"/>
    </row>
    <row r="1285" spans="3:10" x14ac:dyDescent="0.3">
      <c r="C1285" s="2"/>
      <c r="D1285" s="2"/>
      <c r="J1285" s="2"/>
    </row>
    <row r="1286" spans="3:10" x14ac:dyDescent="0.3">
      <c r="C1286" s="2"/>
      <c r="D1286" s="2"/>
      <c r="J1286" s="2"/>
    </row>
    <row r="1287" spans="3:10" x14ac:dyDescent="0.3">
      <c r="C1287" s="2"/>
      <c r="D1287" s="2"/>
      <c r="J1287" s="2"/>
    </row>
    <row r="1288" spans="3:10" x14ac:dyDescent="0.3">
      <c r="C1288" s="2"/>
      <c r="D1288" s="2"/>
      <c r="J1288" s="2"/>
    </row>
    <row r="1289" spans="3:10" x14ac:dyDescent="0.3">
      <c r="C1289" s="2"/>
      <c r="D1289" s="2"/>
      <c r="J1289" s="2"/>
    </row>
    <row r="1290" spans="3:10" x14ac:dyDescent="0.3">
      <c r="C1290" s="2"/>
      <c r="D1290" s="2"/>
      <c r="J1290" s="2"/>
    </row>
    <row r="1291" spans="3:10" x14ac:dyDescent="0.3">
      <c r="C1291" s="2"/>
      <c r="D1291" s="2"/>
      <c r="J1291" s="2"/>
    </row>
    <row r="1292" spans="3:10" x14ac:dyDescent="0.3">
      <c r="C1292" s="2"/>
      <c r="D1292" s="2"/>
      <c r="J1292" s="2"/>
    </row>
    <row r="1293" spans="3:10" x14ac:dyDescent="0.3">
      <c r="C1293" s="2"/>
      <c r="D1293" s="2"/>
      <c r="J1293" s="2"/>
    </row>
    <row r="1294" spans="3:10" x14ac:dyDescent="0.3">
      <c r="C1294" s="2"/>
      <c r="D1294" s="2"/>
      <c r="J1294" s="2"/>
    </row>
    <row r="1295" spans="3:10" x14ac:dyDescent="0.3">
      <c r="C1295" s="2"/>
      <c r="D1295" s="2"/>
      <c r="J1295" s="2"/>
    </row>
    <row r="1296" spans="3:10" x14ac:dyDescent="0.3">
      <c r="C1296" s="2"/>
      <c r="D1296" s="2"/>
      <c r="J1296" s="2"/>
    </row>
    <row r="1297" spans="3:10" x14ac:dyDescent="0.3">
      <c r="C1297" s="2"/>
      <c r="D1297" s="2"/>
      <c r="J1297" s="2"/>
    </row>
    <row r="1298" spans="3:10" x14ac:dyDescent="0.3">
      <c r="C1298" s="2"/>
      <c r="D1298" s="2"/>
      <c r="J1298" s="2"/>
    </row>
    <row r="1299" spans="3:10" x14ac:dyDescent="0.3">
      <c r="C1299" s="2"/>
      <c r="D1299" s="2"/>
      <c r="J1299" s="2"/>
    </row>
    <row r="1300" spans="3:10" x14ac:dyDescent="0.3">
      <c r="C1300" s="2"/>
      <c r="D1300" s="2"/>
      <c r="J1300" s="2"/>
    </row>
    <row r="1301" spans="3:10" x14ac:dyDescent="0.3">
      <c r="C1301" s="2"/>
      <c r="D1301" s="2"/>
      <c r="J1301" s="2"/>
    </row>
    <row r="1302" spans="3:10" x14ac:dyDescent="0.3">
      <c r="C1302" s="2"/>
      <c r="D1302" s="2"/>
      <c r="J1302" s="2"/>
    </row>
    <row r="1303" spans="3:10" x14ac:dyDescent="0.3">
      <c r="C1303" s="2"/>
      <c r="D1303" s="2"/>
      <c r="J1303" s="2"/>
    </row>
    <row r="1304" spans="3:10" x14ac:dyDescent="0.3">
      <c r="C1304" s="2"/>
      <c r="D1304" s="2"/>
      <c r="J1304" s="2"/>
    </row>
    <row r="1305" spans="3:10" x14ac:dyDescent="0.3">
      <c r="C1305" s="2"/>
      <c r="D1305" s="2"/>
      <c r="J1305" s="2"/>
    </row>
    <row r="1306" spans="3:10" x14ac:dyDescent="0.3">
      <c r="C1306" s="2"/>
      <c r="D1306" s="2"/>
      <c r="J1306" s="2"/>
    </row>
    <row r="1307" spans="3:10" x14ac:dyDescent="0.3">
      <c r="C1307" s="2"/>
      <c r="D1307" s="2"/>
      <c r="J1307" s="2"/>
    </row>
    <row r="1308" spans="3:10" x14ac:dyDescent="0.3">
      <c r="C1308" s="2"/>
      <c r="D1308" s="2"/>
      <c r="J1308" s="2"/>
    </row>
    <row r="1309" spans="3:10" x14ac:dyDescent="0.3">
      <c r="C1309" s="2"/>
      <c r="D1309" s="2"/>
      <c r="J1309" s="2"/>
    </row>
    <row r="1310" spans="3:10" x14ac:dyDescent="0.3">
      <c r="C1310" s="2"/>
      <c r="D1310" s="2"/>
      <c r="J1310" s="2"/>
    </row>
    <row r="1311" spans="3:10" x14ac:dyDescent="0.3">
      <c r="C1311" s="2"/>
      <c r="D1311" s="2"/>
      <c r="J1311" s="2"/>
    </row>
    <row r="1312" spans="3:10" x14ac:dyDescent="0.3">
      <c r="C1312" s="2"/>
      <c r="D1312" s="2"/>
      <c r="J1312" s="2"/>
    </row>
    <row r="1313" spans="3:10" x14ac:dyDescent="0.3">
      <c r="C1313" s="2"/>
      <c r="D1313" s="2"/>
      <c r="J1313" s="2"/>
    </row>
    <row r="1314" spans="3:10" x14ac:dyDescent="0.3">
      <c r="C1314" s="2"/>
      <c r="D1314" s="2"/>
      <c r="J1314" s="2"/>
    </row>
    <row r="1315" spans="3:10" x14ac:dyDescent="0.3">
      <c r="C1315" s="2"/>
      <c r="D1315" s="2"/>
      <c r="J1315" s="2"/>
    </row>
    <row r="1316" spans="3:10" x14ac:dyDescent="0.3">
      <c r="C1316" s="2"/>
      <c r="D1316" s="2"/>
      <c r="J1316" s="2"/>
    </row>
    <row r="1317" spans="3:10" x14ac:dyDescent="0.3">
      <c r="C1317" s="2"/>
      <c r="D1317" s="2"/>
      <c r="J1317" s="2"/>
    </row>
    <row r="1318" spans="3:10" x14ac:dyDescent="0.3">
      <c r="C1318" s="2"/>
      <c r="D1318" s="2"/>
      <c r="J1318" s="2"/>
    </row>
    <row r="1319" spans="3:10" x14ac:dyDescent="0.3">
      <c r="C1319" s="2"/>
      <c r="D1319" s="2"/>
      <c r="J1319" s="2"/>
    </row>
    <row r="1320" spans="3:10" x14ac:dyDescent="0.3">
      <c r="C1320" s="2"/>
      <c r="D1320" s="2"/>
      <c r="J1320" s="2"/>
    </row>
    <row r="1321" spans="3:10" x14ac:dyDescent="0.3">
      <c r="C1321" s="2"/>
      <c r="D1321" s="2"/>
      <c r="J1321" s="2"/>
    </row>
    <row r="1322" spans="3:10" x14ac:dyDescent="0.3">
      <c r="C1322" s="2"/>
      <c r="D1322" s="2"/>
      <c r="J1322" s="2"/>
    </row>
    <row r="1323" spans="3:10" x14ac:dyDescent="0.3">
      <c r="C1323" s="2"/>
      <c r="D1323" s="2"/>
      <c r="J1323" s="2"/>
    </row>
    <row r="1324" spans="3:10" x14ac:dyDescent="0.3">
      <c r="C1324" s="2"/>
      <c r="D1324" s="2"/>
      <c r="J1324" s="2"/>
    </row>
    <row r="1325" spans="3:10" x14ac:dyDescent="0.3">
      <c r="C1325" s="2"/>
      <c r="D1325" s="2"/>
      <c r="J1325" s="2"/>
    </row>
    <row r="1326" spans="3:10" x14ac:dyDescent="0.3">
      <c r="C1326" s="2"/>
      <c r="D1326" s="2"/>
      <c r="J1326" s="2"/>
    </row>
    <row r="1327" spans="3:10" x14ac:dyDescent="0.3">
      <c r="C1327" s="2"/>
      <c r="D1327" s="2"/>
      <c r="J1327" s="2"/>
    </row>
    <row r="1328" spans="3:10" x14ac:dyDescent="0.3">
      <c r="C1328" s="2"/>
      <c r="D1328" s="2"/>
      <c r="J1328" s="2"/>
    </row>
    <row r="1329" spans="3:10" x14ac:dyDescent="0.3">
      <c r="C1329" s="2"/>
      <c r="D1329" s="2"/>
      <c r="J1329" s="2"/>
    </row>
    <row r="1330" spans="3:10" x14ac:dyDescent="0.3">
      <c r="C1330" s="2"/>
      <c r="D1330" s="2"/>
      <c r="J1330" s="2"/>
    </row>
    <row r="1331" spans="3:10" x14ac:dyDescent="0.3">
      <c r="C1331" s="2"/>
      <c r="D1331" s="2"/>
      <c r="J1331" s="2"/>
    </row>
    <row r="1332" spans="3:10" x14ac:dyDescent="0.3">
      <c r="C1332" s="2"/>
      <c r="D1332" s="2"/>
      <c r="J1332" s="2"/>
    </row>
    <row r="1333" spans="3:10" x14ac:dyDescent="0.3">
      <c r="C1333" s="2"/>
      <c r="D1333" s="2"/>
      <c r="J1333" s="2"/>
    </row>
    <row r="1334" spans="3:10" x14ac:dyDescent="0.3">
      <c r="C1334" s="2"/>
      <c r="D1334" s="2"/>
      <c r="J1334" s="2"/>
    </row>
    <row r="1335" spans="3:10" x14ac:dyDescent="0.3">
      <c r="C1335" s="2"/>
      <c r="D1335" s="2"/>
      <c r="J1335" s="2"/>
    </row>
    <row r="1336" spans="3:10" x14ac:dyDescent="0.3">
      <c r="C1336" s="2"/>
      <c r="D1336" s="2"/>
      <c r="J1336" s="2"/>
    </row>
    <row r="1337" spans="3:10" x14ac:dyDescent="0.3">
      <c r="C1337" s="2"/>
      <c r="D1337" s="2"/>
      <c r="J1337" s="2"/>
    </row>
    <row r="1338" spans="3:10" x14ac:dyDescent="0.3">
      <c r="C1338" s="2"/>
      <c r="D1338" s="2"/>
      <c r="J1338" s="2"/>
    </row>
    <row r="1339" spans="3:10" x14ac:dyDescent="0.3">
      <c r="C1339" s="2"/>
      <c r="D1339" s="2"/>
      <c r="J1339" s="2"/>
    </row>
    <row r="1340" spans="3:10" x14ac:dyDescent="0.3">
      <c r="C1340" s="2"/>
      <c r="D1340" s="2"/>
      <c r="J1340" s="2"/>
    </row>
    <row r="1341" spans="3:10" x14ac:dyDescent="0.3">
      <c r="C1341" s="2"/>
      <c r="D1341" s="2"/>
      <c r="J1341" s="2"/>
    </row>
    <row r="1342" spans="3:10" x14ac:dyDescent="0.3">
      <c r="C1342" s="2"/>
      <c r="D1342" s="2"/>
      <c r="J1342" s="2"/>
    </row>
    <row r="1343" spans="3:10" x14ac:dyDescent="0.3">
      <c r="C1343" s="2"/>
      <c r="D1343" s="2"/>
      <c r="J1343" s="2"/>
    </row>
    <row r="1344" spans="3:10" x14ac:dyDescent="0.3">
      <c r="C1344" s="2"/>
      <c r="D1344" s="2"/>
      <c r="J1344" s="2"/>
    </row>
    <row r="1345" spans="3:10" x14ac:dyDescent="0.3">
      <c r="C1345" s="2"/>
      <c r="D1345" s="2"/>
      <c r="J1345" s="2"/>
    </row>
    <row r="1346" spans="3:10" x14ac:dyDescent="0.3">
      <c r="C1346" s="2"/>
      <c r="D1346" s="2"/>
      <c r="J1346" s="2"/>
    </row>
    <row r="1347" spans="3:10" x14ac:dyDescent="0.3">
      <c r="C1347" s="2"/>
      <c r="D1347" s="2"/>
      <c r="J1347" s="2"/>
    </row>
    <row r="1348" spans="3:10" x14ac:dyDescent="0.3">
      <c r="C1348" s="2"/>
      <c r="D1348" s="2"/>
      <c r="J1348" s="2"/>
    </row>
    <row r="1349" spans="3:10" x14ac:dyDescent="0.3">
      <c r="C1349" s="2"/>
      <c r="D1349" s="2"/>
      <c r="J1349" s="2"/>
    </row>
    <row r="1350" spans="3:10" x14ac:dyDescent="0.3">
      <c r="C1350" s="2"/>
      <c r="D1350" s="2"/>
      <c r="J1350" s="2"/>
    </row>
    <row r="1351" spans="3:10" x14ac:dyDescent="0.3">
      <c r="C1351" s="2"/>
      <c r="D1351" s="2"/>
      <c r="J1351" s="2"/>
    </row>
    <row r="1352" spans="3:10" x14ac:dyDescent="0.3">
      <c r="C1352" s="2"/>
      <c r="D1352" s="2"/>
      <c r="J1352" s="2"/>
    </row>
    <row r="1353" spans="3:10" x14ac:dyDescent="0.3">
      <c r="C1353" s="2"/>
      <c r="D1353" s="2"/>
      <c r="J1353" s="2"/>
    </row>
    <row r="1354" spans="3:10" x14ac:dyDescent="0.3">
      <c r="C1354" s="2"/>
      <c r="D1354" s="2"/>
      <c r="J1354" s="2"/>
    </row>
    <row r="1355" spans="3:10" x14ac:dyDescent="0.3">
      <c r="C1355" s="2"/>
      <c r="D1355" s="2"/>
      <c r="J1355" s="2"/>
    </row>
    <row r="1356" spans="3:10" x14ac:dyDescent="0.3">
      <c r="C1356" s="2"/>
      <c r="D1356" s="2"/>
      <c r="J1356" s="2"/>
    </row>
    <row r="1357" spans="3:10" x14ac:dyDescent="0.3">
      <c r="C1357" s="2"/>
      <c r="D1357" s="2"/>
      <c r="J1357" s="2"/>
    </row>
    <row r="1358" spans="3:10" x14ac:dyDescent="0.3">
      <c r="C1358" s="2"/>
      <c r="D1358" s="2"/>
      <c r="J1358" s="2"/>
    </row>
    <row r="1359" spans="3:10" x14ac:dyDescent="0.3">
      <c r="C1359" s="2"/>
      <c r="D1359" s="2"/>
      <c r="J1359" s="2"/>
    </row>
    <row r="1360" spans="3:10" x14ac:dyDescent="0.3">
      <c r="C1360" s="2"/>
      <c r="D1360" s="2"/>
      <c r="J1360" s="2"/>
    </row>
    <row r="1361" spans="3:10" x14ac:dyDescent="0.3">
      <c r="C1361" s="2"/>
      <c r="D1361" s="2"/>
      <c r="J1361" s="2"/>
    </row>
    <row r="1362" spans="3:10" x14ac:dyDescent="0.3">
      <c r="C1362" s="2"/>
      <c r="D1362" s="2"/>
      <c r="J1362" s="2"/>
    </row>
    <row r="1363" spans="3:10" x14ac:dyDescent="0.3">
      <c r="C1363" s="2"/>
      <c r="D1363" s="2"/>
      <c r="J1363" s="2"/>
    </row>
    <row r="1364" spans="3:10" x14ac:dyDescent="0.3">
      <c r="C1364" s="2"/>
      <c r="D1364" s="2"/>
      <c r="J1364" s="2"/>
    </row>
    <row r="1365" spans="3:10" x14ac:dyDescent="0.3">
      <c r="C1365" s="2"/>
      <c r="D1365" s="2"/>
      <c r="J1365" s="2"/>
    </row>
    <row r="1366" spans="3:10" x14ac:dyDescent="0.3">
      <c r="C1366" s="2"/>
      <c r="D1366" s="2"/>
      <c r="J1366" s="2"/>
    </row>
    <row r="1367" spans="3:10" x14ac:dyDescent="0.3">
      <c r="C1367" s="2"/>
      <c r="D1367" s="2"/>
      <c r="J1367" s="2"/>
    </row>
    <row r="1368" spans="3:10" x14ac:dyDescent="0.3">
      <c r="C1368" s="2"/>
      <c r="D1368" s="2"/>
      <c r="J1368" s="2"/>
    </row>
    <row r="1369" spans="3:10" x14ac:dyDescent="0.3">
      <c r="C1369" s="2"/>
      <c r="D1369" s="2"/>
      <c r="J1369" s="2"/>
    </row>
    <row r="1370" spans="3:10" x14ac:dyDescent="0.3">
      <c r="C1370" s="2"/>
      <c r="D1370" s="2"/>
      <c r="J1370" s="2"/>
    </row>
    <row r="1371" spans="3:10" x14ac:dyDescent="0.3">
      <c r="C1371" s="2"/>
      <c r="D1371" s="2"/>
      <c r="J1371" s="2"/>
    </row>
    <row r="1372" spans="3:10" x14ac:dyDescent="0.3">
      <c r="C1372" s="2"/>
      <c r="D1372" s="2"/>
      <c r="J1372" s="2"/>
    </row>
    <row r="1373" spans="3:10" x14ac:dyDescent="0.3">
      <c r="C1373" s="2"/>
      <c r="D1373" s="2"/>
      <c r="J1373" s="2"/>
    </row>
    <row r="1374" spans="3:10" x14ac:dyDescent="0.3">
      <c r="C1374" s="2"/>
      <c r="D1374" s="2"/>
      <c r="J1374" s="2"/>
    </row>
    <row r="1375" spans="3:10" x14ac:dyDescent="0.3">
      <c r="C1375" s="2"/>
      <c r="D1375" s="2"/>
      <c r="J1375" s="2"/>
    </row>
    <row r="1376" spans="3:10" x14ac:dyDescent="0.3">
      <c r="C1376" s="2"/>
      <c r="D1376" s="2"/>
      <c r="J1376" s="2"/>
    </row>
    <row r="1377" spans="3:10" x14ac:dyDescent="0.3">
      <c r="C1377" s="2"/>
      <c r="D1377" s="2"/>
      <c r="J1377" s="2"/>
    </row>
    <row r="1378" spans="3:10" x14ac:dyDescent="0.3">
      <c r="C1378" s="2"/>
      <c r="D1378" s="2"/>
      <c r="J1378" s="2"/>
    </row>
    <row r="1379" spans="3:10" x14ac:dyDescent="0.3">
      <c r="C1379" s="2"/>
      <c r="D1379" s="2"/>
      <c r="J1379" s="2"/>
    </row>
    <row r="1380" spans="3:10" x14ac:dyDescent="0.3">
      <c r="C1380" s="2"/>
      <c r="D1380" s="2"/>
      <c r="J1380" s="2"/>
    </row>
    <row r="1381" spans="3:10" x14ac:dyDescent="0.3">
      <c r="C1381" s="2"/>
      <c r="D1381" s="2"/>
      <c r="J1381" s="2"/>
    </row>
    <row r="1382" spans="3:10" x14ac:dyDescent="0.3">
      <c r="C1382" s="2"/>
      <c r="D1382" s="2"/>
      <c r="J1382" s="2"/>
    </row>
    <row r="1383" spans="3:10" x14ac:dyDescent="0.3">
      <c r="C1383" s="2"/>
      <c r="D1383" s="2"/>
      <c r="J1383" s="2"/>
    </row>
    <row r="1384" spans="3:10" x14ac:dyDescent="0.3">
      <c r="C1384" s="2"/>
      <c r="D1384" s="2"/>
      <c r="J1384" s="2"/>
    </row>
    <row r="1385" spans="3:10" x14ac:dyDescent="0.3">
      <c r="C1385" s="2"/>
      <c r="D1385" s="2"/>
      <c r="J1385" s="2"/>
    </row>
    <row r="1386" spans="3:10" x14ac:dyDescent="0.3">
      <c r="C1386" s="2"/>
      <c r="D1386" s="2"/>
      <c r="J1386" s="2"/>
    </row>
    <row r="1387" spans="3:10" x14ac:dyDescent="0.3">
      <c r="C1387" s="2"/>
      <c r="D1387" s="2"/>
      <c r="J1387" s="2"/>
    </row>
    <row r="1388" spans="3:10" x14ac:dyDescent="0.3">
      <c r="C1388" s="2"/>
      <c r="D1388" s="2"/>
      <c r="J1388" s="2"/>
    </row>
    <row r="1389" spans="3:10" x14ac:dyDescent="0.3">
      <c r="C1389" s="2"/>
      <c r="D1389" s="2"/>
      <c r="J1389" s="2"/>
    </row>
    <row r="1390" spans="3:10" x14ac:dyDescent="0.3">
      <c r="C1390" s="2"/>
      <c r="D1390" s="2"/>
      <c r="J1390" s="2"/>
    </row>
    <row r="1391" spans="3:10" x14ac:dyDescent="0.3">
      <c r="C1391" s="2"/>
      <c r="D1391" s="2"/>
      <c r="J1391" s="2"/>
    </row>
    <row r="1392" spans="3:10" x14ac:dyDescent="0.3">
      <c r="C1392" s="2"/>
      <c r="D1392" s="2"/>
      <c r="J1392" s="2"/>
    </row>
    <row r="1393" spans="3:10" x14ac:dyDescent="0.3">
      <c r="C1393" s="2"/>
      <c r="D1393" s="2"/>
      <c r="J1393" s="2"/>
    </row>
    <row r="1394" spans="3:10" x14ac:dyDescent="0.3">
      <c r="C1394" s="2"/>
      <c r="D1394" s="2"/>
      <c r="J1394" s="2"/>
    </row>
    <row r="1395" spans="3:10" x14ac:dyDescent="0.3">
      <c r="C1395" s="2"/>
      <c r="D1395" s="2"/>
      <c r="J1395" s="2"/>
    </row>
    <row r="1396" spans="3:10" x14ac:dyDescent="0.3">
      <c r="C1396" s="2"/>
      <c r="D1396" s="2"/>
      <c r="J1396" s="2"/>
    </row>
    <row r="1397" spans="3:10" x14ac:dyDescent="0.3">
      <c r="C1397" s="2"/>
      <c r="D1397" s="2"/>
      <c r="J1397" s="2"/>
    </row>
    <row r="1398" spans="3:10" x14ac:dyDescent="0.3">
      <c r="C1398" s="2"/>
      <c r="D1398" s="2"/>
      <c r="J1398" s="2"/>
    </row>
    <row r="1399" spans="3:10" x14ac:dyDescent="0.3">
      <c r="C1399" s="2"/>
      <c r="D1399" s="2"/>
      <c r="J1399" s="2"/>
    </row>
    <row r="1400" spans="3:10" x14ac:dyDescent="0.3">
      <c r="C1400" s="2"/>
      <c r="D1400" s="2"/>
      <c r="J1400" s="2"/>
    </row>
    <row r="1401" spans="3:10" x14ac:dyDescent="0.3">
      <c r="C1401" s="2"/>
      <c r="D1401" s="2"/>
      <c r="J1401" s="2"/>
    </row>
    <row r="1402" spans="3:10" x14ac:dyDescent="0.3">
      <c r="C1402" s="2"/>
      <c r="D1402" s="2"/>
      <c r="J1402" s="2"/>
    </row>
    <row r="1403" spans="3:10" x14ac:dyDescent="0.3">
      <c r="C1403" s="2"/>
      <c r="D1403" s="2"/>
      <c r="J1403" s="2"/>
    </row>
    <row r="1404" spans="3:10" x14ac:dyDescent="0.3">
      <c r="C1404" s="2"/>
      <c r="D1404" s="2"/>
      <c r="J1404" s="2"/>
    </row>
    <row r="1405" spans="3:10" x14ac:dyDescent="0.3">
      <c r="C1405" s="2"/>
      <c r="D1405" s="2"/>
      <c r="J1405" s="2"/>
    </row>
    <row r="1406" spans="3:10" x14ac:dyDescent="0.3">
      <c r="C1406" s="2"/>
      <c r="D1406" s="2"/>
      <c r="J1406" s="2"/>
    </row>
    <row r="1407" spans="3:10" x14ac:dyDescent="0.3">
      <c r="C1407" s="2"/>
      <c r="D1407" s="2"/>
      <c r="J1407" s="2"/>
    </row>
    <row r="1408" spans="3:10" x14ac:dyDescent="0.3">
      <c r="C1408" s="2"/>
      <c r="D1408" s="2"/>
      <c r="J1408" s="2"/>
    </row>
    <row r="1409" spans="3:10" x14ac:dyDescent="0.3">
      <c r="C1409" s="2"/>
      <c r="D1409" s="2"/>
      <c r="J1409" s="2"/>
    </row>
    <row r="1410" spans="3:10" x14ac:dyDescent="0.3">
      <c r="C1410" s="2"/>
      <c r="D1410" s="2"/>
      <c r="J1410" s="2"/>
    </row>
    <row r="1411" spans="3:10" x14ac:dyDescent="0.3">
      <c r="C1411" s="2"/>
      <c r="D1411" s="2"/>
      <c r="J1411" s="2"/>
    </row>
    <row r="1412" spans="3:10" x14ac:dyDescent="0.3">
      <c r="C1412" s="2"/>
      <c r="D1412" s="2"/>
      <c r="J1412" s="2"/>
    </row>
    <row r="1413" spans="3:10" x14ac:dyDescent="0.3">
      <c r="C1413" s="2"/>
      <c r="D1413" s="2"/>
      <c r="J1413" s="2"/>
    </row>
    <row r="1414" spans="3:10" x14ac:dyDescent="0.3">
      <c r="C1414" s="2"/>
      <c r="D1414" s="2"/>
      <c r="J1414" s="2"/>
    </row>
    <row r="1415" spans="3:10" x14ac:dyDescent="0.3">
      <c r="C1415" s="2"/>
      <c r="D1415" s="2"/>
      <c r="J1415" s="2"/>
    </row>
    <row r="1416" spans="3:10" x14ac:dyDescent="0.3">
      <c r="C1416" s="2"/>
      <c r="D1416" s="2"/>
      <c r="J1416" s="2"/>
    </row>
    <row r="1417" spans="3:10" x14ac:dyDescent="0.3">
      <c r="C1417" s="2"/>
      <c r="D1417" s="2"/>
      <c r="J1417" s="2"/>
    </row>
    <row r="1418" spans="3:10" x14ac:dyDescent="0.3">
      <c r="C1418" s="2"/>
      <c r="D1418" s="2"/>
      <c r="J1418" s="2"/>
    </row>
    <row r="1419" spans="3:10" x14ac:dyDescent="0.3">
      <c r="C1419" s="2"/>
      <c r="D1419" s="2"/>
      <c r="J1419" s="2"/>
    </row>
    <row r="1420" spans="3:10" x14ac:dyDescent="0.3">
      <c r="C1420" s="2"/>
      <c r="D1420" s="2"/>
      <c r="J1420" s="2"/>
    </row>
    <row r="1421" spans="3:10" x14ac:dyDescent="0.3">
      <c r="C1421" s="2"/>
      <c r="D1421" s="2"/>
      <c r="J1421" s="2"/>
    </row>
    <row r="1422" spans="3:10" x14ac:dyDescent="0.3">
      <c r="C1422" s="2"/>
      <c r="D1422" s="2"/>
      <c r="J1422" s="2"/>
    </row>
    <row r="1423" spans="3:10" x14ac:dyDescent="0.3">
      <c r="C1423" s="2"/>
      <c r="D1423" s="2"/>
      <c r="J1423" s="2"/>
    </row>
    <row r="1424" spans="3:10" x14ac:dyDescent="0.3">
      <c r="C1424" s="2"/>
      <c r="D1424" s="2"/>
      <c r="J1424" s="2"/>
    </row>
    <row r="1425" spans="3:10" x14ac:dyDescent="0.3">
      <c r="C1425" s="2"/>
      <c r="D1425" s="2"/>
      <c r="J1425" s="2"/>
    </row>
    <row r="1426" spans="3:10" x14ac:dyDescent="0.3">
      <c r="C1426" s="2"/>
      <c r="D1426" s="2"/>
      <c r="J1426" s="2"/>
    </row>
    <row r="1427" spans="3:10" x14ac:dyDescent="0.3">
      <c r="C1427" s="2"/>
      <c r="D1427" s="2"/>
      <c r="J1427" s="2"/>
    </row>
    <row r="1428" spans="3:10" x14ac:dyDescent="0.3">
      <c r="C1428" s="2"/>
      <c r="D1428" s="2"/>
      <c r="J1428" s="2"/>
    </row>
    <row r="1429" spans="3:10" x14ac:dyDescent="0.3">
      <c r="C1429" s="2"/>
      <c r="D1429" s="2"/>
      <c r="J1429" s="2"/>
    </row>
    <row r="1430" spans="3:10" x14ac:dyDescent="0.3">
      <c r="C1430" s="2"/>
      <c r="D1430" s="2"/>
      <c r="J1430" s="2"/>
    </row>
    <row r="1431" spans="3:10" x14ac:dyDescent="0.3">
      <c r="C1431" s="2"/>
      <c r="D1431" s="2"/>
      <c r="J1431" s="2"/>
    </row>
    <row r="1432" spans="3:10" x14ac:dyDescent="0.3">
      <c r="C1432" s="2"/>
      <c r="D1432" s="2"/>
      <c r="J1432" s="2"/>
    </row>
    <row r="1433" spans="3:10" x14ac:dyDescent="0.3">
      <c r="C1433" s="2"/>
      <c r="D1433" s="2"/>
      <c r="J1433" s="2"/>
    </row>
    <row r="1434" spans="3:10" x14ac:dyDescent="0.3">
      <c r="C1434" s="2"/>
      <c r="D1434" s="2"/>
      <c r="J1434" s="2"/>
    </row>
    <row r="1435" spans="3:10" x14ac:dyDescent="0.3">
      <c r="C1435" s="2"/>
      <c r="D1435" s="2"/>
      <c r="J1435" s="2"/>
    </row>
    <row r="1436" spans="3:10" x14ac:dyDescent="0.3">
      <c r="C1436" s="2"/>
      <c r="D1436" s="2"/>
      <c r="J1436" s="2"/>
    </row>
    <row r="1437" spans="3:10" x14ac:dyDescent="0.3">
      <c r="C1437" s="2"/>
      <c r="D1437" s="2"/>
      <c r="J1437" s="2"/>
    </row>
    <row r="1438" spans="3:10" x14ac:dyDescent="0.3">
      <c r="C1438" s="2"/>
      <c r="D1438" s="2"/>
      <c r="J1438" s="2"/>
    </row>
    <row r="1439" spans="3:10" x14ac:dyDescent="0.3">
      <c r="C1439" s="2"/>
      <c r="D1439" s="2"/>
      <c r="J1439" s="2"/>
    </row>
    <row r="1440" spans="3:10" x14ac:dyDescent="0.3">
      <c r="C1440" s="2"/>
      <c r="D1440" s="2"/>
      <c r="J1440" s="2"/>
    </row>
    <row r="1441" spans="3:10" x14ac:dyDescent="0.3">
      <c r="C1441" s="2"/>
      <c r="D1441" s="2"/>
      <c r="J1441" s="2"/>
    </row>
    <row r="1442" spans="3:10" x14ac:dyDescent="0.3">
      <c r="C1442" s="2"/>
      <c r="D1442" s="2"/>
      <c r="J1442" s="2"/>
    </row>
    <row r="1443" spans="3:10" x14ac:dyDescent="0.3">
      <c r="C1443" s="2"/>
      <c r="D1443" s="2"/>
      <c r="J1443" s="2"/>
    </row>
    <row r="1444" spans="3:10" x14ac:dyDescent="0.3">
      <c r="C1444" s="2"/>
      <c r="D1444" s="2"/>
      <c r="J1444" s="2"/>
    </row>
    <row r="1445" spans="3:10" x14ac:dyDescent="0.3">
      <c r="C1445" s="2"/>
      <c r="D1445" s="2"/>
      <c r="J1445" s="2"/>
    </row>
    <row r="1446" spans="3:10" x14ac:dyDescent="0.3">
      <c r="C1446" s="2"/>
      <c r="D1446" s="2"/>
      <c r="J1446" s="2"/>
    </row>
    <row r="1447" spans="3:10" x14ac:dyDescent="0.3">
      <c r="C1447" s="2"/>
      <c r="D1447" s="2"/>
      <c r="J1447" s="2"/>
    </row>
    <row r="1448" spans="3:10" x14ac:dyDescent="0.3">
      <c r="C1448" s="2"/>
      <c r="D1448" s="2"/>
      <c r="J1448" s="2"/>
    </row>
    <row r="1449" spans="3:10" x14ac:dyDescent="0.3">
      <c r="C1449" s="2"/>
      <c r="D1449" s="2"/>
      <c r="J1449" s="2"/>
    </row>
    <row r="1450" spans="3:10" x14ac:dyDescent="0.3">
      <c r="C1450" s="2"/>
      <c r="D1450" s="2"/>
      <c r="J1450" s="2"/>
    </row>
    <row r="1451" spans="3:10" x14ac:dyDescent="0.3">
      <c r="C1451" s="2"/>
      <c r="D1451" s="2"/>
      <c r="J1451" s="2"/>
    </row>
    <row r="1452" spans="3:10" x14ac:dyDescent="0.3">
      <c r="C1452" s="2"/>
      <c r="D1452" s="2"/>
      <c r="J1452" s="2"/>
    </row>
    <row r="1453" spans="3:10" x14ac:dyDescent="0.3">
      <c r="C1453" s="2"/>
      <c r="D1453" s="2"/>
      <c r="J1453" s="2"/>
    </row>
    <row r="1454" spans="3:10" x14ac:dyDescent="0.3">
      <c r="C1454" s="2"/>
      <c r="D1454" s="2"/>
      <c r="J1454" s="2"/>
    </row>
    <row r="1455" spans="3:10" x14ac:dyDescent="0.3">
      <c r="C1455" s="2"/>
      <c r="D1455" s="2"/>
      <c r="J1455" s="2"/>
    </row>
    <row r="1456" spans="3:10" x14ac:dyDescent="0.3">
      <c r="C1456" s="2"/>
      <c r="D1456" s="2"/>
      <c r="J1456" s="2"/>
    </row>
    <row r="1457" spans="3:10" x14ac:dyDescent="0.3">
      <c r="C1457" s="2"/>
      <c r="D1457" s="2"/>
      <c r="J1457" s="2"/>
    </row>
    <row r="1458" spans="3:10" x14ac:dyDescent="0.3">
      <c r="C1458" s="2"/>
      <c r="D1458" s="2"/>
      <c r="J1458" s="2"/>
    </row>
    <row r="1459" spans="3:10" x14ac:dyDescent="0.3">
      <c r="C1459" s="2"/>
      <c r="D1459" s="2"/>
      <c r="J1459" s="2"/>
    </row>
    <row r="1460" spans="3:10" x14ac:dyDescent="0.3">
      <c r="C1460" s="2"/>
      <c r="D1460" s="2"/>
      <c r="J1460" s="2"/>
    </row>
    <row r="1461" spans="3:10" x14ac:dyDescent="0.3">
      <c r="C1461" s="2"/>
      <c r="D1461" s="2"/>
      <c r="J1461" s="2"/>
    </row>
    <row r="1462" spans="3:10" x14ac:dyDescent="0.3">
      <c r="C1462" s="2"/>
      <c r="D1462" s="2"/>
      <c r="J1462" s="2"/>
    </row>
    <row r="1463" spans="3:10" x14ac:dyDescent="0.3">
      <c r="C1463" s="2"/>
      <c r="D1463" s="2"/>
      <c r="J1463" s="2"/>
    </row>
    <row r="1464" spans="3:10" x14ac:dyDescent="0.3">
      <c r="C1464" s="2"/>
      <c r="D1464" s="2"/>
      <c r="J1464" s="2"/>
    </row>
    <row r="1465" spans="3:10" x14ac:dyDescent="0.3">
      <c r="C1465" s="2"/>
      <c r="D1465" s="2"/>
      <c r="J1465" s="2"/>
    </row>
    <row r="1466" spans="3:10" x14ac:dyDescent="0.3">
      <c r="C1466" s="2"/>
      <c r="D1466" s="2"/>
      <c r="J1466" s="2"/>
    </row>
    <row r="1467" spans="3:10" x14ac:dyDescent="0.3">
      <c r="C1467" s="2"/>
      <c r="D1467" s="2"/>
      <c r="J1467" s="2"/>
    </row>
    <row r="1468" spans="3:10" x14ac:dyDescent="0.3">
      <c r="C1468" s="2"/>
      <c r="D1468" s="2"/>
      <c r="J1468" s="2"/>
    </row>
    <row r="1469" spans="3:10" x14ac:dyDescent="0.3">
      <c r="C1469" s="2"/>
      <c r="D1469" s="2"/>
      <c r="J1469" s="2"/>
    </row>
    <row r="1470" spans="3:10" x14ac:dyDescent="0.3">
      <c r="C1470" s="2"/>
      <c r="D1470" s="2"/>
      <c r="J1470" s="2"/>
    </row>
    <row r="1471" spans="3:10" x14ac:dyDescent="0.3">
      <c r="C1471" s="2"/>
      <c r="D1471" s="2"/>
      <c r="J1471" s="2"/>
    </row>
    <row r="1472" spans="3:10" x14ac:dyDescent="0.3">
      <c r="C1472" s="2"/>
      <c r="D1472" s="2"/>
      <c r="J1472" s="2"/>
    </row>
    <row r="1473" spans="3:10" x14ac:dyDescent="0.3">
      <c r="C1473" s="2"/>
      <c r="D1473" s="2"/>
      <c r="J1473" s="2"/>
    </row>
    <row r="1474" spans="3:10" x14ac:dyDescent="0.3">
      <c r="C1474" s="2"/>
      <c r="D1474" s="2"/>
      <c r="J1474" s="2"/>
    </row>
    <row r="1475" spans="3:10" x14ac:dyDescent="0.3">
      <c r="C1475" s="2"/>
      <c r="D1475" s="2"/>
      <c r="J1475" s="2"/>
    </row>
    <row r="1476" spans="3:10" x14ac:dyDescent="0.3">
      <c r="C1476" s="2"/>
      <c r="D1476" s="2"/>
      <c r="J1476" s="2"/>
    </row>
    <row r="1477" spans="3:10" x14ac:dyDescent="0.3">
      <c r="C1477" s="2"/>
      <c r="D1477" s="2"/>
      <c r="J1477" s="2"/>
    </row>
    <row r="1478" spans="3:10" x14ac:dyDescent="0.3">
      <c r="C1478" s="2"/>
      <c r="D1478" s="2"/>
      <c r="J1478" s="2"/>
    </row>
    <row r="1479" spans="3:10" x14ac:dyDescent="0.3">
      <c r="C1479" s="2"/>
      <c r="D1479" s="2"/>
      <c r="J1479" s="2"/>
    </row>
    <row r="1480" spans="3:10" x14ac:dyDescent="0.3">
      <c r="C1480" s="2"/>
      <c r="D1480" s="2"/>
      <c r="J1480" s="2"/>
    </row>
    <row r="1481" spans="3:10" x14ac:dyDescent="0.3">
      <c r="C1481" s="2"/>
      <c r="D1481" s="2"/>
      <c r="J1481" s="2"/>
    </row>
    <row r="1482" spans="3:10" x14ac:dyDescent="0.3">
      <c r="C1482" s="2"/>
      <c r="D1482" s="2"/>
      <c r="J1482" s="2"/>
    </row>
    <row r="1483" spans="3:10" x14ac:dyDescent="0.3">
      <c r="C1483" s="2"/>
      <c r="D1483" s="2"/>
      <c r="J1483" s="2"/>
    </row>
    <row r="1484" spans="3:10" x14ac:dyDescent="0.3">
      <c r="C1484" s="2"/>
      <c r="D1484" s="2"/>
      <c r="J1484" s="2"/>
    </row>
    <row r="1485" spans="3:10" x14ac:dyDescent="0.3">
      <c r="C1485" s="2"/>
      <c r="D1485" s="2"/>
      <c r="J1485" s="2"/>
    </row>
    <row r="1486" spans="3:10" x14ac:dyDescent="0.3">
      <c r="C1486" s="2"/>
      <c r="D1486" s="2"/>
      <c r="J1486" s="2"/>
    </row>
    <row r="1487" spans="3:10" x14ac:dyDescent="0.3">
      <c r="C1487" s="2"/>
      <c r="D1487" s="2"/>
      <c r="J1487" s="2"/>
    </row>
    <row r="1488" spans="3:10" x14ac:dyDescent="0.3">
      <c r="C1488" s="2"/>
      <c r="D1488" s="2"/>
      <c r="J1488" s="2"/>
    </row>
    <row r="1489" spans="3:10" x14ac:dyDescent="0.3">
      <c r="C1489" s="2"/>
      <c r="D1489" s="2"/>
      <c r="J1489" s="2"/>
    </row>
    <row r="1490" spans="3:10" x14ac:dyDescent="0.3">
      <c r="C1490" s="2"/>
      <c r="D1490" s="2"/>
      <c r="J1490" s="2"/>
    </row>
    <row r="1491" spans="3:10" x14ac:dyDescent="0.3">
      <c r="C1491" s="2"/>
      <c r="D1491" s="2"/>
      <c r="J1491" s="2"/>
    </row>
    <row r="1492" spans="3:10" x14ac:dyDescent="0.3">
      <c r="C1492" s="2"/>
      <c r="D1492" s="2"/>
      <c r="J1492" s="2"/>
    </row>
    <row r="1493" spans="3:10" x14ac:dyDescent="0.3">
      <c r="C1493" s="2"/>
      <c r="D1493" s="2"/>
      <c r="J1493" s="2"/>
    </row>
    <row r="1494" spans="3:10" x14ac:dyDescent="0.3">
      <c r="C1494" s="2"/>
      <c r="D1494" s="2"/>
      <c r="J1494" s="2"/>
    </row>
    <row r="1495" spans="3:10" x14ac:dyDescent="0.3">
      <c r="C1495" s="2"/>
      <c r="D1495" s="2"/>
      <c r="J1495" s="2"/>
    </row>
    <row r="1496" spans="3:10" x14ac:dyDescent="0.3">
      <c r="C1496" s="2"/>
      <c r="D1496" s="2"/>
      <c r="J1496" s="2"/>
    </row>
    <row r="1497" spans="3:10" x14ac:dyDescent="0.3">
      <c r="C1497" s="2"/>
      <c r="D1497" s="2"/>
      <c r="J1497" s="2"/>
    </row>
    <row r="1498" spans="3:10" x14ac:dyDescent="0.3">
      <c r="C1498" s="2"/>
      <c r="D1498" s="2"/>
      <c r="J1498" s="2"/>
    </row>
    <row r="1499" spans="3:10" x14ac:dyDescent="0.3">
      <c r="C1499" s="2"/>
      <c r="D1499" s="2"/>
      <c r="J1499" s="2"/>
    </row>
    <row r="1500" spans="3:10" x14ac:dyDescent="0.3">
      <c r="C1500" s="2"/>
      <c r="D1500" s="2"/>
      <c r="J1500" s="2"/>
    </row>
    <row r="1501" spans="3:10" x14ac:dyDescent="0.3">
      <c r="C1501" s="2"/>
      <c r="D1501" s="2"/>
      <c r="J1501" s="2"/>
    </row>
    <row r="1502" spans="3:10" x14ac:dyDescent="0.3">
      <c r="C1502" s="2"/>
      <c r="D1502" s="2"/>
      <c r="J1502" s="2"/>
    </row>
    <row r="1503" spans="3:10" x14ac:dyDescent="0.3">
      <c r="C1503" s="2"/>
      <c r="D1503" s="2"/>
      <c r="J1503" s="2"/>
    </row>
    <row r="1504" spans="3:10" x14ac:dyDescent="0.3">
      <c r="C1504" s="2"/>
      <c r="D1504" s="2"/>
      <c r="J1504" s="2"/>
    </row>
    <row r="1505" spans="3:10" x14ac:dyDescent="0.3">
      <c r="C1505" s="2"/>
      <c r="D1505" s="2"/>
      <c r="J1505" s="2"/>
    </row>
    <row r="1506" spans="3:10" x14ac:dyDescent="0.3">
      <c r="C1506" s="2"/>
      <c r="D1506" s="2"/>
      <c r="J1506" s="2"/>
    </row>
    <row r="1507" spans="3:10" x14ac:dyDescent="0.3">
      <c r="C1507" s="2"/>
      <c r="D1507" s="2"/>
      <c r="J1507" s="2"/>
    </row>
    <row r="1508" spans="3:10" x14ac:dyDescent="0.3">
      <c r="C1508" s="2"/>
      <c r="D1508" s="2"/>
      <c r="J1508" s="2"/>
    </row>
    <row r="1509" spans="3:10" x14ac:dyDescent="0.3">
      <c r="C1509" s="2"/>
      <c r="D1509" s="2"/>
      <c r="J1509" s="2"/>
    </row>
    <row r="1510" spans="3:10" x14ac:dyDescent="0.3">
      <c r="C1510" s="2"/>
      <c r="D1510" s="2"/>
      <c r="J1510" s="2"/>
    </row>
    <row r="1511" spans="3:10" x14ac:dyDescent="0.3">
      <c r="C1511" s="2"/>
      <c r="D1511" s="2"/>
      <c r="J1511" s="2"/>
    </row>
    <row r="1512" spans="3:10" x14ac:dyDescent="0.3">
      <c r="C1512" s="2"/>
      <c r="D1512" s="2"/>
      <c r="J1512" s="2"/>
    </row>
    <row r="1513" spans="3:10" x14ac:dyDescent="0.3">
      <c r="C1513" s="2"/>
      <c r="D1513" s="2"/>
      <c r="J1513" s="2"/>
    </row>
    <row r="1514" spans="3:10" x14ac:dyDescent="0.3">
      <c r="C1514" s="2"/>
      <c r="D1514" s="2"/>
      <c r="J1514" s="2"/>
    </row>
    <row r="1515" spans="3:10" x14ac:dyDescent="0.3">
      <c r="C1515" s="2"/>
      <c r="D1515" s="2"/>
      <c r="J1515" s="2"/>
    </row>
    <row r="1516" spans="3:10" x14ac:dyDescent="0.3">
      <c r="C1516" s="2"/>
      <c r="D1516" s="2"/>
      <c r="J1516" s="2"/>
    </row>
    <row r="1517" spans="3:10" x14ac:dyDescent="0.3">
      <c r="C1517" s="2"/>
      <c r="D1517" s="2"/>
      <c r="J1517" s="2"/>
    </row>
    <row r="1518" spans="3:10" x14ac:dyDescent="0.3">
      <c r="C1518" s="2"/>
      <c r="D1518" s="2"/>
      <c r="J1518" s="2"/>
    </row>
    <row r="1519" spans="3:10" x14ac:dyDescent="0.3">
      <c r="C1519" s="2"/>
      <c r="D1519" s="2"/>
      <c r="J1519" s="2"/>
    </row>
    <row r="1520" spans="3:10" x14ac:dyDescent="0.3">
      <c r="C1520" s="2"/>
      <c r="D1520" s="2"/>
      <c r="J1520" s="2"/>
    </row>
    <row r="1521" spans="3:10" x14ac:dyDescent="0.3">
      <c r="C1521" s="2"/>
      <c r="D1521" s="2"/>
      <c r="J1521" s="2"/>
    </row>
    <row r="1522" spans="3:10" x14ac:dyDescent="0.3">
      <c r="C1522" s="2"/>
      <c r="D1522" s="2"/>
      <c r="J1522" s="2"/>
    </row>
    <row r="1523" spans="3:10" x14ac:dyDescent="0.3">
      <c r="C1523" s="2"/>
      <c r="D1523" s="2"/>
      <c r="J1523" s="2"/>
    </row>
    <row r="1524" spans="3:10" x14ac:dyDescent="0.3">
      <c r="C1524" s="2"/>
      <c r="D1524" s="2"/>
      <c r="J1524" s="2"/>
    </row>
    <row r="1525" spans="3:10" x14ac:dyDescent="0.3">
      <c r="C1525" s="2"/>
      <c r="D1525" s="2"/>
      <c r="J1525" s="2"/>
    </row>
    <row r="1526" spans="3:10" x14ac:dyDescent="0.3">
      <c r="C1526" s="2"/>
      <c r="D1526" s="2"/>
      <c r="J1526" s="2"/>
    </row>
    <row r="1527" spans="3:10" x14ac:dyDescent="0.3">
      <c r="C1527" s="2"/>
      <c r="D1527" s="2"/>
      <c r="J1527" s="2"/>
    </row>
    <row r="1528" spans="3:10" x14ac:dyDescent="0.3">
      <c r="C1528" s="2"/>
      <c r="D1528" s="2"/>
      <c r="J1528" s="2"/>
    </row>
    <row r="1529" spans="3:10" x14ac:dyDescent="0.3">
      <c r="C1529" s="2"/>
      <c r="D1529" s="2"/>
      <c r="J1529" s="2"/>
    </row>
    <row r="1530" spans="3:10" x14ac:dyDescent="0.3">
      <c r="C1530" s="2"/>
      <c r="D1530" s="2"/>
      <c r="J1530" s="2"/>
    </row>
    <row r="1531" spans="3:10" x14ac:dyDescent="0.3">
      <c r="C1531" s="2"/>
      <c r="D1531" s="2"/>
      <c r="J1531" s="2"/>
    </row>
    <row r="1532" spans="3:10" x14ac:dyDescent="0.3">
      <c r="C1532" s="2"/>
      <c r="D1532" s="2"/>
      <c r="J1532" s="2"/>
    </row>
    <row r="1533" spans="3:10" x14ac:dyDescent="0.3">
      <c r="C1533" s="2"/>
      <c r="D1533" s="2"/>
      <c r="J1533" s="2"/>
    </row>
    <row r="1534" spans="3:10" x14ac:dyDescent="0.3">
      <c r="C1534" s="2"/>
      <c r="D1534" s="2"/>
      <c r="J1534" s="2"/>
    </row>
    <row r="1535" spans="3:10" x14ac:dyDescent="0.3">
      <c r="C1535" s="2"/>
      <c r="D1535" s="2"/>
      <c r="J1535" s="2"/>
    </row>
    <row r="1536" spans="3:10" x14ac:dyDescent="0.3">
      <c r="C1536" s="2"/>
      <c r="D1536" s="2"/>
      <c r="J1536" s="2"/>
    </row>
    <row r="1537" spans="3:10" x14ac:dyDescent="0.3">
      <c r="C1537" s="2"/>
      <c r="D1537" s="2"/>
      <c r="J1537" s="2"/>
    </row>
    <row r="1538" spans="3:10" x14ac:dyDescent="0.3">
      <c r="C1538" s="2"/>
      <c r="D1538" s="2"/>
      <c r="J1538" s="2"/>
    </row>
    <row r="1539" spans="3:10" x14ac:dyDescent="0.3">
      <c r="C1539" s="2"/>
      <c r="D1539" s="2"/>
      <c r="J1539" s="2"/>
    </row>
    <row r="1540" spans="3:10" x14ac:dyDescent="0.3">
      <c r="C1540" s="2"/>
      <c r="D1540" s="2"/>
      <c r="J1540" s="2"/>
    </row>
    <row r="1541" spans="3:10" x14ac:dyDescent="0.3">
      <c r="C1541" s="2"/>
      <c r="D1541" s="2"/>
      <c r="J1541" s="2"/>
    </row>
    <row r="1542" spans="3:10" x14ac:dyDescent="0.3">
      <c r="C1542" s="2"/>
      <c r="D1542" s="2"/>
      <c r="J1542" s="2"/>
    </row>
    <row r="1543" spans="3:10" x14ac:dyDescent="0.3">
      <c r="C1543" s="2"/>
      <c r="D1543" s="2"/>
      <c r="J1543" s="2"/>
    </row>
    <row r="1544" spans="3:10" x14ac:dyDescent="0.3">
      <c r="C1544" s="2"/>
      <c r="D1544" s="2"/>
      <c r="J1544" s="2"/>
    </row>
    <row r="1545" spans="3:10" x14ac:dyDescent="0.3">
      <c r="C1545" s="2"/>
      <c r="D1545" s="2"/>
      <c r="J1545" s="2"/>
    </row>
    <row r="1546" spans="3:10" x14ac:dyDescent="0.3">
      <c r="C1546" s="2"/>
      <c r="D1546" s="2"/>
      <c r="J1546" s="2"/>
    </row>
    <row r="1547" spans="3:10" x14ac:dyDescent="0.3">
      <c r="C1547" s="2"/>
      <c r="D1547" s="2"/>
      <c r="J1547" s="2"/>
    </row>
    <row r="1548" spans="3:10" x14ac:dyDescent="0.3">
      <c r="C1548" s="2"/>
      <c r="D1548" s="2"/>
      <c r="J1548" s="2"/>
    </row>
    <row r="1549" spans="3:10" x14ac:dyDescent="0.3">
      <c r="C1549" s="2"/>
      <c r="D1549" s="2"/>
      <c r="J1549" s="2"/>
    </row>
    <row r="1550" spans="3:10" x14ac:dyDescent="0.3">
      <c r="C1550" s="2"/>
      <c r="D1550" s="2"/>
      <c r="J1550" s="2"/>
    </row>
    <row r="1551" spans="3:10" x14ac:dyDescent="0.3">
      <c r="C1551" s="2"/>
      <c r="D1551" s="2"/>
      <c r="J1551" s="2"/>
    </row>
    <row r="1552" spans="3:10" x14ac:dyDescent="0.3">
      <c r="C1552" s="2"/>
      <c r="D1552" s="2"/>
      <c r="J1552" s="2"/>
    </row>
    <row r="1553" spans="3:10" x14ac:dyDescent="0.3">
      <c r="C1553" s="2"/>
      <c r="D1553" s="2"/>
      <c r="J1553" s="2"/>
    </row>
    <row r="1554" spans="3:10" x14ac:dyDescent="0.3">
      <c r="C1554" s="2"/>
      <c r="D1554" s="2"/>
      <c r="J1554" s="2"/>
    </row>
    <row r="1555" spans="3:10" x14ac:dyDescent="0.3">
      <c r="C1555" s="2"/>
      <c r="D1555" s="2"/>
      <c r="J1555" s="2"/>
    </row>
    <row r="1556" spans="3:10" x14ac:dyDescent="0.3">
      <c r="C1556" s="2"/>
      <c r="D1556" s="2"/>
      <c r="J1556" s="2"/>
    </row>
    <row r="1557" spans="3:10" x14ac:dyDescent="0.3">
      <c r="C1557" s="2"/>
      <c r="D1557" s="2"/>
      <c r="J1557" s="2"/>
    </row>
    <row r="1558" spans="3:10" x14ac:dyDescent="0.3">
      <c r="C1558" s="2"/>
      <c r="D1558" s="2"/>
      <c r="J1558" s="2"/>
    </row>
    <row r="1559" spans="3:10" x14ac:dyDescent="0.3">
      <c r="C1559" s="2"/>
      <c r="D1559" s="2"/>
      <c r="J1559" s="2"/>
    </row>
    <row r="1560" spans="3:10" x14ac:dyDescent="0.3">
      <c r="C1560" s="2"/>
      <c r="D1560" s="2"/>
      <c r="J1560" s="2"/>
    </row>
    <row r="1561" spans="3:10" x14ac:dyDescent="0.3">
      <c r="C1561" s="2"/>
      <c r="D1561" s="2"/>
      <c r="J1561" s="2"/>
    </row>
    <row r="1562" spans="3:10" x14ac:dyDescent="0.3">
      <c r="C1562" s="2"/>
      <c r="D1562" s="2"/>
      <c r="J1562" s="2"/>
    </row>
    <row r="1563" spans="3:10" x14ac:dyDescent="0.3">
      <c r="C1563" s="2"/>
      <c r="D1563" s="2"/>
      <c r="J1563" s="2"/>
    </row>
    <row r="1564" spans="3:10" x14ac:dyDescent="0.3">
      <c r="C1564" s="2"/>
      <c r="D1564" s="2"/>
      <c r="J1564" s="2"/>
    </row>
    <row r="1565" spans="3:10" x14ac:dyDescent="0.3">
      <c r="C1565" s="2"/>
      <c r="D1565" s="2"/>
      <c r="J1565" s="2"/>
    </row>
    <row r="1566" spans="3:10" x14ac:dyDescent="0.3">
      <c r="C1566" s="2"/>
      <c r="D1566" s="2"/>
      <c r="J1566" s="2"/>
    </row>
    <row r="1567" spans="3:10" x14ac:dyDescent="0.3">
      <c r="C1567" s="2"/>
      <c r="D1567" s="2"/>
      <c r="J1567" s="2"/>
    </row>
    <row r="1568" spans="3:10" x14ac:dyDescent="0.3">
      <c r="C1568" s="2"/>
      <c r="D1568" s="2"/>
      <c r="J1568" s="2"/>
    </row>
    <row r="1569" spans="3:10" x14ac:dyDescent="0.3">
      <c r="C1569" s="2"/>
      <c r="D1569" s="2"/>
      <c r="J1569" s="2"/>
    </row>
    <row r="1570" spans="3:10" x14ac:dyDescent="0.3">
      <c r="C1570" s="2"/>
      <c r="D1570" s="2"/>
      <c r="J1570" s="2"/>
    </row>
    <row r="1571" spans="3:10" x14ac:dyDescent="0.3">
      <c r="C1571" s="2"/>
      <c r="D1571" s="2"/>
      <c r="J1571" s="2"/>
    </row>
    <row r="1572" spans="3:10" x14ac:dyDescent="0.3">
      <c r="C1572" s="2"/>
      <c r="D1572" s="2"/>
      <c r="J1572" s="2"/>
    </row>
    <row r="1573" spans="3:10" x14ac:dyDescent="0.3">
      <c r="C1573" s="2"/>
      <c r="D1573" s="2"/>
      <c r="J1573" s="2"/>
    </row>
    <row r="1574" spans="3:10" x14ac:dyDescent="0.3">
      <c r="C1574" s="2"/>
      <c r="D1574" s="2"/>
      <c r="J1574" s="2"/>
    </row>
    <row r="1575" spans="3:10" x14ac:dyDescent="0.3">
      <c r="C1575" s="2"/>
      <c r="D1575" s="2"/>
      <c r="J1575" s="2"/>
    </row>
    <row r="1576" spans="3:10" x14ac:dyDescent="0.3">
      <c r="C1576" s="2"/>
      <c r="D1576" s="2"/>
      <c r="J1576" s="2"/>
    </row>
    <row r="1577" spans="3:10" x14ac:dyDescent="0.3">
      <c r="C1577" s="2"/>
      <c r="D1577" s="2"/>
      <c r="J1577" s="2"/>
    </row>
    <row r="1578" spans="3:10" x14ac:dyDescent="0.3">
      <c r="C1578" s="2"/>
      <c r="D1578" s="2"/>
      <c r="J1578" s="2"/>
    </row>
    <row r="1579" spans="3:10" x14ac:dyDescent="0.3">
      <c r="C1579" s="2"/>
      <c r="D1579" s="2"/>
      <c r="J1579" s="2"/>
    </row>
    <row r="1580" spans="3:10" x14ac:dyDescent="0.3">
      <c r="C1580" s="2"/>
      <c r="D1580" s="2"/>
      <c r="J1580" s="2"/>
    </row>
    <row r="1581" spans="3:10" x14ac:dyDescent="0.3">
      <c r="C1581" s="2"/>
      <c r="D1581" s="2"/>
      <c r="J1581" s="2"/>
    </row>
    <row r="1582" spans="3:10" x14ac:dyDescent="0.3">
      <c r="C1582" s="2"/>
      <c r="D1582" s="2"/>
      <c r="J1582" s="2"/>
    </row>
    <row r="1583" spans="3:10" x14ac:dyDescent="0.3">
      <c r="C1583" s="2"/>
      <c r="D1583" s="2"/>
      <c r="J1583" s="2"/>
    </row>
    <row r="1584" spans="3:10" x14ac:dyDescent="0.3">
      <c r="C1584" s="2"/>
      <c r="D1584" s="2"/>
      <c r="J1584" s="2"/>
    </row>
    <row r="1585" spans="3:10" x14ac:dyDescent="0.3">
      <c r="C1585" s="2"/>
      <c r="D1585" s="2"/>
      <c r="J1585" s="2"/>
    </row>
    <row r="1586" spans="3:10" x14ac:dyDescent="0.3">
      <c r="C1586" s="2"/>
      <c r="D1586" s="2"/>
      <c r="J1586" s="2"/>
    </row>
    <row r="1587" spans="3:10" x14ac:dyDescent="0.3">
      <c r="C1587" s="2"/>
      <c r="D1587" s="2"/>
      <c r="J1587" s="2"/>
    </row>
    <row r="1588" spans="3:10" x14ac:dyDescent="0.3">
      <c r="C1588" s="2"/>
      <c r="D1588" s="2"/>
      <c r="J1588" s="2"/>
    </row>
    <row r="1589" spans="3:10" x14ac:dyDescent="0.3">
      <c r="C1589" s="2"/>
      <c r="D1589" s="2"/>
      <c r="J1589" s="2"/>
    </row>
    <row r="1590" spans="3:10" x14ac:dyDescent="0.3">
      <c r="C1590" s="2"/>
      <c r="D1590" s="2"/>
      <c r="J1590" s="2"/>
    </row>
    <row r="1591" spans="3:10" x14ac:dyDescent="0.3">
      <c r="C1591" s="2"/>
      <c r="D1591" s="2"/>
      <c r="J1591" s="2"/>
    </row>
    <row r="1592" spans="3:10" x14ac:dyDescent="0.3">
      <c r="C1592" s="2"/>
      <c r="D1592" s="2"/>
      <c r="J1592" s="2"/>
    </row>
    <row r="1593" spans="3:10" x14ac:dyDescent="0.3">
      <c r="C1593" s="2"/>
      <c r="D1593" s="2"/>
      <c r="J1593" s="2"/>
    </row>
    <row r="1594" spans="3:10" x14ac:dyDescent="0.3">
      <c r="C1594" s="2"/>
      <c r="D1594" s="2"/>
      <c r="J1594" s="2"/>
    </row>
    <row r="1595" spans="3:10" x14ac:dyDescent="0.3">
      <c r="C1595" s="2"/>
      <c r="D1595" s="2"/>
      <c r="J1595" s="2"/>
    </row>
    <row r="1596" spans="3:10" x14ac:dyDescent="0.3">
      <c r="C1596" s="2"/>
      <c r="D1596" s="2"/>
      <c r="J1596" s="2"/>
    </row>
    <row r="1597" spans="3:10" x14ac:dyDescent="0.3">
      <c r="C1597" s="2"/>
      <c r="D1597" s="2"/>
      <c r="J1597" s="2"/>
    </row>
    <row r="1598" spans="3:10" x14ac:dyDescent="0.3">
      <c r="C1598" s="2"/>
      <c r="D1598" s="2"/>
      <c r="J1598" s="2"/>
    </row>
    <row r="1599" spans="3:10" x14ac:dyDescent="0.3">
      <c r="C1599" s="2"/>
      <c r="D1599" s="2"/>
      <c r="J1599" s="2"/>
    </row>
    <row r="1600" spans="3:10" x14ac:dyDescent="0.3">
      <c r="C1600" s="2"/>
      <c r="D1600" s="2"/>
      <c r="J1600" s="2"/>
    </row>
    <row r="1601" spans="3:10" x14ac:dyDescent="0.3">
      <c r="C1601" s="2"/>
      <c r="D1601" s="2"/>
      <c r="J1601" s="2"/>
    </row>
    <row r="1602" spans="3:10" x14ac:dyDescent="0.3">
      <c r="C1602" s="2"/>
      <c r="D1602" s="2"/>
      <c r="J1602" s="2"/>
    </row>
    <row r="1603" spans="3:10" x14ac:dyDescent="0.3">
      <c r="C1603" s="2"/>
      <c r="D1603" s="2"/>
      <c r="J1603" s="2"/>
    </row>
    <row r="1604" spans="3:10" x14ac:dyDescent="0.3">
      <c r="C1604" s="2"/>
      <c r="D1604" s="2"/>
      <c r="J1604" s="2"/>
    </row>
    <row r="1605" spans="3:10" x14ac:dyDescent="0.3">
      <c r="C1605" s="2"/>
      <c r="D1605" s="2"/>
      <c r="J1605" s="2"/>
    </row>
    <row r="1606" spans="3:10" x14ac:dyDescent="0.3">
      <c r="C1606" s="2"/>
      <c r="D1606" s="2"/>
      <c r="J1606" s="2"/>
    </row>
    <row r="1607" spans="3:10" x14ac:dyDescent="0.3">
      <c r="C1607" s="2"/>
      <c r="D1607" s="2"/>
      <c r="J1607" s="2"/>
    </row>
    <row r="1608" spans="3:10" x14ac:dyDescent="0.3">
      <c r="C1608" s="2"/>
      <c r="D1608" s="2"/>
      <c r="J1608" s="2"/>
    </row>
    <row r="1609" spans="3:10" x14ac:dyDescent="0.3">
      <c r="C1609" s="2"/>
      <c r="D1609" s="2"/>
      <c r="J1609" s="2"/>
    </row>
    <row r="1610" spans="3:10" x14ac:dyDescent="0.3">
      <c r="C1610" s="2"/>
      <c r="D1610" s="2"/>
      <c r="J1610" s="2"/>
    </row>
    <row r="1611" spans="3:10" x14ac:dyDescent="0.3">
      <c r="C1611" s="2"/>
      <c r="D1611" s="2"/>
      <c r="J1611" s="2"/>
    </row>
    <row r="1612" spans="3:10" x14ac:dyDescent="0.3">
      <c r="C1612" s="2"/>
      <c r="D1612" s="2"/>
      <c r="J1612" s="2"/>
    </row>
    <row r="1613" spans="3:10" x14ac:dyDescent="0.3">
      <c r="C1613" s="2"/>
      <c r="D1613" s="2"/>
      <c r="J1613" s="2"/>
    </row>
    <row r="1614" spans="3:10" x14ac:dyDescent="0.3">
      <c r="C1614" s="2"/>
      <c r="D1614" s="2"/>
      <c r="J1614" s="2"/>
    </row>
    <row r="1615" spans="3:10" x14ac:dyDescent="0.3">
      <c r="C1615" s="2"/>
      <c r="D1615" s="2"/>
      <c r="J1615" s="2"/>
    </row>
    <row r="1616" spans="3:10" x14ac:dyDescent="0.3">
      <c r="C1616" s="2"/>
      <c r="D1616" s="2"/>
      <c r="J1616" s="2"/>
    </row>
    <row r="1617" spans="3:10" x14ac:dyDescent="0.3">
      <c r="C1617" s="2"/>
      <c r="D1617" s="2"/>
      <c r="J1617" s="2"/>
    </row>
    <row r="1618" spans="3:10" x14ac:dyDescent="0.3">
      <c r="C1618" s="2"/>
      <c r="D1618" s="2"/>
      <c r="J1618" s="2"/>
    </row>
    <row r="1619" spans="3:10" x14ac:dyDescent="0.3">
      <c r="C1619" s="2"/>
      <c r="D1619" s="2"/>
      <c r="J1619" s="2"/>
    </row>
    <row r="1620" spans="3:10" x14ac:dyDescent="0.3">
      <c r="C1620" s="2"/>
      <c r="D1620" s="2"/>
      <c r="J1620" s="2"/>
    </row>
    <row r="1621" spans="3:10" x14ac:dyDescent="0.3">
      <c r="C1621" s="2"/>
      <c r="D1621" s="2"/>
      <c r="J1621" s="2"/>
    </row>
    <row r="1622" spans="3:10" x14ac:dyDescent="0.3">
      <c r="C1622" s="2"/>
      <c r="D1622" s="2"/>
      <c r="J1622" s="2"/>
    </row>
    <row r="1623" spans="3:10" x14ac:dyDescent="0.3">
      <c r="C1623" s="2"/>
      <c r="D1623" s="2"/>
      <c r="J1623" s="2"/>
    </row>
    <row r="1624" spans="3:10" x14ac:dyDescent="0.3">
      <c r="C1624" s="2"/>
      <c r="D1624" s="2"/>
      <c r="J1624" s="2"/>
    </row>
    <row r="1625" spans="3:10" x14ac:dyDescent="0.3">
      <c r="C1625" s="2"/>
      <c r="D1625" s="2"/>
      <c r="J1625" s="2"/>
    </row>
    <row r="1626" spans="3:10" x14ac:dyDescent="0.3">
      <c r="C1626" s="2"/>
      <c r="D1626" s="2"/>
      <c r="J1626" s="2"/>
    </row>
    <row r="1627" spans="3:10" x14ac:dyDescent="0.3">
      <c r="C1627" s="2"/>
      <c r="D1627" s="2"/>
      <c r="J1627" s="2"/>
    </row>
    <row r="1628" spans="3:10" x14ac:dyDescent="0.3">
      <c r="C1628" s="2"/>
      <c r="D1628" s="2"/>
      <c r="J1628" s="2"/>
    </row>
    <row r="1629" spans="3:10" x14ac:dyDescent="0.3">
      <c r="C1629" s="2"/>
      <c r="D1629" s="2"/>
      <c r="J1629" s="2"/>
    </row>
    <row r="1630" spans="3:10" x14ac:dyDescent="0.3">
      <c r="C1630" s="2"/>
      <c r="D1630" s="2"/>
      <c r="J1630" s="2"/>
    </row>
    <row r="1631" spans="3:10" x14ac:dyDescent="0.3">
      <c r="C1631" s="2"/>
      <c r="D1631" s="2"/>
      <c r="J1631" s="2"/>
    </row>
    <row r="1632" spans="3:10" x14ac:dyDescent="0.3">
      <c r="C1632" s="2"/>
      <c r="D1632" s="2"/>
      <c r="J1632" s="2"/>
    </row>
    <row r="1633" spans="3:10" x14ac:dyDescent="0.3">
      <c r="C1633" s="2"/>
      <c r="D1633" s="2"/>
      <c r="J1633" s="2"/>
    </row>
    <row r="1634" spans="3:10" x14ac:dyDescent="0.3">
      <c r="C1634" s="2"/>
      <c r="D1634" s="2"/>
      <c r="J1634" s="2"/>
    </row>
    <row r="1635" spans="3:10" x14ac:dyDescent="0.3">
      <c r="C1635" s="2"/>
      <c r="D1635" s="2"/>
      <c r="J1635" s="2"/>
    </row>
    <row r="1636" spans="3:10" x14ac:dyDescent="0.3">
      <c r="C1636" s="2"/>
      <c r="D1636" s="2"/>
      <c r="J1636" s="2"/>
    </row>
    <row r="1637" spans="3:10" x14ac:dyDescent="0.3">
      <c r="C1637" s="2"/>
      <c r="D1637" s="2"/>
      <c r="J1637" s="2"/>
    </row>
    <row r="1638" spans="3:10" x14ac:dyDescent="0.3">
      <c r="C1638" s="2"/>
      <c r="D1638" s="2"/>
      <c r="J1638" s="2"/>
    </row>
    <row r="1639" spans="3:10" x14ac:dyDescent="0.3">
      <c r="C1639" s="2"/>
      <c r="D1639" s="2"/>
      <c r="J1639" s="2"/>
    </row>
    <row r="1640" spans="3:10" x14ac:dyDescent="0.3">
      <c r="C1640" s="2"/>
      <c r="D1640" s="2"/>
      <c r="J1640" s="2"/>
    </row>
    <row r="1641" spans="3:10" x14ac:dyDescent="0.3">
      <c r="C1641" s="2"/>
      <c r="D1641" s="2"/>
      <c r="J1641" s="2"/>
    </row>
    <row r="1642" spans="3:10" x14ac:dyDescent="0.3">
      <c r="C1642" s="2"/>
      <c r="D1642" s="2"/>
      <c r="J1642" s="2"/>
    </row>
    <row r="1643" spans="3:10" x14ac:dyDescent="0.3">
      <c r="C1643" s="2"/>
      <c r="D1643" s="2"/>
      <c r="J1643" s="2"/>
    </row>
    <row r="1644" spans="3:10" x14ac:dyDescent="0.3">
      <c r="C1644" s="2"/>
      <c r="D1644" s="2"/>
      <c r="J1644" s="2"/>
    </row>
    <row r="1645" spans="3:10" x14ac:dyDescent="0.3">
      <c r="C1645" s="2"/>
      <c r="D1645" s="2"/>
      <c r="J1645" s="2"/>
    </row>
    <row r="1646" spans="3:10" x14ac:dyDescent="0.3">
      <c r="C1646" s="2"/>
      <c r="D1646" s="2"/>
      <c r="J1646" s="2"/>
    </row>
    <row r="1647" spans="3:10" x14ac:dyDescent="0.3">
      <c r="C1647" s="2"/>
      <c r="D1647" s="2"/>
      <c r="J1647" s="2"/>
    </row>
    <row r="1648" spans="3:10" x14ac:dyDescent="0.3">
      <c r="C1648" s="2"/>
      <c r="D1648" s="2"/>
      <c r="J1648" s="2"/>
    </row>
    <row r="1649" spans="3:10" x14ac:dyDescent="0.3">
      <c r="C1649" s="2"/>
      <c r="D1649" s="2"/>
      <c r="J1649" s="2"/>
    </row>
    <row r="1650" spans="3:10" x14ac:dyDescent="0.3">
      <c r="C1650" s="2"/>
      <c r="D1650" s="2"/>
      <c r="J1650" s="2"/>
    </row>
    <row r="1651" spans="3:10" x14ac:dyDescent="0.3">
      <c r="C1651" s="2"/>
      <c r="D1651" s="2"/>
      <c r="J1651" s="2"/>
    </row>
    <row r="1652" spans="3:10" x14ac:dyDescent="0.3">
      <c r="C1652" s="2"/>
      <c r="D1652" s="2"/>
      <c r="J1652" s="2"/>
    </row>
    <row r="1653" spans="3:10" x14ac:dyDescent="0.3">
      <c r="C1653" s="2"/>
      <c r="D1653" s="2"/>
      <c r="J1653" s="2"/>
    </row>
    <row r="1654" spans="3:10" x14ac:dyDescent="0.3">
      <c r="C1654" s="2"/>
      <c r="D1654" s="2"/>
      <c r="J1654" s="2"/>
    </row>
    <row r="1655" spans="3:10" x14ac:dyDescent="0.3">
      <c r="C1655" s="2"/>
      <c r="D1655" s="2"/>
      <c r="J1655" s="2"/>
    </row>
    <row r="1656" spans="3:10" x14ac:dyDescent="0.3">
      <c r="C1656" s="2"/>
      <c r="D1656" s="2"/>
      <c r="J1656" s="2"/>
    </row>
    <row r="1657" spans="3:10" x14ac:dyDescent="0.3">
      <c r="C1657" s="2"/>
      <c r="D1657" s="2"/>
      <c r="J1657" s="2"/>
    </row>
    <row r="1658" spans="3:10" x14ac:dyDescent="0.3">
      <c r="C1658" s="2"/>
      <c r="D1658" s="2"/>
      <c r="J1658" s="2"/>
    </row>
    <row r="1659" spans="3:10" x14ac:dyDescent="0.3">
      <c r="C1659" s="2"/>
      <c r="D1659" s="2"/>
      <c r="J1659" s="2"/>
    </row>
    <row r="1660" spans="3:10" x14ac:dyDescent="0.3">
      <c r="C1660" s="2"/>
      <c r="D1660" s="2"/>
      <c r="J1660" s="2"/>
    </row>
    <row r="1661" spans="3:10" x14ac:dyDescent="0.3">
      <c r="C1661" s="2"/>
      <c r="D1661" s="2"/>
      <c r="J1661" s="2"/>
    </row>
    <row r="1662" spans="3:10" x14ac:dyDescent="0.3">
      <c r="C1662" s="2"/>
      <c r="D1662" s="2"/>
      <c r="J1662" s="2"/>
    </row>
    <row r="1663" spans="3:10" x14ac:dyDescent="0.3">
      <c r="C1663" s="2"/>
      <c r="D1663" s="2"/>
      <c r="J1663" s="2"/>
    </row>
    <row r="1664" spans="3:10" x14ac:dyDescent="0.3">
      <c r="C1664" s="2"/>
      <c r="D1664" s="2"/>
      <c r="J1664" s="2"/>
    </row>
    <row r="1665" spans="3:10" x14ac:dyDescent="0.3">
      <c r="C1665" s="2"/>
      <c r="D1665" s="2"/>
      <c r="J1665" s="2"/>
    </row>
    <row r="1666" spans="3:10" x14ac:dyDescent="0.3">
      <c r="C1666" s="2"/>
      <c r="D1666" s="2"/>
      <c r="J1666" s="2"/>
    </row>
    <row r="1667" spans="3:10" x14ac:dyDescent="0.3">
      <c r="C1667" s="2"/>
      <c r="D1667" s="2"/>
      <c r="J1667" s="2"/>
    </row>
    <row r="1668" spans="3:10" x14ac:dyDescent="0.3">
      <c r="C1668" s="2"/>
      <c r="D1668" s="2"/>
      <c r="J1668" s="2"/>
    </row>
    <row r="1669" spans="3:10" x14ac:dyDescent="0.3">
      <c r="C1669" s="2"/>
      <c r="D1669" s="2"/>
      <c r="J1669" s="2"/>
    </row>
    <row r="1670" spans="3:10" x14ac:dyDescent="0.3">
      <c r="C1670" s="2"/>
      <c r="D1670" s="2"/>
      <c r="J1670" s="2"/>
    </row>
    <row r="1671" spans="3:10" x14ac:dyDescent="0.3">
      <c r="C1671" s="2"/>
      <c r="D1671" s="2"/>
      <c r="J1671" s="2"/>
    </row>
    <row r="1672" spans="3:10" x14ac:dyDescent="0.3">
      <c r="C1672" s="2"/>
      <c r="D1672" s="2"/>
      <c r="J1672" s="2"/>
    </row>
    <row r="1673" spans="3:10" x14ac:dyDescent="0.3">
      <c r="C1673" s="2"/>
      <c r="D1673" s="2"/>
      <c r="J1673" s="2"/>
    </row>
    <row r="1674" spans="3:10" x14ac:dyDescent="0.3">
      <c r="C1674" s="2"/>
      <c r="D1674" s="2"/>
      <c r="J1674" s="2"/>
    </row>
    <row r="1675" spans="3:10" x14ac:dyDescent="0.3">
      <c r="C1675" s="2"/>
      <c r="D1675" s="2"/>
      <c r="J1675" s="2"/>
    </row>
    <row r="1676" spans="3:10" x14ac:dyDescent="0.3">
      <c r="C1676" s="2"/>
      <c r="D1676" s="2"/>
      <c r="J1676" s="2"/>
    </row>
    <row r="1677" spans="3:10" x14ac:dyDescent="0.3">
      <c r="C1677" s="2"/>
      <c r="D1677" s="2"/>
      <c r="J1677" s="2"/>
    </row>
    <row r="1678" spans="3:10" x14ac:dyDescent="0.3">
      <c r="C1678" s="2"/>
      <c r="D1678" s="2"/>
      <c r="J1678" s="2"/>
    </row>
    <row r="1679" spans="3:10" x14ac:dyDescent="0.3">
      <c r="C1679" s="2"/>
      <c r="D1679" s="2"/>
      <c r="J1679" s="2"/>
    </row>
    <row r="1680" spans="3:10" x14ac:dyDescent="0.3">
      <c r="C1680" s="2"/>
      <c r="D1680" s="2"/>
      <c r="J1680" s="2"/>
    </row>
    <row r="1681" spans="3:10" x14ac:dyDescent="0.3">
      <c r="C1681" s="2"/>
      <c r="D1681" s="2"/>
      <c r="J1681" s="2"/>
    </row>
    <row r="1682" spans="3:10" x14ac:dyDescent="0.3">
      <c r="C1682" s="2"/>
      <c r="D1682" s="2"/>
      <c r="J1682" s="2"/>
    </row>
    <row r="1683" spans="3:10" x14ac:dyDescent="0.3">
      <c r="C1683" s="2"/>
      <c r="D1683" s="2"/>
      <c r="J1683" s="2"/>
    </row>
    <row r="1684" spans="3:10" x14ac:dyDescent="0.3">
      <c r="C1684" s="2"/>
      <c r="D1684" s="2"/>
      <c r="J1684" s="2"/>
    </row>
    <row r="1685" spans="3:10" x14ac:dyDescent="0.3">
      <c r="C1685" s="2"/>
      <c r="D1685" s="2"/>
      <c r="J1685" s="2"/>
    </row>
    <row r="1686" spans="3:10" x14ac:dyDescent="0.3">
      <c r="C1686" s="2"/>
      <c r="D1686" s="2"/>
      <c r="J1686" s="2"/>
    </row>
    <row r="1687" spans="3:10" x14ac:dyDescent="0.3">
      <c r="C1687" s="2"/>
      <c r="D1687" s="2"/>
      <c r="J1687" s="2"/>
    </row>
    <row r="1688" spans="3:10" x14ac:dyDescent="0.3">
      <c r="C1688" s="2"/>
      <c r="D1688" s="2"/>
      <c r="J1688" s="2"/>
    </row>
    <row r="1689" spans="3:10" x14ac:dyDescent="0.3">
      <c r="C1689" s="2"/>
      <c r="D1689" s="2"/>
      <c r="J1689" s="2"/>
    </row>
    <row r="1690" spans="3:10" x14ac:dyDescent="0.3">
      <c r="C1690" s="2"/>
      <c r="D1690" s="2"/>
      <c r="J1690" s="2"/>
    </row>
    <row r="1691" spans="3:10" x14ac:dyDescent="0.3">
      <c r="C1691" s="2"/>
      <c r="D1691" s="2"/>
      <c r="J1691" s="2"/>
    </row>
    <row r="1692" spans="3:10" x14ac:dyDescent="0.3">
      <c r="C1692" s="2"/>
      <c r="D1692" s="2"/>
      <c r="J1692" s="2"/>
    </row>
    <row r="1693" spans="3:10" x14ac:dyDescent="0.3">
      <c r="C1693" s="2"/>
      <c r="D1693" s="2"/>
      <c r="J1693" s="2"/>
    </row>
    <row r="1694" spans="3:10" x14ac:dyDescent="0.3">
      <c r="C1694" s="2"/>
      <c r="D1694" s="2"/>
      <c r="J1694" s="2"/>
    </row>
    <row r="1695" spans="3:10" x14ac:dyDescent="0.3">
      <c r="C1695" s="2"/>
      <c r="D1695" s="2"/>
      <c r="J1695" s="2"/>
    </row>
    <row r="1696" spans="3:10" x14ac:dyDescent="0.3">
      <c r="C1696" s="2"/>
      <c r="D1696" s="2"/>
      <c r="J1696" s="2"/>
    </row>
    <row r="1697" spans="3:10" x14ac:dyDescent="0.3">
      <c r="C1697" s="2"/>
      <c r="D1697" s="2"/>
      <c r="J1697" s="2"/>
    </row>
    <row r="1698" spans="3:10" x14ac:dyDescent="0.3">
      <c r="C1698" s="2"/>
      <c r="D1698" s="2"/>
      <c r="J1698" s="2"/>
    </row>
    <row r="1699" spans="3:10" x14ac:dyDescent="0.3">
      <c r="C1699" s="2"/>
      <c r="D1699" s="2"/>
      <c r="J1699" s="2"/>
    </row>
    <row r="1700" spans="3:10" x14ac:dyDescent="0.3">
      <c r="C1700" s="2"/>
      <c r="D1700" s="2"/>
      <c r="J1700" s="2"/>
    </row>
    <row r="1701" spans="3:10" x14ac:dyDescent="0.3">
      <c r="C1701" s="2"/>
      <c r="D1701" s="2"/>
      <c r="J1701" s="2"/>
    </row>
    <row r="1702" spans="3:10" x14ac:dyDescent="0.3">
      <c r="C1702" s="2"/>
      <c r="D1702" s="2"/>
      <c r="J1702" s="2"/>
    </row>
    <row r="1703" spans="3:10" x14ac:dyDescent="0.3">
      <c r="C1703" s="2"/>
      <c r="D1703" s="2"/>
      <c r="J1703" s="2"/>
    </row>
    <row r="1704" spans="3:10" x14ac:dyDescent="0.3">
      <c r="C1704" s="2"/>
      <c r="D1704" s="2"/>
      <c r="J1704" s="2"/>
    </row>
    <row r="1705" spans="3:10" x14ac:dyDescent="0.3">
      <c r="C1705" s="2"/>
      <c r="D1705" s="2"/>
      <c r="J1705" s="2"/>
    </row>
    <row r="1706" spans="3:10" x14ac:dyDescent="0.3">
      <c r="C1706" s="2"/>
      <c r="D1706" s="2"/>
      <c r="J1706" s="2"/>
    </row>
    <row r="1707" spans="3:10" x14ac:dyDescent="0.3">
      <c r="C1707" s="2"/>
      <c r="D1707" s="2"/>
      <c r="J1707" s="2"/>
    </row>
    <row r="1708" spans="3:10" x14ac:dyDescent="0.3">
      <c r="C1708" s="2"/>
      <c r="D1708" s="2"/>
      <c r="J1708" s="2"/>
    </row>
    <row r="1709" spans="3:10" x14ac:dyDescent="0.3">
      <c r="C1709" s="2"/>
      <c r="D1709" s="2"/>
      <c r="J1709" s="2"/>
    </row>
    <row r="1710" spans="3:10" x14ac:dyDescent="0.3">
      <c r="C1710" s="2"/>
      <c r="D1710" s="2"/>
      <c r="J1710" s="2"/>
    </row>
    <row r="1711" spans="3:10" x14ac:dyDescent="0.3">
      <c r="C1711" s="2"/>
      <c r="D1711" s="2"/>
      <c r="J1711" s="2"/>
    </row>
    <row r="1712" spans="3:10" x14ac:dyDescent="0.3">
      <c r="C1712" s="2"/>
      <c r="D1712" s="2"/>
      <c r="J1712" s="2"/>
    </row>
    <row r="1713" spans="3:10" x14ac:dyDescent="0.3">
      <c r="C1713" s="2"/>
      <c r="D1713" s="2"/>
      <c r="J1713" s="2"/>
    </row>
    <row r="1714" spans="3:10" x14ac:dyDescent="0.3">
      <c r="C1714" s="2"/>
      <c r="D1714" s="2"/>
      <c r="J1714" s="2"/>
    </row>
    <row r="1715" spans="3:10" x14ac:dyDescent="0.3">
      <c r="C1715" s="2"/>
      <c r="D1715" s="2"/>
      <c r="J1715" s="2"/>
    </row>
    <row r="1716" spans="3:10" x14ac:dyDescent="0.3">
      <c r="C1716" s="2"/>
      <c r="D1716" s="2"/>
      <c r="J1716" s="2"/>
    </row>
    <row r="1717" spans="3:10" x14ac:dyDescent="0.3">
      <c r="C1717" s="2"/>
      <c r="D1717" s="2"/>
      <c r="J1717" s="2"/>
    </row>
    <row r="1718" spans="3:10" x14ac:dyDescent="0.3">
      <c r="C1718" s="2"/>
      <c r="D1718" s="2"/>
      <c r="J1718" s="2"/>
    </row>
    <row r="1719" spans="3:10" x14ac:dyDescent="0.3">
      <c r="C1719" s="2"/>
      <c r="D1719" s="2"/>
      <c r="J1719" s="2"/>
    </row>
    <row r="1720" spans="3:10" x14ac:dyDescent="0.3">
      <c r="C1720" s="2"/>
      <c r="D1720" s="2"/>
      <c r="J1720" s="2"/>
    </row>
    <row r="1721" spans="3:10" x14ac:dyDescent="0.3">
      <c r="C1721" s="2"/>
      <c r="D1721" s="2"/>
      <c r="J1721" s="2"/>
    </row>
    <row r="1722" spans="3:10" x14ac:dyDescent="0.3">
      <c r="C1722" s="2"/>
      <c r="D1722" s="2"/>
      <c r="J1722" s="2"/>
    </row>
    <row r="1723" spans="3:10" x14ac:dyDescent="0.3">
      <c r="C1723" s="2"/>
      <c r="D1723" s="2"/>
      <c r="J1723" s="2"/>
    </row>
    <row r="1724" spans="3:10" x14ac:dyDescent="0.3">
      <c r="C1724" s="2"/>
      <c r="D1724" s="2"/>
      <c r="J1724" s="2"/>
    </row>
    <row r="1725" spans="3:10" x14ac:dyDescent="0.3">
      <c r="C1725" s="2"/>
      <c r="D1725" s="2"/>
      <c r="J1725" s="2"/>
    </row>
    <row r="1726" spans="3:10" x14ac:dyDescent="0.3">
      <c r="C1726" s="2"/>
      <c r="D1726" s="2"/>
      <c r="J1726" s="2"/>
    </row>
    <row r="1727" spans="3:10" x14ac:dyDescent="0.3">
      <c r="C1727" s="2"/>
      <c r="D1727" s="2"/>
      <c r="J1727" s="2"/>
    </row>
    <row r="1728" spans="3:10" x14ac:dyDescent="0.3">
      <c r="C1728" s="2"/>
      <c r="D1728" s="2"/>
      <c r="J1728" s="2"/>
    </row>
    <row r="1729" spans="3:10" x14ac:dyDescent="0.3">
      <c r="C1729" s="2"/>
      <c r="D1729" s="2"/>
      <c r="J1729" s="2"/>
    </row>
    <row r="1730" spans="3:10" x14ac:dyDescent="0.3">
      <c r="C1730" s="2"/>
      <c r="D1730" s="2"/>
      <c r="J1730" s="2"/>
    </row>
    <row r="1731" spans="3:10" x14ac:dyDescent="0.3">
      <c r="C1731" s="2"/>
      <c r="D1731" s="2"/>
      <c r="J1731" s="2"/>
    </row>
    <row r="1732" spans="3:10" x14ac:dyDescent="0.3">
      <c r="C1732" s="2"/>
      <c r="D1732" s="2"/>
      <c r="J1732" s="2"/>
    </row>
    <row r="1733" spans="3:10" x14ac:dyDescent="0.3">
      <c r="C1733" s="2"/>
      <c r="D1733" s="2"/>
      <c r="J1733" s="2"/>
    </row>
    <row r="1734" spans="3:10" x14ac:dyDescent="0.3">
      <c r="C1734" s="2"/>
      <c r="D1734" s="2"/>
      <c r="J1734" s="2"/>
    </row>
    <row r="1735" spans="3:10" x14ac:dyDescent="0.3">
      <c r="C1735" s="2"/>
      <c r="D1735" s="2"/>
      <c r="J1735" s="2"/>
    </row>
    <row r="1736" spans="3:10" x14ac:dyDescent="0.3">
      <c r="C1736" s="2"/>
      <c r="D1736" s="2"/>
      <c r="J1736" s="2"/>
    </row>
    <row r="1737" spans="3:10" x14ac:dyDescent="0.3">
      <c r="C1737" s="2"/>
      <c r="D1737" s="2"/>
      <c r="J1737" s="2"/>
    </row>
    <row r="1738" spans="3:10" x14ac:dyDescent="0.3">
      <c r="C1738" s="2"/>
      <c r="D1738" s="2"/>
      <c r="J1738" s="2"/>
    </row>
    <row r="1739" spans="3:10" x14ac:dyDescent="0.3">
      <c r="C1739" s="2"/>
      <c r="D1739" s="2"/>
      <c r="J1739" s="2"/>
    </row>
    <row r="1740" spans="3:10" x14ac:dyDescent="0.3">
      <c r="C1740" s="2"/>
      <c r="D1740" s="2"/>
      <c r="J1740" s="2"/>
    </row>
    <row r="1741" spans="3:10" x14ac:dyDescent="0.3">
      <c r="C1741" s="2"/>
      <c r="D1741" s="2"/>
      <c r="J1741" s="2"/>
    </row>
    <row r="1742" spans="3:10" x14ac:dyDescent="0.3">
      <c r="C1742" s="2"/>
      <c r="D1742" s="2"/>
      <c r="J1742" s="2"/>
    </row>
    <row r="1743" spans="3:10" x14ac:dyDescent="0.3">
      <c r="C1743" s="2"/>
      <c r="D1743" s="2"/>
      <c r="J1743" s="2"/>
    </row>
    <row r="1744" spans="3:10" x14ac:dyDescent="0.3">
      <c r="C1744" s="2"/>
      <c r="D1744" s="2"/>
      <c r="J1744" s="2"/>
    </row>
    <row r="1745" spans="3:10" x14ac:dyDescent="0.3">
      <c r="C1745" s="2"/>
      <c r="D1745" s="2"/>
      <c r="J1745" s="2"/>
    </row>
    <row r="1746" spans="3:10" x14ac:dyDescent="0.3">
      <c r="C1746" s="2"/>
      <c r="D1746" s="2"/>
      <c r="J1746" s="2"/>
    </row>
    <row r="1747" spans="3:10" x14ac:dyDescent="0.3">
      <c r="C1747" s="2"/>
      <c r="D1747" s="2"/>
      <c r="J1747" s="2"/>
    </row>
    <row r="1748" spans="3:10" x14ac:dyDescent="0.3">
      <c r="C1748" s="2"/>
      <c r="D1748" s="2"/>
      <c r="J1748" s="2"/>
    </row>
    <row r="1749" spans="3:10" x14ac:dyDescent="0.3">
      <c r="C1749" s="2"/>
      <c r="D1749" s="2"/>
      <c r="J1749" s="2"/>
    </row>
    <row r="1750" spans="3:10" x14ac:dyDescent="0.3">
      <c r="C1750" s="2"/>
      <c r="D1750" s="2"/>
      <c r="J1750" s="2"/>
    </row>
    <row r="1751" spans="3:10" x14ac:dyDescent="0.3">
      <c r="C1751" s="2"/>
      <c r="D1751" s="2"/>
      <c r="J1751" s="2"/>
    </row>
    <row r="1752" spans="3:10" x14ac:dyDescent="0.3">
      <c r="C1752" s="2"/>
      <c r="D1752" s="2"/>
      <c r="J1752" s="2"/>
    </row>
    <row r="1753" spans="3:10" x14ac:dyDescent="0.3">
      <c r="C1753" s="2"/>
      <c r="D1753" s="2"/>
      <c r="J1753" s="2"/>
    </row>
    <row r="1754" spans="3:10" x14ac:dyDescent="0.3">
      <c r="C1754" s="2"/>
      <c r="D1754" s="2"/>
      <c r="J1754" s="2"/>
    </row>
    <row r="1755" spans="3:10" x14ac:dyDescent="0.3">
      <c r="C1755" s="2"/>
      <c r="D1755" s="2"/>
      <c r="J1755" s="2"/>
    </row>
    <row r="1756" spans="3:10" x14ac:dyDescent="0.3">
      <c r="C1756" s="2"/>
      <c r="D1756" s="2"/>
      <c r="J1756" s="2"/>
    </row>
    <row r="1757" spans="3:10" x14ac:dyDescent="0.3">
      <c r="C1757" s="2"/>
      <c r="D1757" s="2"/>
      <c r="J1757" s="2"/>
    </row>
    <row r="1758" spans="3:10" x14ac:dyDescent="0.3">
      <c r="C1758" s="2"/>
      <c r="D1758" s="2"/>
      <c r="J1758" s="2"/>
    </row>
    <row r="1759" spans="3:10" x14ac:dyDescent="0.3">
      <c r="C1759" s="2"/>
      <c r="D1759" s="2"/>
      <c r="J1759" s="2"/>
    </row>
    <row r="1760" spans="3:10" x14ac:dyDescent="0.3">
      <c r="C1760" s="2"/>
      <c r="D1760" s="2"/>
      <c r="J1760" s="2"/>
    </row>
    <row r="1761" spans="3:10" x14ac:dyDescent="0.3">
      <c r="C1761" s="2"/>
      <c r="D1761" s="2"/>
      <c r="J1761" s="2"/>
    </row>
    <row r="1762" spans="3:10" x14ac:dyDescent="0.3">
      <c r="C1762" s="2"/>
      <c r="D1762" s="2"/>
      <c r="J1762" s="2"/>
    </row>
    <row r="1763" spans="3:10" x14ac:dyDescent="0.3">
      <c r="C1763" s="2"/>
      <c r="D1763" s="2"/>
      <c r="J1763" s="2"/>
    </row>
    <row r="1764" spans="3:10" x14ac:dyDescent="0.3">
      <c r="C1764" s="2"/>
      <c r="D1764" s="2"/>
      <c r="J1764" s="2"/>
    </row>
    <row r="1765" spans="3:10" x14ac:dyDescent="0.3">
      <c r="C1765" s="2"/>
      <c r="D1765" s="2"/>
      <c r="J1765" s="2"/>
    </row>
    <row r="1766" spans="3:10" x14ac:dyDescent="0.3">
      <c r="C1766" s="2"/>
      <c r="D1766" s="2"/>
      <c r="J1766" s="2"/>
    </row>
    <row r="1767" spans="3:10" x14ac:dyDescent="0.3">
      <c r="C1767" s="2"/>
      <c r="D1767" s="2"/>
      <c r="J1767" s="2"/>
    </row>
    <row r="1768" spans="3:10" x14ac:dyDescent="0.3">
      <c r="C1768" s="2"/>
      <c r="D1768" s="2"/>
      <c r="J1768" s="2"/>
    </row>
    <row r="1769" spans="3:10" x14ac:dyDescent="0.3">
      <c r="C1769" s="2"/>
      <c r="D1769" s="2"/>
      <c r="J1769" s="2"/>
    </row>
    <row r="1770" spans="3:10" x14ac:dyDescent="0.3">
      <c r="C1770" s="2"/>
      <c r="D1770" s="2"/>
      <c r="J1770" s="2"/>
    </row>
    <row r="1771" spans="3:10" x14ac:dyDescent="0.3">
      <c r="C1771" s="2"/>
      <c r="D1771" s="2"/>
      <c r="J1771" s="2"/>
    </row>
    <row r="1772" spans="3:10" x14ac:dyDescent="0.3">
      <c r="C1772" s="2"/>
      <c r="D1772" s="2"/>
      <c r="J1772" s="2"/>
    </row>
    <row r="1773" spans="3:10" x14ac:dyDescent="0.3">
      <c r="C1773" s="2"/>
      <c r="D1773" s="2"/>
      <c r="J1773" s="2"/>
    </row>
    <row r="1774" spans="3:10" x14ac:dyDescent="0.3">
      <c r="C1774" s="2"/>
      <c r="D1774" s="2"/>
      <c r="J1774" s="2"/>
    </row>
    <row r="1775" spans="3:10" x14ac:dyDescent="0.3">
      <c r="C1775" s="2"/>
      <c r="D1775" s="2"/>
      <c r="J1775" s="2"/>
    </row>
    <row r="1776" spans="3:10" x14ac:dyDescent="0.3">
      <c r="C1776" s="2"/>
      <c r="D1776" s="2"/>
      <c r="J1776" s="2"/>
    </row>
    <row r="1777" spans="3:10" x14ac:dyDescent="0.3">
      <c r="C1777" s="2"/>
      <c r="D1777" s="2"/>
      <c r="J1777" s="2"/>
    </row>
    <row r="1778" spans="3:10" x14ac:dyDescent="0.3">
      <c r="C1778" s="2"/>
      <c r="D1778" s="2"/>
      <c r="J1778" s="2"/>
    </row>
    <row r="1779" spans="3:10" x14ac:dyDescent="0.3">
      <c r="C1779" s="2"/>
      <c r="D1779" s="2"/>
      <c r="J1779" s="2"/>
    </row>
    <row r="1780" spans="3:10" x14ac:dyDescent="0.3">
      <c r="C1780" s="2"/>
      <c r="D1780" s="2"/>
      <c r="J1780" s="2"/>
    </row>
    <row r="1781" spans="3:10" x14ac:dyDescent="0.3">
      <c r="C1781" s="2"/>
      <c r="D1781" s="2"/>
      <c r="J1781" s="2"/>
    </row>
    <row r="1782" spans="3:10" x14ac:dyDescent="0.3">
      <c r="C1782" s="2"/>
      <c r="D1782" s="2"/>
      <c r="J1782" s="2"/>
    </row>
    <row r="1783" spans="3:10" x14ac:dyDescent="0.3">
      <c r="C1783" s="2"/>
      <c r="D1783" s="2"/>
      <c r="J1783" s="2"/>
    </row>
    <row r="1784" spans="3:10" x14ac:dyDescent="0.3">
      <c r="C1784" s="2"/>
      <c r="D1784" s="2"/>
      <c r="J1784" s="2"/>
    </row>
    <row r="1785" spans="3:10" x14ac:dyDescent="0.3">
      <c r="C1785" s="2"/>
      <c r="D1785" s="2"/>
      <c r="J1785" s="2"/>
    </row>
    <row r="1786" spans="3:10" x14ac:dyDescent="0.3">
      <c r="C1786" s="2"/>
      <c r="D1786" s="2"/>
      <c r="J1786" s="2"/>
    </row>
    <row r="1787" spans="3:10" x14ac:dyDescent="0.3">
      <c r="C1787" s="2"/>
      <c r="D1787" s="2"/>
      <c r="J1787" s="2"/>
    </row>
    <row r="1788" spans="3:10" x14ac:dyDescent="0.3">
      <c r="C1788" s="2"/>
      <c r="D1788" s="2"/>
      <c r="J1788" s="2"/>
    </row>
    <row r="1789" spans="3:10" x14ac:dyDescent="0.3">
      <c r="C1789" s="2"/>
      <c r="D1789" s="2"/>
      <c r="J1789" s="2"/>
    </row>
    <row r="1790" spans="3:10" x14ac:dyDescent="0.3">
      <c r="C1790" s="2"/>
      <c r="D1790" s="2"/>
      <c r="J1790" s="2"/>
    </row>
    <row r="1791" spans="3:10" x14ac:dyDescent="0.3">
      <c r="C1791" s="2"/>
      <c r="D1791" s="2"/>
      <c r="J1791" s="2"/>
    </row>
    <row r="1792" spans="3:10" x14ac:dyDescent="0.3">
      <c r="C1792" s="2"/>
      <c r="D1792" s="2"/>
      <c r="J1792" s="2"/>
    </row>
    <row r="1793" spans="3:10" x14ac:dyDescent="0.3">
      <c r="C1793" s="2"/>
      <c r="D1793" s="2"/>
      <c r="J1793" s="2"/>
    </row>
    <row r="1794" spans="3:10" x14ac:dyDescent="0.3">
      <c r="C1794" s="2"/>
      <c r="D1794" s="2"/>
      <c r="J1794" s="2"/>
    </row>
    <row r="1795" spans="3:10" x14ac:dyDescent="0.3">
      <c r="C1795" s="2"/>
      <c r="D1795" s="2"/>
      <c r="J1795" s="2"/>
    </row>
    <row r="1796" spans="3:10" x14ac:dyDescent="0.3">
      <c r="C1796" s="2"/>
      <c r="D1796" s="2"/>
      <c r="J1796" s="2"/>
    </row>
    <row r="1797" spans="3:10" x14ac:dyDescent="0.3">
      <c r="C1797" s="2"/>
      <c r="D1797" s="2"/>
      <c r="J1797" s="2"/>
    </row>
    <row r="1798" spans="3:10" x14ac:dyDescent="0.3">
      <c r="C1798" s="2"/>
      <c r="D1798" s="2"/>
      <c r="J1798" s="2"/>
    </row>
    <row r="1799" spans="3:10" x14ac:dyDescent="0.3">
      <c r="C1799" s="2"/>
      <c r="D1799" s="2"/>
      <c r="J1799" s="2"/>
    </row>
    <row r="1800" spans="3:10" x14ac:dyDescent="0.3">
      <c r="C1800" s="2"/>
      <c r="D1800" s="2"/>
      <c r="J1800" s="2"/>
    </row>
    <row r="1801" spans="3:10" x14ac:dyDescent="0.3">
      <c r="C1801" s="2"/>
      <c r="D1801" s="2"/>
      <c r="J1801" s="2"/>
    </row>
    <row r="1802" spans="3:10" x14ac:dyDescent="0.3">
      <c r="C1802" s="2"/>
      <c r="D1802" s="2"/>
      <c r="J1802" s="2"/>
    </row>
    <row r="1803" spans="3:10" x14ac:dyDescent="0.3">
      <c r="C1803" s="2"/>
      <c r="D1803" s="2"/>
      <c r="J1803" s="2"/>
    </row>
    <row r="1804" spans="3:10" x14ac:dyDescent="0.3">
      <c r="C1804" s="2"/>
      <c r="D1804" s="2"/>
      <c r="J1804" s="2"/>
    </row>
    <row r="1805" spans="3:10" x14ac:dyDescent="0.3">
      <c r="C1805" s="2"/>
      <c r="D1805" s="2"/>
      <c r="J1805" s="2"/>
    </row>
    <row r="1806" spans="3:10" x14ac:dyDescent="0.3">
      <c r="C1806" s="2"/>
      <c r="D1806" s="2"/>
      <c r="J1806" s="2"/>
    </row>
    <row r="1807" spans="3:10" x14ac:dyDescent="0.3">
      <c r="C1807" s="2"/>
      <c r="D1807" s="2"/>
      <c r="J1807" s="2"/>
    </row>
    <row r="1808" spans="3:10" x14ac:dyDescent="0.3">
      <c r="C1808" s="2"/>
      <c r="D1808" s="2"/>
      <c r="J1808" s="2"/>
    </row>
    <row r="1809" spans="3:10" x14ac:dyDescent="0.3">
      <c r="C1809" s="2"/>
      <c r="D1809" s="2"/>
      <c r="J1809" s="2"/>
    </row>
    <row r="1810" spans="3:10" x14ac:dyDescent="0.3">
      <c r="C1810" s="2"/>
      <c r="D1810" s="2"/>
      <c r="J1810" s="2"/>
    </row>
    <row r="1811" spans="3:10" x14ac:dyDescent="0.3">
      <c r="C1811" s="2"/>
      <c r="D1811" s="2"/>
      <c r="J1811" s="2"/>
    </row>
    <row r="1812" spans="3:10" x14ac:dyDescent="0.3">
      <c r="C1812" s="2"/>
      <c r="D1812" s="2"/>
      <c r="J1812" s="2"/>
    </row>
    <row r="1813" spans="3:10" x14ac:dyDescent="0.3">
      <c r="C1813" s="2"/>
      <c r="D1813" s="2"/>
      <c r="J1813" s="2"/>
    </row>
    <row r="1814" spans="3:10" x14ac:dyDescent="0.3">
      <c r="C1814" s="2"/>
      <c r="D1814" s="2"/>
      <c r="J1814" s="2"/>
    </row>
    <row r="1815" spans="3:10" x14ac:dyDescent="0.3">
      <c r="C1815" s="2"/>
      <c r="D1815" s="2"/>
      <c r="J1815" s="2"/>
    </row>
    <row r="1816" spans="3:10" x14ac:dyDescent="0.3">
      <c r="C1816" s="2"/>
      <c r="D1816" s="2"/>
      <c r="J1816" s="2"/>
    </row>
    <row r="1817" spans="3:10" x14ac:dyDescent="0.3">
      <c r="C1817" s="2"/>
      <c r="D1817" s="2"/>
      <c r="J1817" s="2"/>
    </row>
    <row r="1818" spans="3:10" x14ac:dyDescent="0.3">
      <c r="C1818" s="2"/>
      <c r="D1818" s="2"/>
      <c r="J1818" s="2"/>
    </row>
    <row r="1819" spans="3:10" x14ac:dyDescent="0.3">
      <c r="C1819" s="2"/>
      <c r="D1819" s="2"/>
      <c r="J1819" s="2"/>
    </row>
    <row r="1820" spans="3:10" x14ac:dyDescent="0.3">
      <c r="C1820" s="2"/>
      <c r="D1820" s="2"/>
      <c r="J1820" s="2"/>
    </row>
    <row r="1821" spans="3:10" x14ac:dyDescent="0.3">
      <c r="C1821" s="2"/>
      <c r="D1821" s="2"/>
      <c r="J1821" s="2"/>
    </row>
    <row r="1822" spans="3:10" x14ac:dyDescent="0.3">
      <c r="C1822" s="2"/>
      <c r="D1822" s="2"/>
      <c r="J1822" s="2"/>
    </row>
    <row r="1823" spans="3:10" x14ac:dyDescent="0.3">
      <c r="C1823" s="2"/>
      <c r="D1823" s="2"/>
      <c r="J1823" s="2"/>
    </row>
    <row r="1824" spans="3:10" x14ac:dyDescent="0.3">
      <c r="C1824" s="2"/>
      <c r="D1824" s="2"/>
      <c r="J1824" s="2"/>
    </row>
    <row r="1825" spans="3:10" x14ac:dyDescent="0.3">
      <c r="C1825" s="2"/>
      <c r="D1825" s="2"/>
      <c r="J1825" s="2"/>
    </row>
    <row r="1826" spans="3:10" x14ac:dyDescent="0.3">
      <c r="C1826" s="2"/>
      <c r="D1826" s="2"/>
      <c r="J1826" s="2"/>
    </row>
    <row r="1827" spans="3:10" x14ac:dyDescent="0.3">
      <c r="C1827" s="2"/>
      <c r="D1827" s="2"/>
      <c r="J1827" s="2"/>
    </row>
    <row r="1828" spans="3:10" x14ac:dyDescent="0.3">
      <c r="C1828" s="2"/>
      <c r="D1828" s="2"/>
      <c r="J1828" s="2"/>
    </row>
    <row r="1829" spans="3:10" x14ac:dyDescent="0.3">
      <c r="C1829" s="2"/>
      <c r="D1829" s="2"/>
      <c r="J1829" s="2"/>
    </row>
    <row r="1830" spans="3:10" x14ac:dyDescent="0.3">
      <c r="C1830" s="2"/>
      <c r="D1830" s="2"/>
      <c r="J1830" s="2"/>
    </row>
    <row r="1831" spans="3:10" x14ac:dyDescent="0.3">
      <c r="C1831" s="2"/>
      <c r="D1831" s="2"/>
      <c r="J1831" s="2"/>
    </row>
    <row r="1832" spans="3:10" x14ac:dyDescent="0.3">
      <c r="C1832" s="2"/>
      <c r="D1832" s="2"/>
      <c r="J1832" s="2"/>
    </row>
    <row r="1833" spans="3:10" x14ac:dyDescent="0.3">
      <c r="C1833" s="2"/>
      <c r="D1833" s="2"/>
      <c r="J1833" s="2"/>
    </row>
    <row r="1834" spans="3:10" x14ac:dyDescent="0.3">
      <c r="C1834" s="2"/>
      <c r="D1834" s="2"/>
      <c r="J1834" s="2"/>
    </row>
    <row r="1835" spans="3:10" x14ac:dyDescent="0.3">
      <c r="C1835" s="2"/>
      <c r="D1835" s="2"/>
      <c r="J1835" s="2"/>
    </row>
    <row r="1836" spans="3:10" x14ac:dyDescent="0.3">
      <c r="C1836" s="2"/>
      <c r="D1836" s="2"/>
      <c r="J1836" s="2"/>
    </row>
    <row r="1837" spans="3:10" x14ac:dyDescent="0.3">
      <c r="C1837" s="2"/>
      <c r="D1837" s="2"/>
      <c r="J1837" s="2"/>
    </row>
    <row r="1838" spans="3:10" x14ac:dyDescent="0.3">
      <c r="C1838" s="2"/>
      <c r="D1838" s="2"/>
      <c r="J1838" s="2"/>
    </row>
    <row r="1839" spans="3:10" x14ac:dyDescent="0.3">
      <c r="C1839" s="2"/>
      <c r="D1839" s="2"/>
      <c r="J1839" s="2"/>
    </row>
    <row r="1840" spans="3:10" x14ac:dyDescent="0.3">
      <c r="C1840" s="2"/>
      <c r="D1840" s="2"/>
      <c r="J1840" s="2"/>
    </row>
    <row r="1841" spans="3:10" x14ac:dyDescent="0.3">
      <c r="C1841" s="2"/>
      <c r="D1841" s="2"/>
      <c r="J1841" s="2"/>
    </row>
    <row r="1842" spans="3:10" x14ac:dyDescent="0.3">
      <c r="C1842" s="2"/>
      <c r="D1842" s="2"/>
      <c r="J1842" s="2"/>
    </row>
    <row r="1843" spans="3:10" x14ac:dyDescent="0.3">
      <c r="C1843" s="2"/>
      <c r="D1843" s="2"/>
      <c r="J1843" s="2"/>
    </row>
    <row r="1844" spans="3:10" x14ac:dyDescent="0.3">
      <c r="C1844" s="2"/>
      <c r="D1844" s="2"/>
      <c r="J1844" s="2"/>
    </row>
    <row r="1845" spans="3:10" x14ac:dyDescent="0.3">
      <c r="C1845" s="2"/>
      <c r="D1845" s="2"/>
      <c r="J1845" s="2"/>
    </row>
    <row r="1846" spans="3:10" x14ac:dyDescent="0.3">
      <c r="C1846" s="2"/>
      <c r="D1846" s="2"/>
      <c r="J1846" s="2"/>
    </row>
    <row r="1847" spans="3:10" x14ac:dyDescent="0.3">
      <c r="C1847" s="2"/>
      <c r="D1847" s="2"/>
      <c r="J1847" s="2"/>
    </row>
    <row r="1848" spans="3:10" x14ac:dyDescent="0.3">
      <c r="C1848" s="2"/>
      <c r="D1848" s="2"/>
      <c r="J1848" s="2"/>
    </row>
    <row r="1849" spans="3:10" x14ac:dyDescent="0.3">
      <c r="C1849" s="2"/>
      <c r="D1849" s="2"/>
      <c r="J1849" s="2"/>
    </row>
    <row r="1850" spans="3:10" x14ac:dyDescent="0.3">
      <c r="C1850" s="2"/>
      <c r="D1850" s="2"/>
      <c r="J1850" s="2"/>
    </row>
    <row r="1851" spans="3:10" x14ac:dyDescent="0.3">
      <c r="C1851" s="2"/>
      <c r="D1851" s="2"/>
      <c r="J1851" s="2"/>
    </row>
    <row r="1852" spans="3:10" x14ac:dyDescent="0.3">
      <c r="C1852" s="2"/>
      <c r="D1852" s="2"/>
      <c r="J1852" s="2"/>
    </row>
    <row r="1853" spans="3:10" x14ac:dyDescent="0.3">
      <c r="C1853" s="2"/>
      <c r="D1853" s="2"/>
      <c r="J1853" s="2"/>
    </row>
    <row r="1854" spans="3:10" x14ac:dyDescent="0.3">
      <c r="C1854" s="2"/>
      <c r="D1854" s="2"/>
      <c r="J1854" s="2"/>
    </row>
    <row r="1855" spans="3:10" x14ac:dyDescent="0.3">
      <c r="C1855" s="2"/>
      <c r="D1855" s="2"/>
      <c r="J1855" s="2"/>
    </row>
    <row r="1856" spans="3:10" x14ac:dyDescent="0.3">
      <c r="C1856" s="2"/>
      <c r="D1856" s="2"/>
      <c r="J1856" s="2"/>
    </row>
    <row r="1857" spans="3:10" x14ac:dyDescent="0.3">
      <c r="C1857" s="2"/>
      <c r="D1857" s="2"/>
      <c r="J1857" s="2"/>
    </row>
    <row r="1858" spans="3:10" x14ac:dyDescent="0.3">
      <c r="C1858" s="2"/>
      <c r="D1858" s="2"/>
      <c r="J1858" s="2"/>
    </row>
    <row r="1859" spans="3:10" x14ac:dyDescent="0.3">
      <c r="C1859" s="2"/>
      <c r="D1859" s="2"/>
      <c r="J1859" s="2"/>
    </row>
    <row r="1860" spans="3:10" x14ac:dyDescent="0.3">
      <c r="C1860" s="2"/>
      <c r="D1860" s="2"/>
      <c r="J1860" s="2"/>
    </row>
    <row r="1861" spans="3:10" x14ac:dyDescent="0.3">
      <c r="C1861" s="2"/>
      <c r="D1861" s="2"/>
      <c r="J1861" s="2"/>
    </row>
    <row r="1862" spans="3:10" x14ac:dyDescent="0.3">
      <c r="C1862" s="2"/>
      <c r="D1862" s="2"/>
      <c r="J1862" s="2"/>
    </row>
    <row r="1863" spans="3:10" x14ac:dyDescent="0.3">
      <c r="C1863" s="2"/>
      <c r="D1863" s="2"/>
      <c r="J1863" s="2"/>
    </row>
    <row r="1864" spans="3:10" x14ac:dyDescent="0.3">
      <c r="C1864" s="2"/>
      <c r="D1864" s="2"/>
      <c r="J1864" s="2"/>
    </row>
    <row r="1865" spans="3:10" x14ac:dyDescent="0.3">
      <c r="C1865" s="2"/>
      <c r="D1865" s="2"/>
      <c r="J1865" s="2"/>
    </row>
    <row r="1866" spans="3:10" x14ac:dyDescent="0.3">
      <c r="C1866" s="2"/>
      <c r="D1866" s="2"/>
      <c r="J1866" s="2"/>
    </row>
    <row r="1867" spans="3:10" x14ac:dyDescent="0.3">
      <c r="C1867" s="2"/>
      <c r="D1867" s="2"/>
      <c r="J1867" s="2"/>
    </row>
    <row r="1868" spans="3:10" x14ac:dyDescent="0.3">
      <c r="C1868" s="2"/>
      <c r="D1868" s="2"/>
      <c r="J1868" s="2"/>
    </row>
    <row r="1869" spans="3:10" x14ac:dyDescent="0.3">
      <c r="C1869" s="2"/>
      <c r="D1869" s="2"/>
      <c r="J1869" s="2"/>
    </row>
    <row r="1870" spans="3:10" x14ac:dyDescent="0.3">
      <c r="C1870" s="2"/>
      <c r="D1870" s="2"/>
      <c r="J1870" s="2"/>
    </row>
    <row r="1871" spans="3:10" x14ac:dyDescent="0.3">
      <c r="C1871" s="2"/>
      <c r="D1871" s="2"/>
      <c r="J1871" s="2"/>
    </row>
    <row r="1872" spans="3:10" x14ac:dyDescent="0.3">
      <c r="C1872" s="2"/>
      <c r="D1872" s="2"/>
      <c r="J1872" s="2"/>
    </row>
    <row r="1873" spans="3:10" x14ac:dyDescent="0.3">
      <c r="C1873" s="2"/>
      <c r="D1873" s="2"/>
      <c r="J1873" s="2"/>
    </row>
    <row r="1874" spans="3:10" x14ac:dyDescent="0.3">
      <c r="C1874" s="2"/>
      <c r="D1874" s="2"/>
      <c r="J1874" s="2"/>
    </row>
    <row r="1875" spans="3:10" x14ac:dyDescent="0.3">
      <c r="C1875" s="2"/>
      <c r="D1875" s="2"/>
      <c r="J1875" s="2"/>
    </row>
    <row r="1876" spans="3:10" x14ac:dyDescent="0.3">
      <c r="C1876" s="2"/>
      <c r="D1876" s="2"/>
      <c r="J1876" s="2"/>
    </row>
    <row r="1877" spans="3:10" x14ac:dyDescent="0.3">
      <c r="C1877" s="2"/>
      <c r="D1877" s="2"/>
      <c r="J1877" s="2"/>
    </row>
    <row r="1878" spans="3:10" x14ac:dyDescent="0.3">
      <c r="C1878" s="2"/>
      <c r="D1878" s="2"/>
      <c r="J1878" s="2"/>
    </row>
    <row r="1879" spans="3:10" x14ac:dyDescent="0.3">
      <c r="C1879" s="2"/>
      <c r="D1879" s="2"/>
      <c r="J1879" s="2"/>
    </row>
    <row r="1880" spans="3:10" x14ac:dyDescent="0.3">
      <c r="C1880" s="2"/>
      <c r="D1880" s="2"/>
      <c r="J1880" s="2"/>
    </row>
    <row r="1881" spans="3:10" x14ac:dyDescent="0.3">
      <c r="C1881" s="2"/>
      <c r="D1881" s="2"/>
      <c r="J1881" s="2"/>
    </row>
    <row r="1882" spans="3:10" x14ac:dyDescent="0.3">
      <c r="C1882" s="2"/>
      <c r="D1882" s="2"/>
      <c r="J1882" s="2"/>
    </row>
    <row r="1883" spans="3:10" x14ac:dyDescent="0.3">
      <c r="C1883" s="2"/>
      <c r="D1883" s="2"/>
      <c r="J1883" s="2"/>
    </row>
    <row r="1884" spans="3:10" x14ac:dyDescent="0.3">
      <c r="C1884" s="2"/>
      <c r="D1884" s="2"/>
      <c r="J1884" s="2"/>
    </row>
    <row r="1885" spans="3:10" x14ac:dyDescent="0.3">
      <c r="C1885" s="2"/>
      <c r="D1885" s="2"/>
      <c r="J1885" s="2"/>
    </row>
    <row r="1886" spans="3:10" x14ac:dyDescent="0.3">
      <c r="C1886" s="2"/>
      <c r="D1886" s="2"/>
      <c r="J1886" s="2"/>
    </row>
    <row r="1887" spans="3:10" x14ac:dyDescent="0.3">
      <c r="C1887" s="2"/>
      <c r="D1887" s="2"/>
      <c r="J1887" s="2"/>
    </row>
    <row r="1888" spans="3:10" x14ac:dyDescent="0.3">
      <c r="C1888" s="2"/>
      <c r="D1888" s="2"/>
      <c r="J1888" s="2"/>
    </row>
    <row r="1889" spans="3:10" x14ac:dyDescent="0.3">
      <c r="C1889" s="2"/>
      <c r="D1889" s="2"/>
      <c r="J1889" s="2"/>
    </row>
    <row r="1890" spans="3:10" x14ac:dyDescent="0.3">
      <c r="C1890" s="2"/>
      <c r="D1890" s="2"/>
      <c r="J1890" s="2"/>
    </row>
    <row r="1891" spans="3:10" x14ac:dyDescent="0.3">
      <c r="C1891" s="2"/>
      <c r="D1891" s="2"/>
      <c r="J1891" s="2"/>
    </row>
    <row r="1892" spans="3:10" x14ac:dyDescent="0.3">
      <c r="C1892" s="2"/>
      <c r="D1892" s="2"/>
      <c r="J1892" s="2"/>
    </row>
    <row r="1893" spans="3:10" x14ac:dyDescent="0.3">
      <c r="C1893" s="2"/>
      <c r="D1893" s="2"/>
      <c r="J1893" s="2"/>
    </row>
    <row r="1894" spans="3:10" x14ac:dyDescent="0.3">
      <c r="C1894" s="2"/>
      <c r="D1894" s="2"/>
      <c r="J1894" s="2"/>
    </row>
    <row r="1895" spans="3:10" x14ac:dyDescent="0.3">
      <c r="C1895" s="2"/>
      <c r="D1895" s="2"/>
      <c r="J1895" s="2"/>
    </row>
    <row r="1896" spans="3:10" x14ac:dyDescent="0.3">
      <c r="C1896" s="2"/>
      <c r="D1896" s="2"/>
      <c r="J1896" s="2"/>
    </row>
    <row r="1897" spans="3:10" x14ac:dyDescent="0.3">
      <c r="C1897" s="2"/>
      <c r="D1897" s="2"/>
      <c r="J1897" s="2"/>
    </row>
    <row r="1898" spans="3:10" x14ac:dyDescent="0.3">
      <c r="C1898" s="2"/>
      <c r="D1898" s="2"/>
      <c r="J1898" s="2"/>
    </row>
    <row r="1899" spans="3:10" x14ac:dyDescent="0.3">
      <c r="C1899" s="2"/>
      <c r="D1899" s="2"/>
      <c r="J1899" s="2"/>
    </row>
    <row r="1900" spans="3:10" x14ac:dyDescent="0.3">
      <c r="C1900" s="2"/>
      <c r="D1900" s="2"/>
      <c r="J1900" s="2"/>
    </row>
    <row r="1901" spans="3:10" x14ac:dyDescent="0.3">
      <c r="C1901" s="2"/>
      <c r="D1901" s="2"/>
      <c r="J1901" s="2"/>
    </row>
    <row r="1902" spans="3:10" x14ac:dyDescent="0.3">
      <c r="C1902" s="2"/>
      <c r="D1902" s="2"/>
      <c r="J1902" s="2"/>
    </row>
    <row r="1903" spans="3:10" x14ac:dyDescent="0.3">
      <c r="C1903" s="2"/>
      <c r="D1903" s="2"/>
      <c r="J1903" s="2"/>
    </row>
    <row r="1904" spans="3:10" x14ac:dyDescent="0.3">
      <c r="C1904" s="2"/>
      <c r="D1904" s="2"/>
      <c r="J1904" s="2"/>
    </row>
    <row r="1905" spans="3:10" x14ac:dyDescent="0.3">
      <c r="C1905" s="2"/>
      <c r="D1905" s="2"/>
      <c r="J1905" s="2"/>
    </row>
    <row r="1906" spans="3:10" x14ac:dyDescent="0.3">
      <c r="C1906" s="2"/>
      <c r="D1906" s="2"/>
      <c r="J1906" s="2"/>
    </row>
    <row r="1907" spans="3:10" x14ac:dyDescent="0.3">
      <c r="C1907" s="2"/>
      <c r="D1907" s="2"/>
      <c r="J1907" s="2"/>
    </row>
    <row r="1908" spans="3:10" x14ac:dyDescent="0.3">
      <c r="C1908" s="2"/>
      <c r="D1908" s="2"/>
      <c r="J1908" s="2"/>
    </row>
    <row r="1909" spans="3:10" x14ac:dyDescent="0.3">
      <c r="C1909" s="2"/>
      <c r="D1909" s="2"/>
      <c r="J1909" s="2"/>
    </row>
    <row r="1910" spans="3:10" x14ac:dyDescent="0.3">
      <c r="C1910" s="2"/>
      <c r="D1910" s="2"/>
      <c r="J1910" s="2"/>
    </row>
    <row r="1911" spans="3:10" x14ac:dyDescent="0.3">
      <c r="C1911" s="2"/>
      <c r="D1911" s="2"/>
      <c r="J1911" s="2"/>
    </row>
    <row r="1912" spans="3:10" x14ac:dyDescent="0.3">
      <c r="C1912" s="2"/>
      <c r="D1912" s="2"/>
      <c r="J1912" s="2"/>
    </row>
    <row r="1913" spans="3:10" x14ac:dyDescent="0.3">
      <c r="C1913" s="2"/>
      <c r="D1913" s="2"/>
      <c r="J1913" s="2"/>
    </row>
    <row r="1914" spans="3:10" x14ac:dyDescent="0.3">
      <c r="C1914" s="2"/>
      <c r="D1914" s="2"/>
      <c r="J1914" s="2"/>
    </row>
    <row r="1915" spans="3:10" x14ac:dyDescent="0.3">
      <c r="C1915" s="2"/>
      <c r="D1915" s="2"/>
      <c r="J1915" s="2"/>
    </row>
    <row r="1916" spans="3:10" x14ac:dyDescent="0.3">
      <c r="C1916" s="2"/>
      <c r="D1916" s="2"/>
      <c r="J1916" s="2"/>
    </row>
    <row r="1917" spans="3:10" x14ac:dyDescent="0.3">
      <c r="C1917" s="2"/>
      <c r="D1917" s="2"/>
      <c r="J1917" s="2"/>
    </row>
    <row r="1918" spans="3:10" x14ac:dyDescent="0.3">
      <c r="C1918" s="2"/>
      <c r="D1918" s="2"/>
      <c r="J1918" s="2"/>
    </row>
    <row r="1919" spans="3:10" x14ac:dyDescent="0.3">
      <c r="C1919" s="2"/>
      <c r="D1919" s="2"/>
      <c r="J1919" s="2"/>
    </row>
    <row r="1920" spans="3:10" x14ac:dyDescent="0.3">
      <c r="C1920" s="2"/>
      <c r="D1920" s="2"/>
      <c r="J1920" s="2"/>
    </row>
    <row r="1921" spans="3:10" x14ac:dyDescent="0.3">
      <c r="C1921" s="2"/>
      <c r="D1921" s="2"/>
      <c r="J1921" s="2"/>
    </row>
    <row r="1922" spans="3:10" x14ac:dyDescent="0.3">
      <c r="C1922" s="2"/>
      <c r="D1922" s="2"/>
      <c r="J1922" s="2"/>
    </row>
    <row r="1923" spans="3:10" x14ac:dyDescent="0.3">
      <c r="C1923" s="2"/>
      <c r="D1923" s="2"/>
      <c r="J1923" s="2"/>
    </row>
    <row r="1924" spans="3:10" x14ac:dyDescent="0.3">
      <c r="C1924" s="2"/>
      <c r="D1924" s="2"/>
      <c r="J1924" s="2"/>
    </row>
    <row r="1925" spans="3:10" x14ac:dyDescent="0.3">
      <c r="C1925" s="2"/>
      <c r="D1925" s="2"/>
      <c r="J1925" s="2"/>
    </row>
    <row r="1926" spans="3:10" x14ac:dyDescent="0.3">
      <c r="C1926" s="2"/>
      <c r="D1926" s="2"/>
      <c r="J1926" s="2"/>
    </row>
    <row r="1927" spans="3:10" x14ac:dyDescent="0.3">
      <c r="C1927" s="2"/>
      <c r="D1927" s="2"/>
      <c r="J1927" s="2"/>
    </row>
    <row r="1928" spans="3:10" x14ac:dyDescent="0.3">
      <c r="C1928" s="2"/>
      <c r="D1928" s="2"/>
      <c r="J1928" s="2"/>
    </row>
    <row r="1929" spans="3:10" x14ac:dyDescent="0.3">
      <c r="C1929" s="2"/>
      <c r="D1929" s="2"/>
      <c r="J1929" s="2"/>
    </row>
    <row r="1930" spans="3:10" x14ac:dyDescent="0.3">
      <c r="C1930" s="2"/>
      <c r="D1930" s="2"/>
      <c r="J1930" s="2"/>
    </row>
    <row r="1931" spans="3:10" x14ac:dyDescent="0.3">
      <c r="C1931" s="2"/>
      <c r="D1931" s="2"/>
      <c r="J1931" s="2"/>
    </row>
    <row r="1932" spans="3:10" x14ac:dyDescent="0.3">
      <c r="C1932" s="2"/>
      <c r="D1932" s="2"/>
      <c r="J1932" s="2"/>
    </row>
    <row r="1933" spans="3:10" x14ac:dyDescent="0.3">
      <c r="C1933" s="2"/>
      <c r="D1933" s="2"/>
      <c r="J1933" s="2"/>
    </row>
    <row r="1934" spans="3:10" x14ac:dyDescent="0.3">
      <c r="C1934" s="2"/>
      <c r="D1934" s="2"/>
      <c r="J1934" s="2"/>
    </row>
    <row r="1935" spans="3:10" x14ac:dyDescent="0.3">
      <c r="C1935" s="2"/>
      <c r="D1935" s="2"/>
      <c r="J1935" s="2"/>
    </row>
    <row r="1936" spans="3:10" x14ac:dyDescent="0.3">
      <c r="C1936" s="2"/>
      <c r="D1936" s="2"/>
      <c r="J1936" s="2"/>
    </row>
    <row r="1937" spans="3:10" x14ac:dyDescent="0.3">
      <c r="C1937" s="2"/>
      <c r="D1937" s="2"/>
      <c r="J1937" s="2"/>
    </row>
    <row r="1938" spans="3:10" x14ac:dyDescent="0.3">
      <c r="C1938" s="2"/>
      <c r="D1938" s="2"/>
      <c r="J1938" s="2"/>
    </row>
    <row r="1939" spans="3:10" x14ac:dyDescent="0.3">
      <c r="C1939" s="2"/>
      <c r="D1939" s="2"/>
      <c r="J1939" s="2"/>
    </row>
    <row r="1940" spans="3:10" x14ac:dyDescent="0.3">
      <c r="C1940" s="2"/>
      <c r="D1940" s="2"/>
      <c r="J1940" s="2"/>
    </row>
    <row r="1941" spans="3:10" x14ac:dyDescent="0.3">
      <c r="C1941" s="2"/>
      <c r="D1941" s="2"/>
      <c r="J1941" s="2"/>
    </row>
    <row r="1942" spans="3:10" x14ac:dyDescent="0.3">
      <c r="C1942" s="2"/>
      <c r="D1942" s="2"/>
      <c r="J1942" s="2"/>
    </row>
    <row r="1943" spans="3:10" x14ac:dyDescent="0.3">
      <c r="C1943" s="2"/>
      <c r="D1943" s="2"/>
      <c r="J1943" s="2"/>
    </row>
    <row r="1944" spans="3:10" x14ac:dyDescent="0.3">
      <c r="C1944" s="2"/>
      <c r="D1944" s="2"/>
      <c r="J1944" s="2"/>
    </row>
    <row r="1945" spans="3:10" x14ac:dyDescent="0.3">
      <c r="C1945" s="2"/>
      <c r="D1945" s="2"/>
      <c r="J1945" s="2"/>
    </row>
    <row r="1946" spans="3:10" x14ac:dyDescent="0.3">
      <c r="C1946" s="2"/>
      <c r="D1946" s="2"/>
      <c r="J1946" s="2"/>
    </row>
    <row r="1947" spans="3:10" x14ac:dyDescent="0.3">
      <c r="C1947" s="2"/>
      <c r="D1947" s="2"/>
      <c r="J1947" s="2"/>
    </row>
    <row r="1948" spans="3:10" x14ac:dyDescent="0.3">
      <c r="C1948" s="2"/>
      <c r="D1948" s="2"/>
      <c r="J1948" s="2"/>
    </row>
    <row r="1949" spans="3:10" x14ac:dyDescent="0.3">
      <c r="C1949" s="2"/>
      <c r="D1949" s="2"/>
      <c r="J1949" s="2"/>
    </row>
    <row r="1950" spans="3:10" x14ac:dyDescent="0.3">
      <c r="C1950" s="2"/>
      <c r="D1950" s="2"/>
      <c r="J1950" s="2"/>
    </row>
    <row r="1951" spans="3:10" x14ac:dyDescent="0.3">
      <c r="C1951" s="2"/>
      <c r="D1951" s="2"/>
      <c r="J1951" s="2"/>
    </row>
    <row r="1952" spans="3:10" x14ac:dyDescent="0.3">
      <c r="C1952" s="2"/>
      <c r="D1952" s="2"/>
      <c r="J1952" s="2"/>
    </row>
    <row r="1953" spans="3:10" x14ac:dyDescent="0.3">
      <c r="C1953" s="2"/>
      <c r="D1953" s="2"/>
      <c r="J1953" s="2"/>
    </row>
    <row r="1954" spans="3:10" x14ac:dyDescent="0.3">
      <c r="C1954" s="2"/>
      <c r="D1954" s="2"/>
      <c r="J1954" s="2"/>
    </row>
    <row r="1955" spans="3:10" x14ac:dyDescent="0.3">
      <c r="C1955" s="2"/>
      <c r="D1955" s="2"/>
      <c r="J1955" s="2"/>
    </row>
    <row r="1956" spans="3:10" x14ac:dyDescent="0.3">
      <c r="C1956" s="2"/>
      <c r="D1956" s="2"/>
      <c r="J1956" s="2"/>
    </row>
    <row r="1957" spans="3:10" x14ac:dyDescent="0.3">
      <c r="C1957" s="2"/>
      <c r="D1957" s="2"/>
      <c r="J1957" s="2"/>
    </row>
    <row r="1958" spans="3:10" x14ac:dyDescent="0.3">
      <c r="C1958" s="2"/>
      <c r="D1958" s="2"/>
      <c r="J1958" s="2"/>
    </row>
    <row r="1959" spans="3:10" x14ac:dyDescent="0.3">
      <c r="C1959" s="2"/>
      <c r="D1959" s="2"/>
      <c r="J1959" s="2"/>
    </row>
    <row r="1960" spans="3:10" x14ac:dyDescent="0.3">
      <c r="C1960" s="2"/>
      <c r="D1960" s="2"/>
      <c r="J1960" s="2"/>
    </row>
    <row r="1961" spans="3:10" x14ac:dyDescent="0.3">
      <c r="C1961" s="2"/>
      <c r="D1961" s="2"/>
      <c r="J1961" s="2"/>
    </row>
    <row r="1962" spans="3:10" x14ac:dyDescent="0.3">
      <c r="C1962" s="2"/>
      <c r="D1962" s="2"/>
      <c r="J1962" s="2"/>
    </row>
    <row r="1963" spans="3:10" x14ac:dyDescent="0.3">
      <c r="C1963" s="2"/>
      <c r="D1963" s="2"/>
      <c r="J1963" s="2"/>
    </row>
    <row r="1964" spans="3:10" x14ac:dyDescent="0.3">
      <c r="C1964" s="2"/>
      <c r="D1964" s="2"/>
      <c r="J1964" s="2"/>
    </row>
    <row r="1965" spans="3:10" x14ac:dyDescent="0.3">
      <c r="C1965" s="2"/>
      <c r="D1965" s="2"/>
      <c r="J1965" s="2"/>
    </row>
    <row r="1966" spans="3:10" x14ac:dyDescent="0.3">
      <c r="C1966" s="2"/>
      <c r="D1966" s="2"/>
      <c r="J1966" s="2"/>
    </row>
    <row r="1967" spans="3:10" x14ac:dyDescent="0.3">
      <c r="C1967" s="2"/>
      <c r="D1967" s="2"/>
      <c r="J1967" s="2"/>
    </row>
    <row r="1968" spans="3:10" x14ac:dyDescent="0.3">
      <c r="C1968" s="2"/>
      <c r="D1968" s="2"/>
      <c r="J1968" s="2"/>
    </row>
    <row r="1969" spans="3:10" x14ac:dyDescent="0.3">
      <c r="C1969" s="2"/>
      <c r="D1969" s="2"/>
      <c r="J1969" s="2"/>
    </row>
    <row r="1970" spans="3:10" x14ac:dyDescent="0.3">
      <c r="C1970" s="2"/>
      <c r="D1970" s="2"/>
      <c r="J1970" s="2"/>
    </row>
    <row r="1971" spans="3:10" x14ac:dyDescent="0.3">
      <c r="C1971" s="2"/>
      <c r="D1971" s="2"/>
      <c r="J1971" s="2"/>
    </row>
    <row r="1972" spans="3:10" x14ac:dyDescent="0.3">
      <c r="C1972" s="2"/>
      <c r="D1972" s="2"/>
      <c r="J1972" s="2"/>
    </row>
    <row r="1973" spans="3:10" x14ac:dyDescent="0.3">
      <c r="C1973" s="2"/>
      <c r="D1973" s="2"/>
      <c r="J1973" s="2"/>
    </row>
    <row r="1974" spans="3:10" x14ac:dyDescent="0.3">
      <c r="C1974" s="2"/>
      <c r="D1974" s="2"/>
      <c r="J1974" s="2"/>
    </row>
    <row r="1975" spans="3:10" x14ac:dyDescent="0.3">
      <c r="C1975" s="2"/>
      <c r="D1975" s="2"/>
      <c r="J1975" s="2"/>
    </row>
    <row r="1976" spans="3:10" x14ac:dyDescent="0.3">
      <c r="C1976" s="2"/>
      <c r="D1976" s="2"/>
      <c r="J1976" s="2"/>
    </row>
    <row r="1977" spans="3:10" x14ac:dyDescent="0.3">
      <c r="C1977" s="2"/>
      <c r="D1977" s="2"/>
      <c r="J1977" s="2"/>
    </row>
    <row r="1978" spans="3:10" x14ac:dyDescent="0.3">
      <c r="C1978" s="2"/>
      <c r="D1978" s="2"/>
      <c r="J1978" s="2"/>
    </row>
    <row r="1979" spans="3:10" x14ac:dyDescent="0.3">
      <c r="C1979" s="2"/>
      <c r="D1979" s="2"/>
      <c r="J1979" s="2"/>
    </row>
    <row r="1980" spans="3:10" x14ac:dyDescent="0.3">
      <c r="C1980" s="2"/>
      <c r="D1980" s="2"/>
      <c r="J1980" s="2"/>
    </row>
    <row r="1981" spans="3:10" x14ac:dyDescent="0.3">
      <c r="C1981" s="2"/>
      <c r="D1981" s="2"/>
      <c r="J1981" s="2"/>
    </row>
    <row r="1982" spans="3:10" x14ac:dyDescent="0.3">
      <c r="C1982" s="2"/>
      <c r="D1982" s="2"/>
      <c r="J1982" s="2"/>
    </row>
    <row r="1983" spans="3:10" x14ac:dyDescent="0.3">
      <c r="C1983" s="2"/>
      <c r="D1983" s="2"/>
      <c r="J1983" s="2"/>
    </row>
    <row r="1984" spans="3:10" x14ac:dyDescent="0.3">
      <c r="C1984" s="2"/>
      <c r="D1984" s="2"/>
      <c r="J1984" s="2"/>
    </row>
    <row r="1985" spans="3:10" x14ac:dyDescent="0.3">
      <c r="C1985" s="2"/>
      <c r="D1985" s="2"/>
      <c r="J1985" s="2"/>
    </row>
    <row r="1986" spans="3:10" x14ac:dyDescent="0.3">
      <c r="C1986" s="2"/>
      <c r="D1986" s="2"/>
      <c r="J1986" s="2"/>
    </row>
    <row r="1987" spans="3:10" x14ac:dyDescent="0.3">
      <c r="C1987" s="2"/>
      <c r="D1987" s="2"/>
      <c r="J1987" s="2"/>
    </row>
    <row r="1988" spans="3:10" x14ac:dyDescent="0.3">
      <c r="C1988" s="2"/>
      <c r="D1988" s="2"/>
      <c r="J1988" s="2"/>
    </row>
    <row r="1989" spans="3:10" x14ac:dyDescent="0.3">
      <c r="C1989" s="2"/>
      <c r="D1989" s="2"/>
      <c r="J1989" s="2"/>
    </row>
    <row r="1990" spans="3:10" x14ac:dyDescent="0.3">
      <c r="C1990" s="2"/>
      <c r="D1990" s="2"/>
      <c r="J1990" s="2"/>
    </row>
    <row r="1991" spans="3:10" x14ac:dyDescent="0.3">
      <c r="C1991" s="2"/>
      <c r="D1991" s="2"/>
      <c r="J1991" s="2"/>
    </row>
    <row r="1992" spans="3:10" x14ac:dyDescent="0.3">
      <c r="C1992" s="2"/>
      <c r="D1992" s="2"/>
      <c r="J1992" s="2"/>
    </row>
    <row r="1993" spans="3:10" x14ac:dyDescent="0.3">
      <c r="C1993" s="2"/>
      <c r="D1993" s="2"/>
      <c r="J1993" s="2"/>
    </row>
    <row r="1994" spans="3:10" x14ac:dyDescent="0.3">
      <c r="C1994" s="2"/>
      <c r="D1994" s="2"/>
      <c r="J1994" s="2"/>
    </row>
    <row r="1995" spans="3:10" x14ac:dyDescent="0.3">
      <c r="C1995" s="2"/>
      <c r="D1995" s="2"/>
      <c r="J1995" s="2"/>
    </row>
    <row r="1996" spans="3:10" x14ac:dyDescent="0.3">
      <c r="C1996" s="2"/>
      <c r="D1996" s="2"/>
      <c r="J1996" s="2"/>
    </row>
    <row r="1997" spans="3:10" x14ac:dyDescent="0.3">
      <c r="C1997" s="2"/>
      <c r="D1997" s="2"/>
      <c r="J1997" s="2"/>
    </row>
    <row r="1998" spans="3:10" x14ac:dyDescent="0.3">
      <c r="C1998" s="2"/>
      <c r="D1998" s="2"/>
      <c r="J1998" s="2"/>
    </row>
    <row r="1999" spans="3:10" x14ac:dyDescent="0.3">
      <c r="C1999" s="2"/>
      <c r="D1999" s="2"/>
      <c r="J1999" s="2"/>
    </row>
    <row r="2000" spans="3:10" x14ac:dyDescent="0.3">
      <c r="C2000" s="2"/>
      <c r="D2000" s="2"/>
      <c r="J2000" s="2"/>
    </row>
  </sheetData>
  <sheetProtection algorithmName="SHA-512" hashValue="7BG4IJYRLEbEBV+s0EAQ/bMObppV/LivozkHpvtok1ez9k4nzTovXqtT81NO2Zp//MpX9QD6o4hfKjhWClsYiw==" saltValue="xPZQBOTgRTSlPVHwaEDMXA==" spinCount="100000" sheet="1" objects="1" scenarios="1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E98A1-B9D8-425A-BB29-13B6D0F5A472}">
  <sheetPr codeName="Sheet5">
    <tabColor theme="5" tint="0.79998168889431442"/>
    <pageSetUpPr fitToPage="1"/>
  </sheetPr>
  <dimension ref="C1:O11"/>
  <sheetViews>
    <sheetView showGridLines="0" showRowColHeaders="0" zoomScale="120" zoomScaleNormal="120" workbookViewId="0">
      <selection activeCell="F2" sqref="F2"/>
    </sheetView>
  </sheetViews>
  <sheetFormatPr defaultRowHeight="14.4" x14ac:dyDescent="0.3"/>
  <cols>
    <col min="1" max="2" width="5.77734375" style="3" customWidth="1"/>
    <col min="3" max="3" width="0.88671875" style="3" customWidth="1"/>
    <col min="4" max="4" width="6.77734375" style="3" customWidth="1"/>
    <col min="5" max="5" width="15.77734375" style="3" customWidth="1"/>
    <col min="6" max="6" width="6.77734375" style="3" customWidth="1"/>
    <col min="7" max="7" width="5.77734375" style="3" customWidth="1"/>
    <col min="8" max="9" width="18.77734375" style="3" customWidth="1"/>
    <col min="10" max="10" width="6.77734375" style="3" customWidth="1"/>
    <col min="11" max="12" width="18.77734375" style="3" customWidth="1"/>
    <col min="13" max="13" width="5.77734375" style="3" customWidth="1"/>
    <col min="14" max="14" width="22.77734375" style="3" customWidth="1"/>
    <col min="15" max="15" width="0.88671875" style="3" customWidth="1"/>
    <col min="16" max="16384" width="8.88671875" style="3"/>
  </cols>
  <sheetData>
    <row r="1" spans="3:15" ht="4.95" customHeight="1" x14ac:dyDescent="0.3">
      <c r="C1" s="66"/>
      <c r="D1" s="66"/>
      <c r="E1" s="66"/>
      <c r="F1" s="66"/>
      <c r="G1" s="66"/>
      <c r="H1" s="66"/>
      <c r="I1" s="158"/>
      <c r="J1" s="66"/>
      <c r="K1" s="66"/>
      <c r="L1" s="66"/>
      <c r="M1" s="66"/>
      <c r="N1" s="66"/>
      <c r="O1" s="66"/>
    </row>
    <row r="2" spans="3:15" ht="19.95" customHeight="1" x14ac:dyDescent="0.3">
      <c r="C2" s="66"/>
      <c r="D2" s="299" t="s">
        <v>32</v>
      </c>
      <c r="E2" s="300"/>
      <c r="F2" s="211">
        <v>230</v>
      </c>
      <c r="G2" s="156"/>
      <c r="H2" s="212" t="s">
        <v>4</v>
      </c>
      <c r="I2" s="213" t="str">
        <f xml:space="preserve"> "NACA "&amp;Data2!A24&amp;TEXT(Data2!A3, "00")</f>
        <v>NACA 23011</v>
      </c>
      <c r="J2" s="156"/>
      <c r="K2" s="87"/>
      <c r="L2" s="87"/>
      <c r="M2" s="66"/>
      <c r="N2" s="66"/>
      <c r="O2" s="66"/>
    </row>
    <row r="3" spans="3:15" ht="7.05" customHeight="1" x14ac:dyDescent="0.3">
      <c r="C3" s="66"/>
      <c r="D3" s="66"/>
      <c r="E3" s="66"/>
      <c r="F3" s="66"/>
      <c r="G3" s="66"/>
      <c r="H3" s="157"/>
      <c r="I3" s="159"/>
      <c r="J3" s="66"/>
      <c r="K3" s="87"/>
      <c r="L3" s="87"/>
      <c r="M3" s="66"/>
      <c r="N3" s="66"/>
      <c r="O3" s="66"/>
    </row>
    <row r="4" spans="3:15" ht="22.8" customHeight="1" x14ac:dyDescent="0.3">
      <c r="C4" s="66"/>
      <c r="D4" s="102"/>
      <c r="E4" s="232" t="s">
        <v>22</v>
      </c>
      <c r="F4" s="233">
        <v>0</v>
      </c>
      <c r="G4" s="66"/>
      <c r="H4" s="246" t="s">
        <v>13</v>
      </c>
      <c r="I4" s="247">
        <f>IF(Data2!$A$20=Data2!$A$22, IF(Data2!$A$2=1, "N/A",  0.3), Data2!A15)</f>
        <v>0.3</v>
      </c>
      <c r="J4" s="217"/>
      <c r="K4" s="239" t="s">
        <v>0</v>
      </c>
      <c r="L4" s="190">
        <f>IF(AND(Data2!$A$20=Data2!$A$22,Data2!A2=1),"N/A", Data2!AB2)</f>
        <v>1.3332628512499998E-2</v>
      </c>
      <c r="M4" s="104"/>
      <c r="N4" s="93"/>
      <c r="O4" s="66"/>
    </row>
    <row r="5" spans="3:15" ht="4.95" customHeight="1" x14ac:dyDescent="0.3">
      <c r="C5" s="66"/>
      <c r="D5" s="66"/>
      <c r="E5" s="75"/>
      <c r="F5" s="75"/>
      <c r="G5" s="66"/>
      <c r="H5" s="236"/>
      <c r="I5" s="235"/>
      <c r="J5" s="66"/>
      <c r="K5" s="242"/>
      <c r="L5" s="241"/>
      <c r="M5" s="77"/>
      <c r="N5" s="62"/>
      <c r="O5" s="66"/>
    </row>
    <row r="6" spans="3:15" ht="22.8" customHeight="1" x14ac:dyDescent="0.3">
      <c r="C6" s="66"/>
      <c r="D6" s="66"/>
      <c r="E6" s="230" t="s">
        <v>16</v>
      </c>
      <c r="F6" s="234">
        <v>1</v>
      </c>
      <c r="G6" s="66"/>
      <c r="H6" s="239" t="s">
        <v>8</v>
      </c>
      <c r="I6" s="186">
        <f>IF(AND(Data2!$A$20=Data2!$A$22,Data2!A2=1),"N/A", Data2!A7)</f>
        <v>0.11</v>
      </c>
      <c r="J6" s="66"/>
      <c r="K6" s="239" t="s">
        <v>24</v>
      </c>
      <c r="L6" s="245">
        <f>IF(AND(Data2!$A$20=Data2!$A$22,Data2!A2=1), "N/A", DEGREES(2*ATAN(1.16925*I6)))</f>
        <v>14.658006834430779</v>
      </c>
      <c r="M6" s="88"/>
      <c r="N6" s="94"/>
      <c r="O6" s="66"/>
    </row>
    <row r="7" spans="3:15" ht="4.95" customHeight="1" x14ac:dyDescent="0.3">
      <c r="C7" s="66"/>
      <c r="D7" s="66"/>
      <c r="E7" s="66"/>
      <c r="F7" s="66"/>
      <c r="G7" s="66"/>
      <c r="H7" s="237"/>
      <c r="I7" s="238"/>
      <c r="J7" s="66"/>
      <c r="K7" s="243"/>
      <c r="L7" s="244"/>
      <c r="M7" s="88"/>
      <c r="N7" s="94"/>
      <c r="O7" s="66"/>
    </row>
    <row r="8" spans="3:15" ht="22.8" customHeight="1" x14ac:dyDescent="0.3">
      <c r="C8" s="66"/>
      <c r="D8" s="66"/>
      <c r="E8" s="91"/>
      <c r="F8" s="92"/>
      <c r="G8" s="66"/>
      <c r="H8" s="66"/>
      <c r="I8" s="66"/>
      <c r="J8" s="66"/>
      <c r="K8" s="297" t="s">
        <v>14</v>
      </c>
      <c r="L8" s="298"/>
      <c r="M8" s="74"/>
      <c r="N8" s="95"/>
      <c r="O8" s="66"/>
    </row>
    <row r="9" spans="3:15" ht="21.6" customHeight="1" x14ac:dyDescent="0.3">
      <c r="C9" s="66"/>
      <c r="D9" s="66"/>
      <c r="E9" s="65"/>
      <c r="F9" s="65"/>
      <c r="G9" s="66"/>
      <c r="H9" s="81"/>
      <c r="I9" s="89"/>
      <c r="J9" s="66"/>
      <c r="K9" s="90"/>
      <c r="L9" s="90"/>
      <c r="M9" s="74"/>
      <c r="N9" s="96"/>
      <c r="O9" s="80"/>
    </row>
    <row r="10" spans="3:15" ht="4.95" customHeight="1" x14ac:dyDescent="0.3">
      <c r="C10" s="66"/>
      <c r="D10" s="66"/>
      <c r="E10" s="66"/>
      <c r="F10" s="66"/>
      <c r="G10" s="66"/>
      <c r="H10" s="66"/>
      <c r="I10" s="66"/>
      <c r="J10" s="66"/>
      <c r="K10" s="66"/>
      <c r="L10" s="66"/>
      <c r="M10" s="66"/>
      <c r="N10" s="66"/>
      <c r="O10" s="66"/>
    </row>
    <row r="11" spans="3:15" x14ac:dyDescent="0.3">
      <c r="M11" s="55"/>
    </row>
  </sheetData>
  <sheetProtection algorithmName="SHA-512" hashValue="bASqc/7Xe4DsQyJXWQFm8vcxqwTXU683kEhihOkofkYhtFxXTqZZ2e+mkq7428b+1pFVlwI/8bfE8amDt1+avA==" saltValue="+9XyrvyipIy7qivmtoeByQ==" spinCount="100000" sheet="1" objects="1" scenarios="1" selectLockedCells="1"/>
  <mergeCells count="2">
    <mergeCell ref="K8:L8"/>
    <mergeCell ref="D2:E2"/>
  </mergeCells>
  <pageMargins left="0.7" right="0.7" top="0.75" bottom="0.75" header="0.3" footer="0.3"/>
  <pageSetup paperSize="9" scale="7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Spinner 3">
              <controlPr defaultSize="0" print="0" autoPict="0">
                <anchor moveWithCells="1">
                  <from>
                    <xdr:col>9</xdr:col>
                    <xdr:colOff>0</xdr:colOff>
                    <xdr:row>4</xdr:row>
                    <xdr:rowOff>60960</xdr:rowOff>
                  </from>
                  <to>
                    <xdr:col>9</xdr:col>
                    <xdr:colOff>144780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5" name="Check Box 8">
              <controlPr defaultSize="0" autoFill="0" autoLine="0" autoPict="0">
                <anchor moveWithCells="1">
                  <from>
                    <xdr:col>13</xdr:col>
                    <xdr:colOff>91440</xdr:colOff>
                    <xdr:row>4</xdr:row>
                    <xdr:rowOff>45720</xdr:rowOff>
                  </from>
                  <to>
                    <xdr:col>13</xdr:col>
                    <xdr:colOff>1447800</xdr:colOff>
                    <xdr:row>5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6" name="Check Box 9">
              <controlPr defaultSize="0" autoFill="0" autoLine="0" autoPict="0">
                <anchor moveWithCells="1">
                  <from>
                    <xdr:col>13</xdr:col>
                    <xdr:colOff>91440</xdr:colOff>
                    <xdr:row>5</xdr:row>
                    <xdr:rowOff>243840</xdr:rowOff>
                  </from>
                  <to>
                    <xdr:col>14</xdr:col>
                    <xdr:colOff>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7" name="Check Box 11">
              <controlPr defaultSize="0" autoFill="0" autoLine="0" autoPict="0">
                <anchor moveWithCells="1">
                  <from>
                    <xdr:col>13</xdr:col>
                    <xdr:colOff>91440</xdr:colOff>
                    <xdr:row>7</xdr:row>
                    <xdr:rowOff>160020</xdr:rowOff>
                  </from>
                  <to>
                    <xdr:col>13</xdr:col>
                    <xdr:colOff>1501140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8" name="Check Box 12">
              <controlPr defaultSize="0" autoFill="0" autoLine="0" autoPict="0">
                <anchor moveWithCells="1">
                  <from>
                    <xdr:col>13</xdr:col>
                    <xdr:colOff>91440</xdr:colOff>
                    <xdr:row>3</xdr:row>
                    <xdr:rowOff>121920</xdr:rowOff>
                  </from>
                  <to>
                    <xdr:col>13</xdr:col>
                    <xdr:colOff>990600</xdr:colOff>
                    <xdr:row>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9" name="Check Box 13">
              <controlPr defaultSize="0" autoFill="0" autoLine="0" autoPict="0" macro="[0]!n5_axes.ToggleAxesAndGridlinesKeepingFormat">
                <anchor moveWithCells="1">
                  <from>
                    <xdr:col>4</xdr:col>
                    <xdr:colOff>91440</xdr:colOff>
                    <xdr:row>7</xdr:row>
                    <xdr:rowOff>38100</xdr:rowOff>
                  </from>
                  <to>
                    <xdr:col>5</xdr:col>
                    <xdr:colOff>373380</xdr:colOff>
                    <xdr:row>7</xdr:row>
                    <xdr:rowOff>251460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703A96E-AF15-4C5F-BF3B-A5FE076FDECE}">
          <x14:formula1>
            <xm:f>Data2!$A$25:$A$33</xm:f>
          </x14:formula1>
          <xm:sqref>F2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17BA2-FDC2-4598-AA4C-59F977372DD6}">
  <sheetPr codeName="Sheet13">
    <tabColor theme="5" tint="0.79998168889431442"/>
  </sheetPr>
  <dimension ref="A1:B103"/>
  <sheetViews>
    <sheetView showGridLines="0" showRowColHeaders="0" zoomScaleNormal="100" workbookViewId="0">
      <selection activeCell="N26" sqref="N26"/>
    </sheetView>
  </sheetViews>
  <sheetFormatPr defaultRowHeight="14.4" x14ac:dyDescent="0.3"/>
  <cols>
    <col min="1" max="2" width="12.77734375" style="35" customWidth="1"/>
    <col min="3" max="16384" width="8.88671875" style="3"/>
  </cols>
  <sheetData>
    <row r="1" spans="1:2" ht="19.95" customHeight="1" x14ac:dyDescent="0.3">
      <c r="A1" s="301" t="str">
        <f>'naca_5-digit_plot'!I2</f>
        <v>NACA 23011</v>
      </c>
      <c r="B1" s="301"/>
    </row>
    <row r="2" spans="1:2" ht="15" x14ac:dyDescent="0.3">
      <c r="A2" s="185">
        <f>IFERROR(ROUND(Data2!U1*Data2!$A$18,5-INT(LOG10(ABS(Data2!U1*Data2!$A$18)))), 0)</f>
        <v>1</v>
      </c>
      <c r="B2" s="185">
        <f>IFERROR(ROUND(Data2!V1*Data2!$A$18,5-INT(LOG10(ABS(Data2!V1*Data2!$A$18)))), 0)</f>
        <v>0</v>
      </c>
    </row>
    <row r="3" spans="1:2" ht="15" x14ac:dyDescent="0.3">
      <c r="A3" s="185">
        <f>IFERROR(ROUND(Data2!U2*Data2!$A$18,5-INT(LOG10(ABS(Data2!U2*Data2!$A$18)))), 0)</f>
        <v>0.99904199999999999</v>
      </c>
      <c r="B3" s="185">
        <f>IFERROR(ROUND(Data2!V2*Data2!$A$18,5-INT(LOG10(ABS(Data2!V2*Data2!$A$18)))), 0)</f>
        <v>1.30335E-3</v>
      </c>
    </row>
    <row r="4" spans="1:2" ht="15" x14ac:dyDescent="0.3">
      <c r="A4" s="185">
        <f>IFERROR(ROUND(Data2!U3*Data2!$A$18,5-INT(LOG10(ABS(Data2!U3*Data2!$A$18)))), 0)</f>
        <v>0.99609400000000003</v>
      </c>
      <c r="B4" s="185">
        <f>IFERROR(ROUND(Data2!V3*Data2!$A$18,5-INT(LOG10(ABS(Data2!V3*Data2!$A$18)))), 0)</f>
        <v>1.7477599999999999E-3</v>
      </c>
    </row>
    <row r="5" spans="1:2" ht="15" x14ac:dyDescent="0.3">
      <c r="A5" s="185">
        <f>IFERROR(ROUND(Data2!U4*Data2!$A$18,5-INT(LOG10(ABS(Data2!U4*Data2!$A$18)))), 0)</f>
        <v>0.99119400000000002</v>
      </c>
      <c r="B5" s="185">
        <f>IFERROR(ROUND(Data2!V4*Data2!$A$18,5-INT(LOG10(ABS(Data2!V4*Data2!$A$18)))), 0)</f>
        <v>2.48343E-3</v>
      </c>
    </row>
    <row r="6" spans="1:2" ht="15" x14ac:dyDescent="0.3">
      <c r="A6" s="185">
        <f>IFERROR(ROUND(Data2!U5*Data2!$A$18,5-INT(LOG10(ABS(Data2!U5*Data2!$A$18)))), 0)</f>
        <v>0.98436100000000004</v>
      </c>
      <c r="B6" s="185">
        <f>IFERROR(ROUND(Data2!V5*Data2!$A$18,5-INT(LOG10(ABS(Data2!V5*Data2!$A$18)))), 0)</f>
        <v>3.50301E-3</v>
      </c>
    </row>
    <row r="7" spans="1:2" ht="15" x14ac:dyDescent="0.3">
      <c r="A7" s="185">
        <f>IFERROR(ROUND(Data2!U6*Data2!$A$18,5-INT(LOG10(ABS(Data2!U6*Data2!$A$18)))), 0)</f>
        <v>0.97562199999999999</v>
      </c>
      <c r="B7" s="185">
        <f>IFERROR(ROUND(Data2!V6*Data2!$A$18,5-INT(LOG10(ABS(Data2!V6*Data2!$A$18)))), 0)</f>
        <v>4.7964499999999998E-3</v>
      </c>
    </row>
    <row r="8" spans="1:2" ht="15" x14ac:dyDescent="0.3">
      <c r="A8" s="185">
        <f>IFERROR(ROUND(Data2!U7*Data2!$A$18,5-INT(LOG10(ABS(Data2!U7*Data2!$A$18)))), 0)</f>
        <v>0.96501199999999998</v>
      </c>
      <c r="B8" s="185">
        <f>IFERROR(ROUND(Data2!V7*Data2!$A$18,5-INT(LOG10(ABS(Data2!V7*Data2!$A$18)))), 0)</f>
        <v>6.3512899999999999E-3</v>
      </c>
    </row>
    <row r="9" spans="1:2" ht="15" x14ac:dyDescent="0.3">
      <c r="A9" s="185">
        <f>IFERROR(ROUND(Data2!U8*Data2!$A$18,5-INT(LOG10(ABS(Data2!U8*Data2!$A$18)))), 0)</f>
        <v>0.95257099999999995</v>
      </c>
      <c r="B9" s="185">
        <f>IFERROR(ROUND(Data2!V8*Data2!$A$18,5-INT(LOG10(ABS(Data2!V8*Data2!$A$18)))), 0)</f>
        <v>8.1528799999999995E-3</v>
      </c>
    </row>
    <row r="10" spans="1:2" ht="15" x14ac:dyDescent="0.3">
      <c r="A10" s="185">
        <f>IFERROR(ROUND(Data2!U9*Data2!$A$18,5-INT(LOG10(ABS(Data2!U9*Data2!$A$18)))), 0)</f>
        <v>0.93834899999999999</v>
      </c>
      <c r="B10" s="185">
        <f>IFERROR(ROUND(Data2!V9*Data2!$A$18,5-INT(LOG10(ABS(Data2!V9*Data2!$A$18)))), 0)</f>
        <v>1.0184800000000001E-2</v>
      </c>
    </row>
    <row r="11" spans="1:2" ht="15" x14ac:dyDescent="0.3">
      <c r="A11" s="185">
        <f>IFERROR(ROUND(Data2!U10*Data2!$A$18,5-INT(LOG10(ABS(Data2!U10*Data2!$A$18)))), 0)</f>
        <v>0.92240100000000003</v>
      </c>
      <c r="B11" s="185">
        <f>IFERROR(ROUND(Data2!V10*Data2!$A$18,5-INT(LOG10(ABS(Data2!V10*Data2!$A$18)))), 0)</f>
        <v>1.24289E-2</v>
      </c>
    </row>
    <row r="12" spans="1:2" ht="15" x14ac:dyDescent="0.3">
      <c r="A12" s="185">
        <f>IFERROR(ROUND(Data2!U11*Data2!$A$18,5-INT(LOG10(ABS(Data2!U11*Data2!$A$18)))), 0)</f>
        <v>0.90479100000000001</v>
      </c>
      <c r="B12" s="185">
        <f>IFERROR(ROUND(Data2!V11*Data2!$A$18,5-INT(LOG10(ABS(Data2!V11*Data2!$A$18)))), 0)</f>
        <v>1.48662E-2</v>
      </c>
    </row>
    <row r="13" spans="1:2" ht="15" x14ac:dyDescent="0.3">
      <c r="A13" s="185">
        <f>IFERROR(ROUND(Data2!U12*Data2!$A$18,5-INT(LOG10(ABS(Data2!U12*Data2!$A$18)))), 0)</f>
        <v>0.88558700000000001</v>
      </c>
      <c r="B13" s="185">
        <f>IFERROR(ROUND(Data2!V12*Data2!$A$18,5-INT(LOG10(ABS(Data2!V12*Data2!$A$18)))), 0)</f>
        <v>1.74763E-2</v>
      </c>
    </row>
    <row r="14" spans="1:2" ht="15" x14ac:dyDescent="0.3">
      <c r="A14" s="185">
        <f>IFERROR(ROUND(Data2!U13*Data2!$A$18,5-INT(LOG10(ABS(Data2!U13*Data2!$A$18)))), 0)</f>
        <v>0.86486600000000002</v>
      </c>
      <c r="B14" s="185">
        <f>IFERROR(ROUND(Data2!V13*Data2!$A$18,5-INT(LOG10(ABS(Data2!V13*Data2!$A$18)))), 0)</f>
        <v>2.02385E-2</v>
      </c>
    </row>
    <row r="15" spans="1:2" ht="15" x14ac:dyDescent="0.3">
      <c r="A15" s="185">
        <f>IFERROR(ROUND(Data2!U14*Data2!$A$18,5-INT(LOG10(ABS(Data2!U14*Data2!$A$18)))), 0)</f>
        <v>0.84270800000000001</v>
      </c>
      <c r="B15" s="185">
        <f>IFERROR(ROUND(Data2!V14*Data2!$A$18,5-INT(LOG10(ABS(Data2!V14*Data2!$A$18)))), 0)</f>
        <v>2.31314E-2</v>
      </c>
    </row>
    <row r="16" spans="1:2" ht="15" x14ac:dyDescent="0.3">
      <c r="A16" s="185">
        <f>IFERROR(ROUND(Data2!U15*Data2!$A$18,5-INT(LOG10(ABS(Data2!U15*Data2!$A$18)))), 0)</f>
        <v>0.81920199999999999</v>
      </c>
      <c r="B16" s="185">
        <f>IFERROR(ROUND(Data2!V15*Data2!$A$18,5-INT(LOG10(ABS(Data2!V15*Data2!$A$18)))), 0)</f>
        <v>2.6132900000000001E-2</v>
      </c>
    </row>
    <row r="17" spans="1:2" ht="15" x14ac:dyDescent="0.3">
      <c r="A17" s="185">
        <f>IFERROR(ROUND(Data2!U16*Data2!$A$18,5-INT(LOG10(ABS(Data2!U16*Data2!$A$18)))), 0)</f>
        <v>0.79443900000000001</v>
      </c>
      <c r="B17" s="185">
        <f>IFERROR(ROUND(Data2!V16*Data2!$A$18,5-INT(LOG10(ABS(Data2!V16*Data2!$A$18)))), 0)</f>
        <v>2.9221E-2</v>
      </c>
    </row>
    <row r="18" spans="1:2" ht="15" x14ac:dyDescent="0.3">
      <c r="A18" s="185">
        <f>IFERROR(ROUND(Data2!U17*Data2!$A$18,5-INT(LOG10(ABS(Data2!U17*Data2!$A$18)))), 0)</f>
        <v>0.76851599999999998</v>
      </c>
      <c r="B18" s="185">
        <f>IFERROR(ROUND(Data2!V17*Data2!$A$18,5-INT(LOG10(ABS(Data2!V17*Data2!$A$18)))), 0)</f>
        <v>3.2372900000000003E-2</v>
      </c>
    </row>
    <row r="19" spans="1:2" ht="15" x14ac:dyDescent="0.3">
      <c r="A19" s="185">
        <f>IFERROR(ROUND(Data2!U18*Data2!$A$18,5-INT(LOG10(ABS(Data2!U18*Data2!$A$18)))), 0)</f>
        <v>0.741537</v>
      </c>
      <c r="B19" s="185">
        <f>IFERROR(ROUND(Data2!V18*Data2!$A$18,5-INT(LOG10(ABS(Data2!V18*Data2!$A$18)))), 0)</f>
        <v>3.5565600000000003E-2</v>
      </c>
    </row>
    <row r="20" spans="1:2" ht="15" x14ac:dyDescent="0.3">
      <c r="A20" s="185">
        <f>IFERROR(ROUND(Data2!U19*Data2!$A$18,5-INT(LOG10(ABS(Data2!U19*Data2!$A$18)))), 0)</f>
        <v>0.71360699999999999</v>
      </c>
      <c r="B20" s="185">
        <f>IFERROR(ROUND(Data2!V19*Data2!$A$18,5-INT(LOG10(ABS(Data2!V19*Data2!$A$18)))), 0)</f>
        <v>3.8775400000000002E-2</v>
      </c>
    </row>
    <row r="21" spans="1:2" ht="15" x14ac:dyDescent="0.3">
      <c r="A21" s="185">
        <f>IFERROR(ROUND(Data2!U20*Data2!$A$18,5-INT(LOG10(ABS(Data2!U20*Data2!$A$18)))), 0)</f>
        <v>0.68483700000000003</v>
      </c>
      <c r="B21" s="185">
        <f>IFERROR(ROUND(Data2!V20*Data2!$A$18,5-INT(LOG10(ABS(Data2!V20*Data2!$A$18)))), 0)</f>
        <v>4.19782E-2</v>
      </c>
    </row>
    <row r="22" spans="1:2" ht="15" x14ac:dyDescent="0.3">
      <c r="A22" s="185">
        <f>IFERROR(ROUND(Data2!U21*Data2!$A$18,5-INT(LOG10(ABS(Data2!U21*Data2!$A$18)))), 0)</f>
        <v>0.655339</v>
      </c>
      <c r="B22" s="185">
        <f>IFERROR(ROUND(Data2!V21*Data2!$A$18,5-INT(LOG10(ABS(Data2!V21*Data2!$A$18)))), 0)</f>
        <v>4.5148800000000003E-2</v>
      </c>
    </row>
    <row r="23" spans="1:2" ht="15" x14ac:dyDescent="0.3">
      <c r="A23" s="185">
        <f>IFERROR(ROUND(Data2!U22*Data2!$A$18,5-INT(LOG10(ABS(Data2!U22*Data2!$A$18)))), 0)</f>
        <v>0.62522900000000003</v>
      </c>
      <c r="B23" s="185">
        <f>IFERROR(ROUND(Data2!V22*Data2!$A$18,5-INT(LOG10(ABS(Data2!V22*Data2!$A$18)))), 0)</f>
        <v>4.8261499999999999E-2</v>
      </c>
    </row>
    <row r="24" spans="1:2" ht="15" x14ac:dyDescent="0.3">
      <c r="A24" s="185">
        <f>IFERROR(ROUND(Data2!U23*Data2!$A$18,5-INT(LOG10(ABS(Data2!U23*Data2!$A$18)))), 0)</f>
        <v>0.59462700000000002</v>
      </c>
      <c r="B24" s="185">
        <f>IFERROR(ROUND(Data2!V23*Data2!$A$18,5-INT(LOG10(ABS(Data2!V23*Data2!$A$18)))), 0)</f>
        <v>5.1289700000000001E-2</v>
      </c>
    </row>
    <row r="25" spans="1:2" ht="15" x14ac:dyDescent="0.3">
      <c r="A25" s="185">
        <f>IFERROR(ROUND(Data2!U24*Data2!$A$18,5-INT(LOG10(ABS(Data2!U24*Data2!$A$18)))), 0)</f>
        <v>0.56365200000000004</v>
      </c>
      <c r="B25" s="185">
        <f>IFERROR(ROUND(Data2!V24*Data2!$A$18,5-INT(LOG10(ABS(Data2!V24*Data2!$A$18)))), 0)</f>
        <v>5.4205799999999998E-2</v>
      </c>
    </row>
    <row r="26" spans="1:2" ht="15" x14ac:dyDescent="0.3">
      <c r="A26" s="185">
        <f>IFERROR(ROUND(Data2!U25*Data2!$A$18,5-INT(LOG10(ABS(Data2!U25*Data2!$A$18)))), 0)</f>
        <v>0.53242699999999998</v>
      </c>
      <c r="B26" s="185">
        <f>IFERROR(ROUND(Data2!V25*Data2!$A$18,5-INT(LOG10(ABS(Data2!V25*Data2!$A$18)))), 0)</f>
        <v>5.69816E-2</v>
      </c>
    </row>
    <row r="27" spans="1:2" ht="15" x14ac:dyDescent="0.3">
      <c r="A27" s="185">
        <f>IFERROR(ROUND(Data2!U26*Data2!$A$18,5-INT(LOG10(ABS(Data2!U26*Data2!$A$18)))), 0)</f>
        <v>0.50107400000000002</v>
      </c>
      <c r="B27" s="185">
        <f>IFERROR(ROUND(Data2!V26*Data2!$A$18,5-INT(LOG10(ABS(Data2!V26*Data2!$A$18)))), 0)</f>
        <v>5.95884E-2</v>
      </c>
    </row>
    <row r="28" spans="1:2" ht="15" x14ac:dyDescent="0.3">
      <c r="A28" s="185">
        <f>IFERROR(ROUND(Data2!U27*Data2!$A$18,5-INT(LOG10(ABS(Data2!U27*Data2!$A$18)))), 0)</f>
        <v>0.469717</v>
      </c>
      <c r="B28" s="185">
        <f>IFERROR(ROUND(Data2!V27*Data2!$A$18,5-INT(LOG10(ABS(Data2!V27*Data2!$A$18)))), 0)</f>
        <v>6.1997299999999998E-2</v>
      </c>
    </row>
    <row r="29" spans="1:2" ht="15" x14ac:dyDescent="0.3">
      <c r="A29" s="185">
        <f>IFERROR(ROUND(Data2!U28*Data2!$A$18,5-INT(LOG10(ABS(Data2!U28*Data2!$A$18)))), 0)</f>
        <v>0.43847900000000001</v>
      </c>
      <c r="B29" s="185">
        <f>IFERROR(ROUND(Data2!V28*Data2!$A$18,5-INT(LOG10(ABS(Data2!V28*Data2!$A$18)))), 0)</f>
        <v>6.4179399999999998E-2</v>
      </c>
    </row>
    <row r="30" spans="1:2" ht="15" x14ac:dyDescent="0.3">
      <c r="A30" s="185">
        <f>IFERROR(ROUND(Data2!U29*Data2!$A$18,5-INT(LOG10(ABS(Data2!U29*Data2!$A$18)))), 0)</f>
        <v>0.40748200000000001</v>
      </c>
      <c r="B30" s="185">
        <f>IFERROR(ROUND(Data2!V29*Data2!$A$18,5-INT(LOG10(ABS(Data2!V29*Data2!$A$18)))), 0)</f>
        <v>6.6106700000000004E-2</v>
      </c>
    </row>
    <row r="31" spans="1:2" ht="15" x14ac:dyDescent="0.3">
      <c r="A31" s="185">
        <f>IFERROR(ROUND(Data2!U30*Data2!$A$18,5-INT(LOG10(ABS(Data2!U30*Data2!$A$18)))), 0)</f>
        <v>0.37684899999999999</v>
      </c>
      <c r="B31" s="185">
        <f>IFERROR(ROUND(Data2!V30*Data2!$A$18,5-INT(LOG10(ABS(Data2!V30*Data2!$A$18)))), 0)</f>
        <v>6.7751900000000004E-2</v>
      </c>
    </row>
    <row r="32" spans="1:2" ht="15" x14ac:dyDescent="0.3">
      <c r="A32" s="185">
        <f>IFERROR(ROUND(Data2!U31*Data2!$A$18,5-INT(LOG10(ABS(Data2!U31*Data2!$A$18)))), 0)</f>
        <v>0.34670000000000001</v>
      </c>
      <c r="B32" s="185">
        <f>IFERROR(ROUND(Data2!V31*Data2!$A$18,5-INT(LOG10(ABS(Data2!V31*Data2!$A$18)))), 0)</f>
        <v>6.9089899999999996E-2</v>
      </c>
    </row>
    <row r="33" spans="1:2" ht="15" x14ac:dyDescent="0.3">
      <c r="A33" s="185">
        <f>IFERROR(ROUND(Data2!U32*Data2!$A$18,5-INT(LOG10(ABS(Data2!U32*Data2!$A$18)))), 0)</f>
        <v>0.31715500000000002</v>
      </c>
      <c r="B33" s="185">
        <f>IFERROR(ROUND(Data2!V32*Data2!$A$18,5-INT(LOG10(ABS(Data2!V32*Data2!$A$18)))), 0)</f>
        <v>7.0097300000000001E-2</v>
      </c>
    </row>
    <row r="34" spans="1:2" ht="15" x14ac:dyDescent="0.3">
      <c r="A34" s="185">
        <f>IFERROR(ROUND(Data2!U33*Data2!$A$18,5-INT(LOG10(ABS(Data2!U33*Data2!$A$18)))), 0)</f>
        <v>0.28832799999999997</v>
      </c>
      <c r="B34" s="185">
        <f>IFERROR(ROUND(Data2!V33*Data2!$A$18,5-INT(LOG10(ABS(Data2!V33*Data2!$A$18)))), 0)</f>
        <v>7.07541E-2</v>
      </c>
    </row>
    <row r="35" spans="1:2" ht="15" x14ac:dyDescent="0.3">
      <c r="A35" s="185">
        <f>IFERROR(ROUND(Data2!U34*Data2!$A$18,5-INT(LOG10(ABS(Data2!U34*Data2!$A$18)))), 0)</f>
        <v>0.26033299999999998</v>
      </c>
      <c r="B35" s="185">
        <f>IFERROR(ROUND(Data2!V34*Data2!$A$18,5-INT(LOG10(ABS(Data2!V34*Data2!$A$18)))), 0)</f>
        <v>7.1043300000000004E-2</v>
      </c>
    </row>
    <row r="36" spans="1:2" ht="15" x14ac:dyDescent="0.3">
      <c r="A36" s="185">
        <f>IFERROR(ROUND(Data2!U35*Data2!$A$18,5-INT(LOG10(ABS(Data2!U35*Data2!$A$18)))), 0)</f>
        <v>0.23328099999999999</v>
      </c>
      <c r="B36" s="185">
        <f>IFERROR(ROUND(Data2!V35*Data2!$A$18,5-INT(LOG10(ABS(Data2!V35*Data2!$A$18)))), 0)</f>
        <v>7.0951899999999998E-2</v>
      </c>
    </row>
    <row r="37" spans="1:2" ht="15" x14ac:dyDescent="0.3">
      <c r="A37" s="185">
        <f>IFERROR(ROUND(Data2!U36*Data2!$A$18,5-INT(LOG10(ABS(Data2!U36*Data2!$A$18)))), 0)</f>
        <v>0.20727899999999999</v>
      </c>
      <c r="B37" s="185">
        <f>IFERROR(ROUND(Data2!V36*Data2!$A$18,5-INT(LOG10(ABS(Data2!V36*Data2!$A$18)))), 0)</f>
        <v>7.0471199999999998E-2</v>
      </c>
    </row>
    <row r="38" spans="1:2" ht="15" x14ac:dyDescent="0.3">
      <c r="A38" s="185">
        <f>IFERROR(ROUND(Data2!U37*Data2!$A$18,5-INT(LOG10(ABS(Data2!U37*Data2!$A$18)))), 0)</f>
        <v>0.18224000000000001</v>
      </c>
      <c r="B38" s="185">
        <f>IFERROR(ROUND(Data2!V37*Data2!$A$18,5-INT(LOG10(ABS(Data2!V37*Data2!$A$18)))), 0)</f>
        <v>6.9574499999999997E-2</v>
      </c>
    </row>
    <row r="39" spans="1:2" ht="15" x14ac:dyDescent="0.3">
      <c r="A39" s="185">
        <f>IFERROR(ROUND(Data2!U38*Data2!$A$18,5-INT(LOG10(ABS(Data2!U38*Data2!$A$18)))), 0)</f>
        <v>0.158026</v>
      </c>
      <c r="B39" s="185">
        <f>IFERROR(ROUND(Data2!V38*Data2!$A$18,5-INT(LOG10(ABS(Data2!V38*Data2!$A$18)))), 0)</f>
        <v>6.80983E-2</v>
      </c>
    </row>
    <row r="40" spans="1:2" ht="15" x14ac:dyDescent="0.3">
      <c r="A40" s="185">
        <f>IFERROR(ROUND(Data2!U39*Data2!$A$18,5-INT(LOG10(ABS(Data2!U39*Data2!$A$18)))), 0)</f>
        <v>0.134857</v>
      </c>
      <c r="B40" s="185">
        <f>IFERROR(ROUND(Data2!V39*Data2!$A$18,5-INT(LOG10(ABS(Data2!V39*Data2!$A$18)))), 0)</f>
        <v>6.5872899999999998E-2</v>
      </c>
    </row>
    <row r="41" spans="1:2" ht="15" x14ac:dyDescent="0.3">
      <c r="A41" s="185">
        <f>IFERROR(ROUND(Data2!U40*Data2!$A$18,5-INT(LOG10(ABS(Data2!U40*Data2!$A$18)))), 0)</f>
        <v>0.11296299999999999</v>
      </c>
      <c r="B41" s="185">
        <f>IFERROR(ROUND(Data2!V40*Data2!$A$18,5-INT(LOG10(ABS(Data2!V40*Data2!$A$18)))), 0)</f>
        <v>6.2801800000000005E-2</v>
      </c>
    </row>
    <row r="42" spans="1:2" ht="15" x14ac:dyDescent="0.3">
      <c r="A42" s="185">
        <f>IFERROR(ROUND(Data2!U41*Data2!$A$18,5-INT(LOG10(ABS(Data2!U41*Data2!$A$18)))), 0)</f>
        <v>9.2563699999999999E-2</v>
      </c>
      <c r="B42" s="185">
        <f>IFERROR(ROUND(Data2!V41*Data2!$A$18,5-INT(LOG10(ABS(Data2!V41*Data2!$A$18)))), 0)</f>
        <v>5.8863400000000003E-2</v>
      </c>
    </row>
    <row r="43" spans="1:2" ht="15" x14ac:dyDescent="0.3">
      <c r="A43" s="185">
        <f>IFERROR(ROUND(Data2!U42*Data2!$A$18,5-INT(LOG10(ABS(Data2!U42*Data2!$A$18)))), 0)</f>
        <v>7.3863899999999996E-2</v>
      </c>
      <c r="B43" s="185">
        <f>IFERROR(ROUND(Data2!V42*Data2!$A$18,5-INT(LOG10(ABS(Data2!V42*Data2!$A$18)))), 0)</f>
        <v>5.41062E-2</v>
      </c>
    </row>
    <row r="44" spans="1:2" ht="15" x14ac:dyDescent="0.3">
      <c r="A44" s="185">
        <f>IFERROR(ROUND(Data2!U43*Data2!$A$18,5-INT(LOG10(ABS(Data2!U43*Data2!$A$18)))), 0)</f>
        <v>5.7042799999999998E-2</v>
      </c>
      <c r="B44" s="185">
        <f>IFERROR(ROUND(Data2!V43*Data2!$A$18,5-INT(LOG10(ABS(Data2!V43*Data2!$A$18)))), 0)</f>
        <v>4.8639799999999997E-2</v>
      </c>
    </row>
    <row r="45" spans="1:2" ht="15" x14ac:dyDescent="0.3">
      <c r="A45" s="185">
        <f>IFERROR(ROUND(Data2!U44*Data2!$A$18,5-INT(LOG10(ABS(Data2!U44*Data2!$A$18)))), 0)</f>
        <v>4.2246600000000002E-2</v>
      </c>
      <c r="B45" s="185">
        <f>IFERROR(ROUND(Data2!V44*Data2!$A$18,5-INT(LOG10(ABS(Data2!V44*Data2!$A$18)))), 0)</f>
        <v>4.26203E-2</v>
      </c>
    </row>
    <row r="46" spans="1:2" ht="15" x14ac:dyDescent="0.3">
      <c r="A46" s="185">
        <f>IFERROR(ROUND(Data2!U45*Data2!$A$18,5-INT(LOG10(ABS(Data2!U45*Data2!$A$18)))), 0)</f>
        <v>2.95838E-2</v>
      </c>
      <c r="B46" s="185">
        <f>IFERROR(ROUND(Data2!V45*Data2!$A$18,5-INT(LOG10(ABS(Data2!V45*Data2!$A$18)))), 0)</f>
        <v>3.6233099999999997E-2</v>
      </c>
    </row>
    <row r="47" spans="1:2" ht="15" x14ac:dyDescent="0.3">
      <c r="A47" s="185">
        <f>IFERROR(ROUND(Data2!U46*Data2!$A$18,5-INT(LOG10(ABS(Data2!U46*Data2!$A$18)))), 0)</f>
        <v>1.9124100000000002E-2</v>
      </c>
      <c r="B47" s="185">
        <f>IFERROR(ROUND(Data2!V46*Data2!$A$18,5-INT(LOG10(ABS(Data2!V46*Data2!$A$18)))), 0)</f>
        <v>2.9674699999999998E-2</v>
      </c>
    </row>
    <row r="48" spans="1:2" ht="15" x14ac:dyDescent="0.3">
      <c r="A48" s="185">
        <f>IFERROR(ROUND(Data2!U47*Data2!$A$18,5-INT(LOG10(ABS(Data2!U47*Data2!$A$18)))), 0)</f>
        <v>1.0900699999999999E-2</v>
      </c>
      <c r="B48" s="185">
        <f>IFERROR(ROUND(Data2!V47*Data2!$A$18,5-INT(LOG10(ABS(Data2!V47*Data2!$A$18)))), 0)</f>
        <v>2.3135200000000002E-2</v>
      </c>
    </row>
    <row r="49" spans="1:2" ht="15" x14ac:dyDescent="0.3">
      <c r="A49" s="185">
        <f>IFERROR(ROUND(Data2!U48*Data2!$A$18,5-INT(LOG10(ABS(Data2!U48*Data2!$A$18)))), 0)</f>
        <v>4.9140800000000004E-3</v>
      </c>
      <c r="B49" s="185">
        <f>IFERROR(ROUND(Data2!V48*Data2!$A$18,5-INT(LOG10(ABS(Data2!V48*Data2!$A$18)))), 0)</f>
        <v>1.6783200000000002E-2</v>
      </c>
    </row>
    <row r="50" spans="1:2" ht="15" x14ac:dyDescent="0.3">
      <c r="A50" s="185">
        <f>IFERROR(ROUND(Data2!U49*Data2!$A$18,5-INT(LOG10(ABS(Data2!U49*Data2!$A$18)))), 0)</f>
        <v>1.1374099999999999E-3</v>
      </c>
      <c r="B50" s="185">
        <f>IFERROR(ROUND(Data2!V49*Data2!$A$18,5-INT(LOG10(ABS(Data2!V49*Data2!$A$18)))), 0)</f>
        <v>1.07546E-2</v>
      </c>
    </row>
    <row r="51" spans="1:2" ht="15" x14ac:dyDescent="0.3">
      <c r="A51" s="185">
        <f>IFERROR(ROUND(Data2!U50*Data2!$A$18,5-INT(LOG10(ABS(Data2!U50*Data2!$A$18)))), 0)</f>
        <v>-4.7832899999999999E-4</v>
      </c>
      <c r="B51" s="185">
        <f>IFERROR(ROUND(Data2!V50*Data2!$A$18,5-INT(LOG10(ABS(Data2!V50*Data2!$A$18)))), 0)</f>
        <v>5.1439399999999996E-3</v>
      </c>
    </row>
    <row r="52" spans="1:2" ht="15" x14ac:dyDescent="0.3">
      <c r="A52" s="185">
        <f>IFERROR(ROUND(Data2!U51*Data2!$A$18,5-INT(LOG10(ABS(Data2!U51*Data2!$A$18)))), 0)</f>
        <v>0</v>
      </c>
      <c r="B52" s="185">
        <f>IFERROR(ROUND(Data2!V51*Data2!$A$18,5-INT(LOG10(ABS(Data2!V51*Data2!$A$18)))), 0)</f>
        <v>0</v>
      </c>
    </row>
    <row r="53" spans="1:2" ht="15" x14ac:dyDescent="0.3">
      <c r="A53" s="185">
        <f>IFERROR(ROUND(Data2!U52*Data2!$A$18,5-INT(LOG10(ABS(Data2!U52*Data2!$A$18)))), 0)</f>
        <v>0</v>
      </c>
      <c r="B53" s="185">
        <f>IFERROR(ROUND(Data2!V52*Data2!$A$18,5-INT(LOG10(ABS(Data2!V52*Data2!$A$18)))), 0)</f>
        <v>0</v>
      </c>
    </row>
    <row r="54" spans="1:2" ht="15" x14ac:dyDescent="0.3">
      <c r="A54" s="185">
        <f>IFERROR(ROUND(Data2!U53*Data2!$A$18,5-INT(LOG10(ABS(Data2!U53*Data2!$A$18)))), 0)</f>
        <v>2.4516E-3</v>
      </c>
      <c r="B54" s="185">
        <f>IFERROR(ROUND(Data2!V53*Data2!$A$18,5-INT(LOG10(ABS(Data2!V53*Data2!$A$18)))), 0)</f>
        <v>-4.5440200000000002E-3</v>
      </c>
    </row>
    <row r="55" spans="1:2" ht="15" x14ac:dyDescent="0.3">
      <c r="A55" s="185">
        <f>IFERROR(ROUND(Data2!U54*Data2!$A$18,5-INT(LOG10(ABS(Data2!U54*Data2!$A$18)))), 0)</f>
        <v>6.7478900000000003E-3</v>
      </c>
      <c r="B55" s="185">
        <f>IFERROR(ROUND(Data2!V54*Data2!$A$18,5-INT(LOG10(ABS(Data2!V54*Data2!$A$18)))), 0)</f>
        <v>-8.3947199999999996E-3</v>
      </c>
    </row>
    <row r="56" spans="1:2" ht="15" x14ac:dyDescent="0.3">
      <c r="A56" s="185">
        <f>IFERROR(ROUND(Data2!U55*Data2!$A$18,5-INT(LOG10(ABS(Data2!U55*Data2!$A$18)))), 0)</f>
        <v>1.27987E-2</v>
      </c>
      <c r="B56" s="185">
        <f>IFERROR(ROUND(Data2!V55*Data2!$A$18,5-INT(LOG10(ABS(Data2!V55*Data2!$A$18)))), 0)</f>
        <v>-1.1619900000000001E-2</v>
      </c>
    </row>
    <row r="57" spans="1:2" ht="15" x14ac:dyDescent="0.3">
      <c r="A57" s="185">
        <f>IFERROR(ROUND(Data2!U56*Data2!$A$18,5-INT(LOG10(ABS(Data2!U56*Data2!$A$18)))), 0)</f>
        <v>2.0516099999999999E-2</v>
      </c>
      <c r="B57" s="185">
        <f>IFERROR(ROUND(Data2!V56*Data2!$A$18,5-INT(LOG10(ABS(Data2!V56*Data2!$A$18)))), 0)</f>
        <v>-1.43112E-2</v>
      </c>
    </row>
    <row r="58" spans="1:2" ht="15" x14ac:dyDescent="0.3">
      <c r="A58" s="185">
        <f>IFERROR(ROUND(Data2!U57*Data2!$A$18,5-INT(LOG10(ABS(Data2!U57*Data2!$A$18)))), 0)</f>
        <v>2.98193E-2</v>
      </c>
      <c r="B58" s="185">
        <f>IFERROR(ROUND(Data2!V57*Data2!$A$18,5-INT(LOG10(ABS(Data2!V57*Data2!$A$18)))), 0)</f>
        <v>-1.6575800000000002E-2</v>
      </c>
    </row>
    <row r="59" spans="1:2" ht="15" x14ac:dyDescent="0.3">
      <c r="A59" s="185">
        <f>IFERROR(ROUND(Data2!U58*Data2!$A$18,5-INT(LOG10(ABS(Data2!U58*Data2!$A$18)))), 0)</f>
        <v>4.0639700000000001E-2</v>
      </c>
      <c r="B59" s="185">
        <f>IFERROR(ROUND(Data2!V58*Data2!$A$18,5-INT(LOG10(ABS(Data2!V58*Data2!$A$18)))), 0)</f>
        <v>-1.8528900000000001E-2</v>
      </c>
    </row>
    <row r="60" spans="1:2" ht="15" x14ac:dyDescent="0.3">
      <c r="A60" s="185">
        <f>IFERROR(ROUND(Data2!U59*Data2!$A$18,5-INT(LOG10(ABS(Data2!U59*Data2!$A$18)))), 0)</f>
        <v>5.2926399999999998E-2</v>
      </c>
      <c r="B60" s="185">
        <f>IFERROR(ROUND(Data2!V59*Data2!$A$18,5-INT(LOG10(ABS(Data2!V59*Data2!$A$18)))), 0)</f>
        <v>-2.0284799999999999E-2</v>
      </c>
    </row>
    <row r="61" spans="1:2" ht="15" x14ac:dyDescent="0.3">
      <c r="A61" s="185">
        <f>IFERROR(ROUND(Data2!U60*Data2!$A$18,5-INT(LOG10(ABS(Data2!U60*Data2!$A$18)))), 0)</f>
        <v>6.6650500000000001E-2</v>
      </c>
      <c r="B61" s="185">
        <f>IFERROR(ROUND(Data2!V60*Data2!$A$18,5-INT(LOG10(ABS(Data2!V60*Data2!$A$18)))), 0)</f>
        <v>-2.1950000000000001E-2</v>
      </c>
    </row>
    <row r="62" spans="1:2" ht="15" x14ac:dyDescent="0.3">
      <c r="A62" s="185">
        <f>IFERROR(ROUND(Data2!U61*Data2!$A$18,5-INT(LOG10(ABS(Data2!U61*Data2!$A$18)))), 0)</f>
        <v>8.1808199999999998E-2</v>
      </c>
      <c r="B62" s="185">
        <f>IFERROR(ROUND(Data2!V61*Data2!$A$18,5-INT(LOG10(ABS(Data2!V61*Data2!$A$18)))), 0)</f>
        <v>-2.3616700000000001E-2</v>
      </c>
    </row>
    <row r="63" spans="1:2" ht="15" x14ac:dyDescent="0.3">
      <c r="A63" s="185">
        <f>IFERROR(ROUND(Data2!U62*Data2!$A$18,5-INT(LOG10(ABS(Data2!U62*Data2!$A$18)))), 0)</f>
        <v>9.8419300000000001E-2</v>
      </c>
      <c r="B63" s="185">
        <f>IFERROR(ROUND(Data2!V62*Data2!$A$18,5-INT(LOG10(ABS(Data2!V62*Data2!$A$18)))), 0)</f>
        <v>-2.5356400000000001E-2</v>
      </c>
    </row>
    <row r="64" spans="1:2" ht="15" x14ac:dyDescent="0.3">
      <c r="A64" s="185">
        <f>IFERROR(ROUND(Data2!U63*Data2!$A$18,5-INT(LOG10(ABS(Data2!U63*Data2!$A$18)))), 0)</f>
        <v>0.116524</v>
      </c>
      <c r="B64" s="185">
        <f>IFERROR(ROUND(Data2!V63*Data2!$A$18,5-INT(LOG10(ABS(Data2!V63*Data2!$A$18)))), 0)</f>
        <v>-2.72137E-2</v>
      </c>
    </row>
    <row r="65" spans="1:2" ht="15" x14ac:dyDescent="0.3">
      <c r="A65" s="185">
        <f>IFERROR(ROUND(Data2!U64*Data2!$A$18,5-INT(LOG10(ABS(Data2!U64*Data2!$A$18)))), 0)</f>
        <v>0.13617399999999999</v>
      </c>
      <c r="B65" s="185">
        <f>IFERROR(ROUND(Data2!V64*Data2!$A$18,5-INT(LOG10(ABS(Data2!V64*Data2!$A$18)))), 0)</f>
        <v>-2.9199300000000001E-2</v>
      </c>
    </row>
    <row r="66" spans="1:2" ht="15" x14ac:dyDescent="0.3">
      <c r="A66" s="185">
        <f>IFERROR(ROUND(Data2!U65*Data2!$A$18,5-INT(LOG10(ABS(Data2!U65*Data2!$A$18)))), 0)</f>
        <v>0.15742700000000001</v>
      </c>
      <c r="B66" s="185">
        <f>IFERROR(ROUND(Data2!V65*Data2!$A$18,5-INT(LOG10(ABS(Data2!V65*Data2!$A$18)))), 0)</f>
        <v>-3.1279899999999999E-2</v>
      </c>
    </row>
    <row r="67" spans="1:2" ht="15" x14ac:dyDescent="0.3">
      <c r="A67" s="185">
        <f>IFERROR(ROUND(Data2!U66*Data2!$A$18,5-INT(LOG10(ABS(Data2!U66*Data2!$A$18)))), 0)</f>
        <v>0.180336</v>
      </c>
      <c r="B67" s="185">
        <f>IFERROR(ROUND(Data2!V66*Data2!$A$18,5-INT(LOG10(ABS(Data2!V66*Data2!$A$18)))), 0)</f>
        <v>-3.3368299999999997E-2</v>
      </c>
    </row>
    <row r="68" spans="1:2" ht="15" x14ac:dyDescent="0.3">
      <c r="A68" s="185">
        <f>IFERROR(ROUND(Data2!U67*Data2!$A$18,5-INT(LOG10(ABS(Data2!U67*Data2!$A$18)))), 0)</f>
        <v>0.20493600000000001</v>
      </c>
      <c r="B68" s="185">
        <f>IFERROR(ROUND(Data2!V67*Data2!$A$18,5-INT(LOG10(ABS(Data2!V67*Data2!$A$18)))), 0)</f>
        <v>-3.5312099999999999E-2</v>
      </c>
    </row>
    <row r="69" spans="1:2" ht="15" x14ac:dyDescent="0.3">
      <c r="A69" s="185">
        <f>IFERROR(ROUND(Data2!U68*Data2!$A$18,5-INT(LOG10(ABS(Data2!U68*Data2!$A$18)))), 0)</f>
        <v>0.23089199999999999</v>
      </c>
      <c r="B69" s="185">
        <f>IFERROR(ROUND(Data2!V68*Data2!$A$18,5-INT(LOG10(ABS(Data2!V68*Data2!$A$18)))), 0)</f>
        <v>-3.6943400000000001E-2</v>
      </c>
    </row>
    <row r="70" spans="1:2" ht="15" x14ac:dyDescent="0.3">
      <c r="A70" s="185">
        <f>IFERROR(ROUND(Data2!U69*Data2!$A$18,5-INT(LOG10(ABS(Data2!U69*Data2!$A$18)))), 0)</f>
        <v>0.257913</v>
      </c>
      <c r="B70" s="185">
        <f>IFERROR(ROUND(Data2!V69*Data2!$A$18,5-INT(LOG10(ABS(Data2!V69*Data2!$A$18)))), 0)</f>
        <v>-3.8232099999999998E-2</v>
      </c>
    </row>
    <row r="71" spans="1:2" ht="15" x14ac:dyDescent="0.3">
      <c r="A71" s="185">
        <f>IFERROR(ROUND(Data2!U70*Data2!$A$18,5-INT(LOG10(ABS(Data2!U70*Data2!$A$18)))), 0)</f>
        <v>0.28589300000000001</v>
      </c>
      <c r="B71" s="185">
        <f>IFERROR(ROUND(Data2!V70*Data2!$A$18,5-INT(LOG10(ABS(Data2!V70*Data2!$A$18)))), 0)</f>
        <v>-3.9182399999999999E-2</v>
      </c>
    </row>
    <row r="72" spans="1:2" ht="15" x14ac:dyDescent="0.3">
      <c r="A72" s="185">
        <f>IFERROR(ROUND(Data2!U71*Data2!$A$18,5-INT(LOG10(ABS(Data2!U71*Data2!$A$18)))), 0)</f>
        <v>0.31472099999999997</v>
      </c>
      <c r="B72" s="185">
        <f>IFERROR(ROUND(Data2!V71*Data2!$A$18,5-INT(LOG10(ABS(Data2!V71*Data2!$A$18)))), 0)</f>
        <v>-3.9802299999999999E-2</v>
      </c>
    </row>
    <row r="73" spans="1:2" ht="15" x14ac:dyDescent="0.3">
      <c r="A73" s="185">
        <f>IFERROR(ROUND(Data2!U72*Data2!$A$18,5-INT(LOG10(ABS(Data2!U72*Data2!$A$18)))), 0)</f>
        <v>0.34428300000000001</v>
      </c>
      <c r="B73" s="185">
        <f>IFERROR(ROUND(Data2!V72*Data2!$A$18,5-INT(LOG10(ABS(Data2!V72*Data2!$A$18)))), 0)</f>
        <v>-4.0103699999999999E-2</v>
      </c>
    </row>
    <row r="74" spans="1:2" ht="15" x14ac:dyDescent="0.3">
      <c r="A74" s="185">
        <f>IFERROR(ROUND(Data2!U73*Data2!$A$18,5-INT(LOG10(ABS(Data2!U73*Data2!$A$18)))), 0)</f>
        <v>0.37446099999999999</v>
      </c>
      <c r="B74" s="185">
        <f>IFERROR(ROUND(Data2!V73*Data2!$A$18,5-INT(LOG10(ABS(Data2!V73*Data2!$A$18)))), 0)</f>
        <v>-4.0101600000000001E-2</v>
      </c>
    </row>
    <row r="75" spans="1:2" ht="15" x14ac:dyDescent="0.3">
      <c r="A75" s="185">
        <f>IFERROR(ROUND(Data2!U74*Data2!$A$18,5-INT(LOG10(ABS(Data2!U74*Data2!$A$18)))), 0)</f>
        <v>0.40513700000000002</v>
      </c>
      <c r="B75" s="185">
        <f>IFERROR(ROUND(Data2!V74*Data2!$A$18,5-INT(LOG10(ABS(Data2!V74*Data2!$A$18)))), 0)</f>
        <v>-3.9814000000000002E-2</v>
      </c>
    </row>
    <row r="76" spans="1:2" ht="15" x14ac:dyDescent="0.3">
      <c r="A76" s="185">
        <f>IFERROR(ROUND(Data2!U75*Data2!$A$18,5-INT(LOG10(ABS(Data2!U75*Data2!$A$18)))), 0)</f>
        <v>0.43618800000000002</v>
      </c>
      <c r="B76" s="185">
        <f>IFERROR(ROUND(Data2!V75*Data2!$A$18,5-INT(LOG10(ABS(Data2!V75*Data2!$A$18)))), 0)</f>
        <v>-3.9260700000000003E-2</v>
      </c>
    </row>
    <row r="77" spans="1:2" ht="15" x14ac:dyDescent="0.3">
      <c r="A77" s="185">
        <f>IFERROR(ROUND(Data2!U76*Data2!$A$18,5-INT(LOG10(ABS(Data2!U76*Data2!$A$18)))), 0)</f>
        <v>0.46749200000000002</v>
      </c>
      <c r="B77" s="185">
        <f>IFERROR(ROUND(Data2!V76*Data2!$A$18,5-INT(LOG10(ABS(Data2!V76*Data2!$A$18)))), 0)</f>
        <v>-3.8463400000000002E-2</v>
      </c>
    </row>
    <row r="78" spans="1:2" ht="15" x14ac:dyDescent="0.3">
      <c r="A78" s="185">
        <f>IFERROR(ROUND(Data2!U77*Data2!$A$18,5-INT(LOG10(ABS(Data2!U77*Data2!$A$18)))), 0)</f>
        <v>0.49892599999999998</v>
      </c>
      <c r="B78" s="185">
        <f>IFERROR(ROUND(Data2!V77*Data2!$A$18,5-INT(LOG10(ABS(Data2!V77*Data2!$A$18)))), 0)</f>
        <v>-3.7444900000000003E-2</v>
      </c>
    </row>
    <row r="79" spans="1:2" ht="15" x14ac:dyDescent="0.3">
      <c r="A79" s="185">
        <f>IFERROR(ROUND(Data2!U78*Data2!$A$18,5-INT(LOG10(ABS(Data2!U78*Data2!$A$18)))), 0)</f>
        <v>0.53036300000000003</v>
      </c>
      <c r="B79" s="185">
        <f>IFERROR(ROUND(Data2!V78*Data2!$A$18,5-INT(LOG10(ABS(Data2!V78*Data2!$A$18)))), 0)</f>
        <v>-3.6228499999999997E-2</v>
      </c>
    </row>
    <row r="80" spans="1:2" ht="15" x14ac:dyDescent="0.3">
      <c r="A80" s="185">
        <f>IFERROR(ROUND(Data2!U79*Data2!$A$18,5-INT(LOG10(ABS(Data2!U79*Data2!$A$18)))), 0)</f>
        <v>0.56168099999999999</v>
      </c>
      <c r="B80" s="185">
        <f>IFERROR(ROUND(Data2!V79*Data2!$A$18,5-INT(LOG10(ABS(Data2!V79*Data2!$A$18)))), 0)</f>
        <v>-3.4837600000000003E-2</v>
      </c>
    </row>
    <row r="81" spans="1:2" ht="15" x14ac:dyDescent="0.3">
      <c r="A81" s="185">
        <f>IFERROR(ROUND(Data2!U80*Data2!$A$18,5-INT(LOG10(ABS(Data2!U80*Data2!$A$18)))), 0)</f>
        <v>0.592754</v>
      </c>
      <c r="B81" s="185">
        <f>IFERROR(ROUND(Data2!V80*Data2!$A$18,5-INT(LOG10(ABS(Data2!V80*Data2!$A$18)))), 0)</f>
        <v>-3.3295499999999999E-2</v>
      </c>
    </row>
    <row r="82" spans="1:2" ht="15" x14ac:dyDescent="0.3">
      <c r="A82" s="185">
        <f>IFERROR(ROUND(Data2!U81*Data2!$A$18,5-INT(LOG10(ABS(Data2!U81*Data2!$A$18)))), 0)</f>
        <v>0.62346000000000001</v>
      </c>
      <c r="B82" s="185">
        <f>IFERROR(ROUND(Data2!V81*Data2!$A$18,5-INT(LOG10(ABS(Data2!V81*Data2!$A$18)))), 0)</f>
        <v>-3.1624899999999997E-2</v>
      </c>
    </row>
    <row r="83" spans="1:2" ht="15" x14ac:dyDescent="0.3">
      <c r="A83" s="185">
        <f>IFERROR(ROUND(Data2!U82*Data2!$A$18,5-INT(LOG10(ABS(Data2!U82*Data2!$A$18)))), 0)</f>
        <v>0.65367799999999998</v>
      </c>
      <c r="B83" s="185">
        <f>IFERROR(ROUND(Data2!V82*Data2!$A$18,5-INT(LOG10(ABS(Data2!V82*Data2!$A$18)))), 0)</f>
        <v>-2.9848099999999999E-2</v>
      </c>
    </row>
    <row r="84" spans="1:2" ht="15" x14ac:dyDescent="0.3">
      <c r="A84" s="185">
        <f>IFERROR(ROUND(Data2!U83*Data2!$A$18,5-INT(LOG10(ABS(Data2!U83*Data2!$A$18)))), 0)</f>
        <v>0.68328800000000001</v>
      </c>
      <c r="B84" s="185">
        <f>IFERROR(ROUND(Data2!V83*Data2!$A$18,5-INT(LOG10(ABS(Data2!V83*Data2!$A$18)))), 0)</f>
        <v>-2.7986199999999999E-2</v>
      </c>
    </row>
    <row r="85" spans="1:2" ht="15" x14ac:dyDescent="0.3">
      <c r="A85" s="185">
        <f>IFERROR(ROUND(Data2!U84*Data2!$A$18,5-INT(LOG10(ABS(Data2!U84*Data2!$A$18)))), 0)</f>
        <v>0.71217200000000003</v>
      </c>
      <c r="B85" s="185">
        <f>IFERROR(ROUND(Data2!V84*Data2!$A$18,5-INT(LOG10(ABS(Data2!V84*Data2!$A$18)))), 0)</f>
        <v>-2.6060199999999999E-2</v>
      </c>
    </row>
    <row r="86" spans="1:2" ht="15" x14ac:dyDescent="0.3">
      <c r="A86" s="185">
        <f>IFERROR(ROUND(Data2!U85*Data2!$A$18,5-INT(LOG10(ABS(Data2!U85*Data2!$A$18)))), 0)</f>
        <v>0.74021599999999999</v>
      </c>
      <c r="B86" s="185">
        <f>IFERROR(ROUND(Data2!V85*Data2!$A$18,5-INT(LOG10(ABS(Data2!V85*Data2!$A$18)))), 0)</f>
        <v>-2.4089800000000001E-2</v>
      </c>
    </row>
    <row r="87" spans="1:2" ht="15" x14ac:dyDescent="0.3">
      <c r="A87" s="185">
        <f>IFERROR(ROUND(Data2!U86*Data2!$A$18,5-INT(LOG10(ABS(Data2!U86*Data2!$A$18)))), 0)</f>
        <v>0.76731000000000005</v>
      </c>
      <c r="B87" s="185">
        <f>IFERROR(ROUND(Data2!V86*Data2!$A$18,5-INT(LOG10(ABS(Data2!V86*Data2!$A$18)))), 0)</f>
        <v>-2.20945E-2</v>
      </c>
    </row>
    <row r="88" spans="1:2" ht="15" x14ac:dyDescent="0.3">
      <c r="A88" s="185">
        <f>IFERROR(ROUND(Data2!U87*Data2!$A$18,5-INT(LOG10(ABS(Data2!U87*Data2!$A$18)))), 0)</f>
        <v>0.79334700000000002</v>
      </c>
      <c r="B88" s="185">
        <f>IFERROR(ROUND(Data2!V87*Data2!$A$18,5-INT(LOG10(ABS(Data2!V87*Data2!$A$18)))), 0)</f>
        <v>-2.0093099999999999E-2</v>
      </c>
    </row>
    <row r="89" spans="1:2" ht="15" x14ac:dyDescent="0.3">
      <c r="A89" s="185">
        <f>IFERROR(ROUND(Data2!U88*Data2!$A$18,5-INT(LOG10(ABS(Data2!U88*Data2!$A$18)))), 0)</f>
        <v>0.818222</v>
      </c>
      <c r="B89" s="185">
        <f>IFERROR(ROUND(Data2!V88*Data2!$A$18,5-INT(LOG10(ABS(Data2!V88*Data2!$A$18)))), 0)</f>
        <v>-1.8104200000000001E-2</v>
      </c>
    </row>
    <row r="90" spans="1:2" ht="15" x14ac:dyDescent="0.3">
      <c r="A90" s="185">
        <f>IFERROR(ROUND(Data2!U89*Data2!$A$18,5-INT(LOG10(ABS(Data2!U89*Data2!$A$18)))), 0)</f>
        <v>0.841839</v>
      </c>
      <c r="B90" s="185">
        <f>IFERROR(ROUND(Data2!V89*Data2!$A$18,5-INT(LOG10(ABS(Data2!V89*Data2!$A$18)))), 0)</f>
        <v>-1.61461E-2</v>
      </c>
    </row>
    <row r="91" spans="1:2" ht="15" x14ac:dyDescent="0.3">
      <c r="A91" s="185">
        <f>IFERROR(ROUND(Data2!U90*Data2!$A$18,5-INT(LOG10(ABS(Data2!U90*Data2!$A$18)))), 0)</f>
        <v>0.86410299999999995</v>
      </c>
      <c r="B91" s="185">
        <f>IFERROR(ROUND(Data2!V90*Data2!$A$18,5-INT(LOG10(ABS(Data2!V90*Data2!$A$18)))), 0)</f>
        <v>-1.4237E-2</v>
      </c>
    </row>
    <row r="92" spans="1:2" ht="15" x14ac:dyDescent="0.3">
      <c r="A92" s="185">
        <f>IFERROR(ROUND(Data2!U91*Data2!$A$18,5-INT(LOG10(ABS(Data2!U91*Data2!$A$18)))), 0)</f>
        <v>0.88492599999999999</v>
      </c>
      <c r="B92" s="185">
        <f>IFERROR(ROUND(Data2!V91*Data2!$A$18,5-INT(LOG10(ABS(Data2!V91*Data2!$A$18)))), 0)</f>
        <v>-1.23947E-2</v>
      </c>
    </row>
    <row r="93" spans="1:2" ht="15" x14ac:dyDescent="0.3">
      <c r="A93" s="185">
        <f>IFERROR(ROUND(Data2!U92*Data2!$A$18,5-INT(LOG10(ABS(Data2!U92*Data2!$A$18)))), 0)</f>
        <v>0.90422599999999997</v>
      </c>
      <c r="B93" s="185">
        <f>IFERROR(ROUND(Data2!V92*Data2!$A$18,5-INT(LOG10(ABS(Data2!V92*Data2!$A$18)))), 0)</f>
        <v>-1.0637199999999999E-2</v>
      </c>
    </row>
    <row r="94" spans="1:2" ht="15" x14ac:dyDescent="0.3">
      <c r="A94" s="185">
        <f>IFERROR(ROUND(Data2!U93*Data2!$A$18,5-INT(LOG10(ABS(Data2!U93*Data2!$A$18)))), 0)</f>
        <v>0.92192700000000005</v>
      </c>
      <c r="B94" s="185">
        <f>IFERROR(ROUND(Data2!V93*Data2!$A$18,5-INT(LOG10(ABS(Data2!V93*Data2!$A$18)))), 0)</f>
        <v>-8.9818099999999998E-3</v>
      </c>
    </row>
    <row r="95" spans="1:2" ht="15" x14ac:dyDescent="0.3">
      <c r="A95" s="185">
        <f>IFERROR(ROUND(Data2!U94*Data2!$A$18,5-INT(LOG10(ABS(Data2!U94*Data2!$A$18)))), 0)</f>
        <v>0.93795799999999996</v>
      </c>
      <c r="B95" s="185">
        <f>IFERROR(ROUND(Data2!V94*Data2!$A$18,5-INT(LOG10(ABS(Data2!V94*Data2!$A$18)))), 0)</f>
        <v>-7.4457600000000001E-3</v>
      </c>
    </row>
    <row r="96" spans="1:2" ht="15" x14ac:dyDescent="0.3">
      <c r="A96" s="185">
        <f>IFERROR(ROUND(Data2!U95*Data2!$A$18,5-INT(LOG10(ABS(Data2!U95*Data2!$A$18)))), 0)</f>
        <v>0.95225599999999999</v>
      </c>
      <c r="B96" s="185">
        <f>IFERROR(ROUND(Data2!V95*Data2!$A$18,5-INT(LOG10(ABS(Data2!V95*Data2!$A$18)))), 0)</f>
        <v>-6.0454200000000001E-3</v>
      </c>
    </row>
    <row r="97" spans="1:2" ht="15" x14ac:dyDescent="0.3">
      <c r="A97" s="185">
        <f>IFERROR(ROUND(Data2!U96*Data2!$A$18,5-INT(LOG10(ABS(Data2!U96*Data2!$A$18)))), 0)</f>
        <v>0.96476499999999998</v>
      </c>
      <c r="B97" s="185">
        <f>IFERROR(ROUND(Data2!V96*Data2!$A$18,5-INT(LOG10(ABS(Data2!V96*Data2!$A$18)))), 0)</f>
        <v>-4.7962899999999999E-3</v>
      </c>
    </row>
    <row r="98" spans="1:2" ht="15" x14ac:dyDescent="0.3">
      <c r="A98" s="185">
        <f>IFERROR(ROUND(Data2!U97*Data2!$A$18,5-INT(LOG10(ABS(Data2!U97*Data2!$A$18)))), 0)</f>
        <v>0.97543400000000002</v>
      </c>
      <c r="B98" s="185">
        <f>IFERROR(ROUND(Data2!V97*Data2!$A$18,5-INT(LOG10(ABS(Data2!V97*Data2!$A$18)))), 0)</f>
        <v>-3.7126699999999999E-3</v>
      </c>
    </row>
    <row r="99" spans="1:2" ht="15" x14ac:dyDescent="0.3">
      <c r="A99" s="185">
        <f>IFERROR(ROUND(Data2!U98*Data2!$A$18,5-INT(LOG10(ABS(Data2!U98*Data2!$A$18)))), 0)</f>
        <v>0.98422200000000004</v>
      </c>
      <c r="B99" s="185">
        <f>IFERROR(ROUND(Data2!V98*Data2!$A$18,5-INT(LOG10(ABS(Data2!V98*Data2!$A$18)))), 0)</f>
        <v>-2.8073299999999998E-3</v>
      </c>
    </row>
    <row r="100" spans="1:2" ht="15" x14ac:dyDescent="0.3">
      <c r="A100" s="185">
        <f>IFERROR(ROUND(Data2!U99*Data2!$A$18,5-INT(LOG10(ABS(Data2!U99*Data2!$A$18)))), 0)</f>
        <v>0.991093</v>
      </c>
      <c r="B100" s="185">
        <f>IFERROR(ROUND(Data2!V99*Data2!$A$18,5-INT(LOG10(ABS(Data2!V99*Data2!$A$18)))), 0)</f>
        <v>-2.09121E-3</v>
      </c>
    </row>
    <row r="101" spans="1:2" ht="15" x14ac:dyDescent="0.3">
      <c r="A101" s="185">
        <f>IFERROR(ROUND(Data2!U100*Data2!$A$18,5-INT(LOG10(ABS(Data2!U100*Data2!$A$18)))), 0)</f>
        <v>0.99602100000000005</v>
      </c>
      <c r="B101" s="185">
        <f>IFERROR(ROUND(Data2!V100*Data2!$A$18,5-INT(LOG10(ABS(Data2!V100*Data2!$A$18)))), 0)</f>
        <v>-1.5731499999999999E-3</v>
      </c>
    </row>
    <row r="102" spans="1:2" ht="15" x14ac:dyDescent="0.3">
      <c r="A102" s="185">
        <f>IFERROR(ROUND(Data2!U101*Data2!$A$18,5-INT(LOG10(ABS(Data2!U101*Data2!$A$18)))), 0)</f>
        <v>0.99898500000000001</v>
      </c>
      <c r="B102" s="185">
        <f>IFERROR(ROUND(Data2!V101*Data2!$A$18,5-INT(LOG10(ABS(Data2!V101*Data2!$A$18)))), 0)</f>
        <v>-1.2596599999999999E-3</v>
      </c>
    </row>
    <row r="103" spans="1:2" ht="15" x14ac:dyDescent="0.3">
      <c r="A103" s="185">
        <f>IFERROR(ROUND(Data2!U102*Data2!$A$18,5-INT(LOG10(ABS(Data2!U102*Data2!$A$18)))), 0)</f>
        <v>1</v>
      </c>
      <c r="B103" s="185">
        <f>IFERROR(ROUND(Data2!V102*Data2!$A$18,5-INT(LOG10(ABS(Data2!V102*Data2!$A$18)))), 0)</f>
        <v>0</v>
      </c>
    </row>
  </sheetData>
  <sheetProtection algorithmName="SHA-512" hashValue="acz31cwO0GDAxOkLJbANlmYTKOUZV8pC2PUMSMrA8k4HH7AkYwiDUfIsMGy3njCiP+izpqGN9VEIT8h1eJFYQQ==" saltValue="GuXt8UJv9fodZ8kltfVfqQ==" spinCount="100000" sheet="1" objects="1" scenarios="1"/>
  <mergeCells count="1">
    <mergeCell ref="A1:B1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B4D67-7AE7-4A5B-9088-F822E636F76F}">
  <sheetPr codeName="Sheet6">
    <tabColor theme="7" tint="0.79998168889431442"/>
  </sheetPr>
  <dimension ref="A1:AI1000"/>
  <sheetViews>
    <sheetView topLeftCell="L1" zoomScale="85" zoomScaleNormal="100" workbookViewId="0">
      <selection activeCell="AE5" sqref="AE5"/>
    </sheetView>
  </sheetViews>
  <sheetFormatPr defaultRowHeight="14.4" x14ac:dyDescent="0.3"/>
  <cols>
    <col min="1" max="1" width="8.88671875" style="3"/>
    <col min="2" max="2" width="9" style="2" bestFit="1" customWidth="1"/>
    <col min="3" max="3" width="9.21875" style="3" bestFit="1" customWidth="1"/>
    <col min="4" max="4" width="8.88671875" style="7"/>
    <col min="5" max="6" width="9.44140625" style="3" bestFit="1" customWidth="1"/>
    <col min="7" max="7" width="9.44140625" style="7" bestFit="1" customWidth="1"/>
    <col min="8" max="9" width="8.88671875" style="7"/>
    <col min="10" max="15" width="9.77734375" style="7" customWidth="1"/>
    <col min="16" max="16" width="8.88671875" style="7"/>
    <col min="17" max="17" width="9.21875" style="3" bestFit="1" customWidth="1"/>
    <col min="18" max="18" width="10.109375" style="3" customWidth="1"/>
    <col min="19" max="19" width="9.5546875" style="3" customWidth="1"/>
    <col min="20" max="20" width="10.21875" style="3" customWidth="1"/>
    <col min="21" max="21" width="10.5546875" style="3" customWidth="1"/>
    <col min="22" max="22" width="10.44140625" style="3" customWidth="1"/>
    <col min="23" max="23" width="10.33203125" style="3" customWidth="1"/>
    <col min="24" max="25" width="10.21875" style="3" customWidth="1"/>
    <col min="26" max="26" width="9.5546875" style="3" customWidth="1"/>
    <col min="27" max="28" width="9.88671875" style="3" customWidth="1"/>
    <col min="29" max="29" width="9.77734375" style="4" customWidth="1"/>
    <col min="30" max="30" width="10.33203125" style="4" customWidth="1"/>
    <col min="31" max="31" width="8.88671875" style="3"/>
    <col min="32" max="32" width="10" style="7" customWidth="1"/>
    <col min="33" max="35" width="8.88671875" style="13"/>
    <col min="36" max="16384" width="8.88671875" style="3"/>
  </cols>
  <sheetData>
    <row r="1" spans="1:35" x14ac:dyDescent="0.3">
      <c r="A1" s="12">
        <v>2</v>
      </c>
      <c r="B1" s="2" cm="1">
        <f t="array" ref="B1:B51">0.5*(1-COS((_xlfn.SEQUENCE(51,1,50,-1)*PI())/50))</f>
        <v>1</v>
      </c>
      <c r="C1" s="2">
        <f t="shared" ref="C1:C32" si="0">IF($A$12=$A$13, 0, IF(B1&lt;=$A$6, ($A$5/$A$6^2)*(2*$A$6*B1-B1^2), ($A$5/(1-$A$6)^2)*((1-2*$A$6)+2*$A$6*B1-B1^2)))</f>
        <v>0</v>
      </c>
      <c r="D1" s="7">
        <f t="shared" ref="D1:D32" si="1">IF(B1&lt;$R$1, ($A$7/0.2)*($S$1*SQRT(B1)+$T$1*B1+$U$1*(B1^2)+$V$1*(B1^3)), ($A$7/0.2)*($W$1+$X$1*(1-B1)+$Y$1*((1-B1)^2)+$Z$1*((1-B1)^3)))</f>
        <v>1.1999999999999999E-3</v>
      </c>
      <c r="E1" s="2">
        <f t="shared" ref="E1:E32" si="2">IF($A$12=$A$13, 0, IF(B1&lt;=$A$6, ($A$5/$A$6^2) *(2*$A$6-2*B1), ($A$5/(1-$A$6)^2)*(2*$A$6-2*B1)))</f>
        <v>-6.6666666666666666E-2</v>
      </c>
      <c r="F1" s="2">
        <f>IF($A$12=$A$13, 0,  ATAN(E1))</f>
        <v>-6.6568163775823808E-2</v>
      </c>
      <c r="G1" s="7">
        <v>1</v>
      </c>
      <c r="H1" s="7">
        <v>0</v>
      </c>
      <c r="J1" s="7">
        <f>B1*COS($A$9)</f>
        <v>1</v>
      </c>
      <c r="K1" s="7">
        <f>-B1*SIN($A$9)</f>
        <v>0</v>
      </c>
      <c r="L1" s="7">
        <f>B1*COS($A$9)+C1*SIN($A$9)</f>
        <v>1</v>
      </c>
      <c r="M1" s="7">
        <f>-B1*SIN($A$9)+C1*COS($A$9)</f>
        <v>0</v>
      </c>
      <c r="N1" s="7">
        <f>G1*COS($A$9)+H1*SIN($A$9)</f>
        <v>1</v>
      </c>
      <c r="O1" s="7">
        <f>-G1*SIN($A$9)+H1*COS($A$9)</f>
        <v>0</v>
      </c>
      <c r="Q1" s="31">
        <v>5</v>
      </c>
      <c r="R1" s="32">
        <f>$R$2/10</f>
        <v>0.4</v>
      </c>
      <c r="S1" s="33">
        <f>IF($Q$1=9, 0.2969*SQRT(3),0.2969*(Q1/6))</f>
        <v>0.24741666666666667</v>
      </c>
      <c r="T1" s="33">
        <f>(0.3/R1)-1.875*(S1/SQRT(R1))+R1/(2*AA1)</f>
        <v>-0.1001668520604104</v>
      </c>
      <c r="U1" s="33">
        <f>-(0.3/(R1^2))+1.25*(S1/POWER(R1, 3/2))-1/AA1</f>
        <v>-6.9166357677093782E-2</v>
      </c>
      <c r="V1" s="33">
        <f>(0.1/R1^3)-0.375*(S1/POWER(R1, 5/2))+1/(2*AA1*R1)</f>
        <v>-8.354189840884596E-2</v>
      </c>
      <c r="W1" s="33">
        <f>IF(AE4, 0, 0.002)</f>
        <v>2E-3</v>
      </c>
      <c r="X1" s="33" cm="1">
        <f t="array" ref="X1">_xlfn.IFS(R1=0.2, 0.2, R1=0.3, 0.234, R1=0.4, 0.315, R1=0.5, 0.465, R1=0.7, 0.7)</f>
        <v>0.315</v>
      </c>
      <c r="Y1" s="33">
        <f>(3*(0.1-W1)-2*(1-R1)*X1)/((1-R1)^2)</f>
        <v>-0.23333333333333325</v>
      </c>
      <c r="Z1" s="10">
        <f>(-2*(0.1-W1)+(1-R1)*X1)/((1-R1)^3)</f>
        <v>-3.2407407407407433E-2</v>
      </c>
      <c r="AA1" s="1">
        <f>1/(2*Y1+6*Z1*(1-R1))</f>
        <v>-1.7142857142857144</v>
      </c>
      <c r="AB1" s="1"/>
      <c r="AC1" s="4">
        <f t="shared" ref="AC1:AC32" si="3">IF($AE$1, K1, -1)</f>
        <v>-1</v>
      </c>
      <c r="AD1" s="4">
        <f t="shared" ref="AD1:AD32" si="4">IF($AE$2, M1, -1)</f>
        <v>-1</v>
      </c>
      <c r="AE1" s="12" t="b">
        <v>0</v>
      </c>
      <c r="AF1" s="7">
        <f>$F$52-$A$9</f>
        <v>9.966865249116201E-2</v>
      </c>
      <c r="AG1" s="13" cm="1">
        <f t="array" ref="AG1:AG51">_xlfn.SEQUENCE(51, 1, 0, (2*PI())/50)</f>
        <v>0</v>
      </c>
      <c r="AH1" s="13">
        <f>$AF$2*(COS(ATAN($AF$1))+COS(AG1))</f>
        <v>2.1983077896348169E-2</v>
      </c>
      <c r="AI1" s="13">
        <f t="shared" ref="AI1:AI32" si="5">IF($AE$3, $AF$2*(SIN(ATAN($AF$1))+SIN(AG1)), -1)</f>
        <v>-1</v>
      </c>
    </row>
    <row r="2" spans="1:35" x14ac:dyDescent="0.3">
      <c r="A2" s="12">
        <v>4</v>
      </c>
      <c r="B2" s="2">
        <v>0.99901336421413578</v>
      </c>
      <c r="C2" s="2">
        <f t="shared" si="0"/>
        <v>6.5721638492394823E-5</v>
      </c>
      <c r="D2" s="7">
        <f t="shared" si="1"/>
        <v>1.3863378618287478E-3</v>
      </c>
      <c r="E2" s="2">
        <f t="shared" si="2"/>
        <v>-6.6557040468237308E-2</v>
      </c>
      <c r="F2" s="2">
        <f t="shared" ref="F2:F65" si="6">IF($A$12=$A$13, 0,  ATAN(E2))</f>
        <v>-6.6459021855377456E-2</v>
      </c>
      <c r="G2" s="7">
        <f>B2-D2*SIN(F2)</f>
        <v>0.99910543106395311</v>
      </c>
      <c r="H2" s="7">
        <f t="shared" ref="H2:H51" si="7">C2+D2*COS(F2)</f>
        <v>1.4489990373913358E-3</v>
      </c>
      <c r="J2" s="7">
        <f t="shared" ref="J2:J51" si="8">B2*COS($A$9)</f>
        <v>0.99901336421413578</v>
      </c>
      <c r="K2" s="7">
        <f t="shared" ref="K2:K51" si="9">-B2*SIN($A$9)</f>
        <v>0</v>
      </c>
      <c r="L2" s="7">
        <f t="shared" ref="L2:L51" si="10">B2*COS($A$9)+C2*SIN($A$9)</f>
        <v>0.99901336421413578</v>
      </c>
      <c r="M2" s="7">
        <f t="shared" ref="M2:M51" si="11">-B2*SIN($A$9)+C2*COS($A$9)</f>
        <v>6.5721638492394823E-5</v>
      </c>
      <c r="N2" s="7">
        <f t="shared" ref="N2:N65" si="12">G2*COS($A$9)+H2*SIN($A$9)</f>
        <v>0.99910543106395311</v>
      </c>
      <c r="O2" s="7">
        <f t="shared" ref="O2:O65" si="13">-G2*SIN($A$9)+H2*COS($A$9)</f>
        <v>1.4489990373913358E-3</v>
      </c>
      <c r="Q2" s="1"/>
      <c r="R2" s="31">
        <v>4</v>
      </c>
      <c r="S2" s="1"/>
      <c r="T2" s="1"/>
      <c r="U2" s="1"/>
      <c r="V2" s="1"/>
      <c r="W2" s="1"/>
      <c r="X2" s="1"/>
      <c r="Y2" s="1"/>
      <c r="Z2" s="1"/>
      <c r="AA2" s="1"/>
      <c r="AB2" s="1"/>
      <c r="AC2" s="4">
        <f t="shared" si="3"/>
        <v>-1</v>
      </c>
      <c r="AD2" s="4">
        <f t="shared" si="4"/>
        <v>-1</v>
      </c>
      <c r="AE2" s="12" t="b">
        <v>0</v>
      </c>
      <c r="AF2" s="7">
        <f>0.5*(0.2969*($A$7/0.2)*($Q$1/6))^2</f>
        <v>1.101870125E-2</v>
      </c>
      <c r="AG2" s="13">
        <v>0.12566370614359174</v>
      </c>
      <c r="AH2" s="13">
        <f t="shared" ref="AH2:AH51" si="14">$AF$2*(COS(ATAN($AF$1))+COS(AG2))</f>
        <v>2.1896192145865384E-2</v>
      </c>
      <c r="AI2" s="13">
        <f t="shared" si="5"/>
        <v>-1</v>
      </c>
    </row>
    <row r="3" spans="1:35" x14ac:dyDescent="0.3">
      <c r="A3" s="12">
        <v>12</v>
      </c>
      <c r="B3" s="2">
        <v>0.99605735065723888</v>
      </c>
      <c r="C3" s="2">
        <f t="shared" si="0"/>
        <v>2.6197970708185468E-4</v>
      </c>
      <c r="D3" s="7">
        <f t="shared" si="1"/>
        <v>1.9429833063633018E-3</v>
      </c>
      <c r="E3" s="2">
        <f t="shared" si="2"/>
        <v>-6.6228594517470984E-2</v>
      </c>
      <c r="F3" s="2">
        <f t="shared" si="6"/>
        <v>-6.6132017345411367E-2</v>
      </c>
      <c r="G3" s="7">
        <f t="shared" ref="G3:G51" si="15">B3-D3*SIN(F3)</f>
        <v>0.99618575042365609</v>
      </c>
      <c r="H3" s="7">
        <f t="shared" si="7"/>
        <v>2.2007157976291127E-3</v>
      </c>
      <c r="J3" s="7">
        <f t="shared" si="8"/>
        <v>0.99605735065723888</v>
      </c>
      <c r="K3" s="7">
        <f t="shared" si="9"/>
        <v>0</v>
      </c>
      <c r="L3" s="7">
        <f t="shared" si="10"/>
        <v>0.99605735065723888</v>
      </c>
      <c r="M3" s="7">
        <f t="shared" si="11"/>
        <v>2.6197970708185468E-4</v>
      </c>
      <c r="N3" s="7">
        <f t="shared" si="12"/>
        <v>0.99618575042365609</v>
      </c>
      <c r="O3" s="7">
        <f t="shared" si="13"/>
        <v>2.2007157976291127E-3</v>
      </c>
      <c r="AC3" s="4">
        <f t="shared" si="3"/>
        <v>-1</v>
      </c>
      <c r="AD3" s="4">
        <f t="shared" si="4"/>
        <v>-1</v>
      </c>
      <c r="AE3" s="12" t="b">
        <v>0</v>
      </c>
      <c r="AG3" s="13">
        <v>0.25132741228718347</v>
      </c>
      <c r="AH3" s="13">
        <f t="shared" si="14"/>
        <v>2.1636905134605169E-2</v>
      </c>
      <c r="AI3" s="13">
        <f t="shared" si="5"/>
        <v>-1</v>
      </c>
    </row>
    <row r="4" spans="1:35" x14ac:dyDescent="0.3">
      <c r="B4" s="2">
        <v>0.99114362536434442</v>
      </c>
      <c r="C4" s="2">
        <f t="shared" si="0"/>
        <v>5.8606745506109255E-4</v>
      </c>
      <c r="D4" s="7">
        <f t="shared" si="1"/>
        <v>2.8628603469603403E-3</v>
      </c>
      <c r="E4" s="2">
        <f t="shared" si="2"/>
        <v>-6.5682625040482709E-2</v>
      </c>
      <c r="F4" s="2">
        <f t="shared" si="6"/>
        <v>-6.5588412639605298E-2</v>
      </c>
      <c r="G4" s="7">
        <f t="shared" si="15"/>
        <v>0.99133126123265181</v>
      </c>
      <c r="H4" s="7">
        <f t="shared" si="7"/>
        <v>3.4427722257929982E-3</v>
      </c>
      <c r="J4" s="7">
        <f t="shared" si="8"/>
        <v>0.99114362536434442</v>
      </c>
      <c r="K4" s="7">
        <f t="shared" si="9"/>
        <v>0</v>
      </c>
      <c r="L4" s="7">
        <f t="shared" si="10"/>
        <v>0.99114362536434442</v>
      </c>
      <c r="M4" s="7">
        <f t="shared" si="11"/>
        <v>5.8606745506109255E-4</v>
      </c>
      <c r="N4" s="7">
        <f t="shared" si="12"/>
        <v>0.99133126123265181</v>
      </c>
      <c r="O4" s="7">
        <f t="shared" si="13"/>
        <v>3.4427722257929982E-3</v>
      </c>
      <c r="AC4" s="4">
        <f t="shared" si="3"/>
        <v>-1</v>
      </c>
      <c r="AD4" s="4">
        <f t="shared" si="4"/>
        <v>-1</v>
      </c>
      <c r="AE4" s="12" t="b">
        <v>0</v>
      </c>
      <c r="AG4" s="13">
        <v>0.37699111843077521</v>
      </c>
      <c r="AH4" s="13">
        <f t="shared" si="14"/>
        <v>2.120930597362565E-2</v>
      </c>
      <c r="AI4" s="13">
        <f t="shared" si="5"/>
        <v>-1</v>
      </c>
    </row>
    <row r="5" spans="1:35" x14ac:dyDescent="0.3">
      <c r="A5" s="3">
        <f>A1/100</f>
        <v>0.02</v>
      </c>
      <c r="B5" s="2">
        <v>0.98429158056431554</v>
      </c>
      <c r="C5" s="2">
        <f t="shared" si="0"/>
        <v>1.0335193823141076E-3</v>
      </c>
      <c r="D5" s="7">
        <f t="shared" si="1"/>
        <v>4.1342702825369945E-3</v>
      </c>
      <c r="E5" s="2">
        <f t="shared" si="2"/>
        <v>-6.4921286729368394E-2</v>
      </c>
      <c r="F5" s="2">
        <f t="shared" si="6"/>
        <v>-6.4830307188015121E-2</v>
      </c>
      <c r="G5" s="7">
        <f t="shared" si="15"/>
        <v>0.98455941886535747</v>
      </c>
      <c r="H5" s="7">
        <f t="shared" si="7"/>
        <v>5.1591046030511007E-3</v>
      </c>
      <c r="J5" s="7">
        <f t="shared" si="8"/>
        <v>0.98429158056431554</v>
      </c>
      <c r="K5" s="7">
        <f t="shared" si="9"/>
        <v>0</v>
      </c>
      <c r="L5" s="7">
        <f t="shared" si="10"/>
        <v>0.98429158056431554</v>
      </c>
      <c r="M5" s="7">
        <f t="shared" si="11"/>
        <v>1.0335193823141076E-3</v>
      </c>
      <c r="N5" s="7">
        <f t="shared" si="12"/>
        <v>0.98455941886535747</v>
      </c>
      <c r="O5" s="7">
        <f t="shared" si="13"/>
        <v>5.1591046030511007E-3</v>
      </c>
      <c r="AC5" s="4">
        <f t="shared" si="3"/>
        <v>-1</v>
      </c>
      <c r="AD5" s="4">
        <f t="shared" si="4"/>
        <v>-1</v>
      </c>
      <c r="AE5" s="12" t="b">
        <v>0</v>
      </c>
      <c r="AG5" s="13">
        <v>0.50265482457436694</v>
      </c>
      <c r="AH5" s="13">
        <f t="shared" si="14"/>
        <v>2.0620138157130839E-2</v>
      </c>
      <c r="AI5" s="13">
        <f t="shared" si="5"/>
        <v>-1</v>
      </c>
    </row>
    <row r="6" spans="1:35" x14ac:dyDescent="0.3">
      <c r="A6" s="3">
        <f>A2/10</f>
        <v>0.4</v>
      </c>
      <c r="B6" s="2">
        <v>0.97552825814757682</v>
      </c>
      <c r="C6" s="2">
        <f t="shared" si="0"/>
        <v>1.5981791152009004E-3</v>
      </c>
      <c r="D6" s="7">
        <f t="shared" si="1"/>
        <v>5.7410329850830751E-3</v>
      </c>
      <c r="E6" s="2">
        <f t="shared" si="2"/>
        <v>-6.3947584238619654E-2</v>
      </c>
      <c r="F6" s="2">
        <f t="shared" si="6"/>
        <v>-6.3860630672153126E-2</v>
      </c>
      <c r="G6" s="7">
        <f t="shared" si="15"/>
        <v>0.97589463499105145</v>
      </c>
      <c r="H6" s="7">
        <f t="shared" si="7"/>
        <v>7.327509594792515E-3</v>
      </c>
      <c r="J6" s="7">
        <f t="shared" si="8"/>
        <v>0.97552825814757682</v>
      </c>
      <c r="K6" s="7">
        <f t="shared" si="9"/>
        <v>0</v>
      </c>
      <c r="L6" s="7">
        <f t="shared" si="10"/>
        <v>0.97552825814757682</v>
      </c>
      <c r="M6" s="7">
        <f t="shared" si="11"/>
        <v>1.5981791152009004E-3</v>
      </c>
      <c r="N6" s="7">
        <f t="shared" si="12"/>
        <v>0.97589463499105145</v>
      </c>
      <c r="O6" s="7">
        <f t="shared" si="13"/>
        <v>7.327509594792515E-3</v>
      </c>
      <c r="AC6" s="4">
        <f t="shared" si="3"/>
        <v>-1</v>
      </c>
      <c r="AD6" s="4">
        <f t="shared" si="4"/>
        <v>-1</v>
      </c>
      <c r="AG6" s="13">
        <v>0.62831853071795862</v>
      </c>
      <c r="AH6" s="13">
        <f t="shared" si="14"/>
        <v>1.9878693213538644E-2</v>
      </c>
      <c r="AI6" s="13">
        <f t="shared" si="5"/>
        <v>-1</v>
      </c>
    </row>
    <row r="7" spans="1:35" x14ac:dyDescent="0.3">
      <c r="A7" s="3">
        <f>A3/100</f>
        <v>0.12</v>
      </c>
      <c r="B7" s="2">
        <v>0.96488824294412567</v>
      </c>
      <c r="C7" s="2">
        <f t="shared" si="0"/>
        <v>2.2722929435276974E-3</v>
      </c>
      <c r="D7" s="7">
        <f t="shared" si="1"/>
        <v>7.6626834238078152E-3</v>
      </c>
      <c r="E7" s="2">
        <f t="shared" si="2"/>
        <v>-6.2765360327125083E-2</v>
      </c>
      <c r="F7" s="2">
        <f t="shared" si="6"/>
        <v>-6.2683133419719012E-2</v>
      </c>
      <c r="G7" s="7">
        <f t="shared" si="15"/>
        <v>0.9653682494690895</v>
      </c>
      <c r="H7" s="7">
        <f t="shared" si="7"/>
        <v>9.9199272829486908E-3</v>
      </c>
      <c r="J7" s="7">
        <f t="shared" si="8"/>
        <v>0.96488824294412567</v>
      </c>
      <c r="K7" s="7">
        <f t="shared" si="9"/>
        <v>0</v>
      </c>
      <c r="L7" s="7">
        <f t="shared" si="10"/>
        <v>0.96488824294412567</v>
      </c>
      <c r="M7" s="7">
        <f t="shared" si="11"/>
        <v>2.2722929435276974E-3</v>
      </c>
      <c r="N7" s="7">
        <f t="shared" si="12"/>
        <v>0.9653682494690895</v>
      </c>
      <c r="O7" s="7">
        <f t="shared" si="13"/>
        <v>9.9199272829486908E-3</v>
      </c>
      <c r="AC7" s="4">
        <f t="shared" si="3"/>
        <v>-1</v>
      </c>
      <c r="AD7" s="4">
        <f t="shared" si="4"/>
        <v>-1</v>
      </c>
      <c r="AG7" s="13">
        <v>0.7539822368615503</v>
      </c>
      <c r="AH7" s="13">
        <f t="shared" si="14"/>
        <v>1.8996664172527263E-2</v>
      </c>
      <c r="AI7" s="13">
        <f t="shared" si="5"/>
        <v>-1</v>
      </c>
    </row>
    <row r="8" spans="1:35" x14ac:dyDescent="0.3">
      <c r="B8" s="2">
        <v>0.95241352623300968</v>
      </c>
      <c r="C8" s="2">
        <f t="shared" si="0"/>
        <v>3.0466275574895477E-3</v>
      </c>
      <c r="D8" s="7">
        <f t="shared" si="1"/>
        <v>9.8747220944701408E-3</v>
      </c>
      <c r="E8" s="2">
        <f t="shared" si="2"/>
        <v>-6.1379280692556631E-2</v>
      </c>
      <c r="F8" s="2">
        <f t="shared" si="6"/>
        <v>-6.1302374031424113E-2</v>
      </c>
      <c r="G8" s="7">
        <f t="shared" si="15"/>
        <v>0.95301849106637926</v>
      </c>
      <c r="H8" s="7">
        <f t="shared" si="7"/>
        <v>1.2902800952545198E-2</v>
      </c>
      <c r="J8" s="7">
        <f t="shared" si="8"/>
        <v>0.95241352623300968</v>
      </c>
      <c r="K8" s="7">
        <f t="shared" si="9"/>
        <v>0</v>
      </c>
      <c r="L8" s="7">
        <f t="shared" si="10"/>
        <v>0.95241352623300968</v>
      </c>
      <c r="M8" s="7">
        <f t="shared" si="11"/>
        <v>3.0466275574895477E-3</v>
      </c>
      <c r="N8" s="7">
        <f t="shared" si="12"/>
        <v>0.95301849106637926</v>
      </c>
      <c r="O8" s="7">
        <f t="shared" si="13"/>
        <v>1.2902800952545198E-2</v>
      </c>
      <c r="AC8" s="4">
        <f t="shared" si="3"/>
        <v>-1</v>
      </c>
      <c r="AD8" s="4">
        <f t="shared" si="4"/>
        <v>-1</v>
      </c>
      <c r="AG8" s="13">
        <v>0.87964594300514198</v>
      </c>
      <c r="AH8" s="13">
        <f t="shared" si="14"/>
        <v>1.7987961158972048E-2</v>
      </c>
      <c r="AI8" s="13">
        <f t="shared" si="5"/>
        <v>-1</v>
      </c>
    </row>
    <row r="9" spans="1:35" x14ac:dyDescent="0.3">
      <c r="A9" s="3">
        <f>RADIANS('naca_4-digit_mod_plot'!E4)</f>
        <v>0</v>
      </c>
      <c r="B9" s="2">
        <v>0.93815334002193174</v>
      </c>
      <c r="C9" s="2">
        <f t="shared" si="0"/>
        <v>3.9106101457355037E-3</v>
      </c>
      <c r="D9" s="7">
        <f t="shared" si="1"/>
        <v>1.2348917570212444E-2</v>
      </c>
      <c r="E9" s="2">
        <f t="shared" si="2"/>
        <v>-5.9794815557992417E-2</v>
      </c>
      <c r="F9" s="2">
        <f t="shared" si="6"/>
        <v>-5.9723704188408264E-2</v>
      </c>
      <c r="G9" s="7">
        <f t="shared" si="15"/>
        <v>0.93889042475237816</v>
      </c>
      <c r="H9" s="7">
        <f t="shared" si="7"/>
        <v>1.6237510455872045E-2</v>
      </c>
      <c r="J9" s="7">
        <f t="shared" si="8"/>
        <v>0.93815334002193174</v>
      </c>
      <c r="K9" s="7">
        <f t="shared" si="9"/>
        <v>0</v>
      </c>
      <c r="L9" s="7">
        <f t="shared" si="10"/>
        <v>0.93815334002193174</v>
      </c>
      <c r="M9" s="7">
        <f t="shared" si="11"/>
        <v>3.9106101457355037E-3</v>
      </c>
      <c r="N9" s="7">
        <f t="shared" si="12"/>
        <v>0.93889042475237816</v>
      </c>
      <c r="O9" s="7">
        <f t="shared" si="13"/>
        <v>1.6237510455872045E-2</v>
      </c>
      <c r="AC9" s="4">
        <f t="shared" si="3"/>
        <v>-1</v>
      </c>
      <c r="AD9" s="4">
        <f t="shared" si="4"/>
        <v>-1</v>
      </c>
      <c r="AG9" s="13">
        <v>1.0053096491487337</v>
      </c>
      <c r="AH9" s="13">
        <f t="shared" si="14"/>
        <v>1.6868492021966736E-2</v>
      </c>
      <c r="AI9" s="13">
        <f t="shared" si="5"/>
        <v>-1</v>
      </c>
    </row>
    <row r="10" spans="1:35" x14ac:dyDescent="0.3">
      <c r="A10" s="3">
        <f>'naca_4-digit_mod_plot'!E6</f>
        <v>1</v>
      </c>
      <c r="B10" s="2">
        <v>0.92216396275100743</v>
      </c>
      <c r="C10" s="2">
        <f t="shared" si="0"/>
        <v>4.852488666898031E-3</v>
      </c>
      <c r="D10" s="7">
        <f t="shared" si="1"/>
        <v>1.5053658890956702E-2</v>
      </c>
      <c r="E10" s="2">
        <f t="shared" si="2"/>
        <v>-5.8018218083445268E-2</v>
      </c>
      <c r="F10" s="2">
        <f t="shared" si="6"/>
        <v>-5.795325060757997E-2</v>
      </c>
      <c r="G10" s="7">
        <f t="shared" si="15"/>
        <v>0.92303588295711336</v>
      </c>
      <c r="H10" s="7">
        <f t="shared" si="7"/>
        <v>1.9880875179077703E-2</v>
      </c>
      <c r="J10" s="7">
        <f t="shared" si="8"/>
        <v>0.92216396275100743</v>
      </c>
      <c r="K10" s="7">
        <f t="shared" si="9"/>
        <v>0</v>
      </c>
      <c r="L10" s="7">
        <f t="shared" si="10"/>
        <v>0.92216396275100743</v>
      </c>
      <c r="M10" s="7">
        <f t="shared" si="11"/>
        <v>4.852488666898031E-3</v>
      </c>
      <c r="N10" s="7">
        <f t="shared" si="12"/>
        <v>0.92303588295711336</v>
      </c>
      <c r="O10" s="7">
        <f t="shared" si="13"/>
        <v>1.9880875179077703E-2</v>
      </c>
      <c r="AC10" s="4">
        <f t="shared" si="3"/>
        <v>-1</v>
      </c>
      <c r="AD10" s="4">
        <f t="shared" si="4"/>
        <v>-1</v>
      </c>
      <c r="AG10" s="13">
        <v>1.1309733552923253</v>
      </c>
      <c r="AH10" s="13">
        <f t="shared" si="14"/>
        <v>1.5655911458540353E-2</v>
      </c>
      <c r="AI10" s="13">
        <f t="shared" si="5"/>
        <v>-1</v>
      </c>
    </row>
    <row r="11" spans="1:35" x14ac:dyDescent="0.3">
      <c r="B11" s="2">
        <v>0.90450849718747373</v>
      </c>
      <c r="C11" s="2">
        <f t="shared" si="0"/>
        <v>5.8595097925353808E-3</v>
      </c>
      <c r="D11" s="7">
        <f t="shared" si="1"/>
        <v>1.7954354958908198E-2</v>
      </c>
      <c r="E11" s="2">
        <f t="shared" si="2"/>
        <v>-5.6056499687497083E-2</v>
      </c>
      <c r="F11" s="2">
        <f t="shared" si="6"/>
        <v>-5.5997894114239874E-2</v>
      </c>
      <c r="G11" s="7">
        <f t="shared" si="15"/>
        <v>0.90551337788501429</v>
      </c>
      <c r="H11" s="7">
        <f t="shared" si="7"/>
        <v>2.3785721795470685E-2</v>
      </c>
      <c r="J11" s="7">
        <f t="shared" si="8"/>
        <v>0.90450849718747373</v>
      </c>
      <c r="K11" s="7">
        <f t="shared" si="9"/>
        <v>0</v>
      </c>
      <c r="L11" s="7">
        <f t="shared" si="10"/>
        <v>0.90450849718747373</v>
      </c>
      <c r="M11" s="7">
        <f t="shared" si="11"/>
        <v>5.8595097925353808E-3</v>
      </c>
      <c r="N11" s="7">
        <f t="shared" si="12"/>
        <v>0.90551337788501429</v>
      </c>
      <c r="O11" s="7">
        <f t="shared" si="13"/>
        <v>2.3785721795470685E-2</v>
      </c>
      <c r="AC11" s="4">
        <f t="shared" si="3"/>
        <v>-1</v>
      </c>
      <c r="AD11" s="4">
        <f t="shared" si="4"/>
        <v>-1</v>
      </c>
      <c r="AG11" s="13">
        <v>1.256637061435917</v>
      </c>
      <c r="AH11" s="13">
        <f t="shared" si="14"/>
        <v>1.436934258853865E-2</v>
      </c>
      <c r="AI11" s="13">
        <f t="shared" si="5"/>
        <v>-1</v>
      </c>
    </row>
    <row r="12" spans="1:35" x14ac:dyDescent="0.3">
      <c r="A12" s="29" t="str">
        <f>'naca_4-digit_mod_plot'!D2</f>
        <v>Cambered Profile</v>
      </c>
      <c r="B12" s="2">
        <v>0.88525662138789452</v>
      </c>
      <c r="C12" s="2">
        <f t="shared" si="0"/>
        <v>6.9181117444003116E-3</v>
      </c>
      <c r="D12" s="7">
        <f t="shared" si="1"/>
        <v>2.101387750856118E-2</v>
      </c>
      <c r="E12" s="2">
        <f t="shared" si="2"/>
        <v>-5.3917402376432728E-2</v>
      </c>
      <c r="F12" s="2">
        <f t="shared" si="6"/>
        <v>-5.3865245806891358E-2</v>
      </c>
      <c r="G12" s="7">
        <f t="shared" si="15"/>
        <v>0.88638799177478722</v>
      </c>
      <c r="H12" s="7">
        <f t="shared" si="7"/>
        <v>2.7901511111339782E-2</v>
      </c>
      <c r="J12" s="7">
        <f t="shared" si="8"/>
        <v>0.88525662138789452</v>
      </c>
      <c r="K12" s="7">
        <f t="shared" si="9"/>
        <v>0</v>
      </c>
      <c r="L12" s="7">
        <f t="shared" si="10"/>
        <v>0.88525662138789452</v>
      </c>
      <c r="M12" s="7">
        <f t="shared" si="11"/>
        <v>6.9181117444003116E-3</v>
      </c>
      <c r="N12" s="7">
        <f t="shared" si="12"/>
        <v>0.88638799177478722</v>
      </c>
      <c r="O12" s="7">
        <f t="shared" si="13"/>
        <v>2.7901511111339782E-2</v>
      </c>
      <c r="AC12" s="4">
        <f t="shared" si="3"/>
        <v>-1</v>
      </c>
      <c r="AD12" s="4">
        <f t="shared" si="4"/>
        <v>-1</v>
      </c>
      <c r="AG12" s="13">
        <v>1.3823007675795087</v>
      </c>
      <c r="AH12" s="13">
        <f t="shared" si="14"/>
        <v>1.3029075371600541E-2</v>
      </c>
      <c r="AI12" s="13">
        <f t="shared" si="5"/>
        <v>-1</v>
      </c>
    </row>
    <row r="13" spans="1:35" x14ac:dyDescent="0.3">
      <c r="A13" s="30" t="s">
        <v>27</v>
      </c>
      <c r="B13" s="2">
        <v>0.86448431371070567</v>
      </c>
      <c r="C13" s="2">
        <f t="shared" si="0"/>
        <v>8.0141290175941553E-3</v>
      </c>
      <c r="D13" s="7">
        <f t="shared" si="1"/>
        <v>2.4193043575542326E-2</v>
      </c>
      <c r="E13" s="2">
        <f t="shared" si="2"/>
        <v>-5.1609368190078407E-2</v>
      </c>
      <c r="F13" s="2">
        <f t="shared" si="6"/>
        <v>-5.156362029840024E-2</v>
      </c>
      <c r="G13" s="7">
        <f t="shared" si="15"/>
        <v>0.86573124189516493</v>
      </c>
      <c r="H13" s="7">
        <f t="shared" si="7"/>
        <v>3.2175017402562352E-2</v>
      </c>
      <c r="J13" s="7">
        <f t="shared" si="8"/>
        <v>0.86448431371070567</v>
      </c>
      <c r="K13" s="7">
        <f t="shared" si="9"/>
        <v>0</v>
      </c>
      <c r="L13" s="7">
        <f t="shared" si="10"/>
        <v>0.86448431371070567</v>
      </c>
      <c r="M13" s="7">
        <f t="shared" si="11"/>
        <v>8.0141290175941553E-3</v>
      </c>
      <c r="N13" s="7">
        <f t="shared" si="12"/>
        <v>0.86573124189516493</v>
      </c>
      <c r="O13" s="7">
        <f t="shared" si="13"/>
        <v>3.2175017402562352E-2</v>
      </c>
      <c r="AC13" s="4">
        <f t="shared" si="3"/>
        <v>-1</v>
      </c>
      <c r="AD13" s="4">
        <f t="shared" si="4"/>
        <v>-1</v>
      </c>
      <c r="AG13" s="13">
        <v>1.5079644737231004</v>
      </c>
      <c r="AH13" s="13">
        <f t="shared" si="14"/>
        <v>1.165624662237397E-2</v>
      </c>
      <c r="AI13" s="13">
        <f t="shared" si="5"/>
        <v>-1</v>
      </c>
    </row>
    <row r="14" spans="1:35" x14ac:dyDescent="0.3">
      <c r="A14" s="30" t="s">
        <v>28</v>
      </c>
      <c r="B14" s="2">
        <v>0.84227355296434436</v>
      </c>
      <c r="C14" s="2">
        <f t="shared" si="0"/>
        <v>9.1330057971275146E-3</v>
      </c>
      <c r="D14" s="7">
        <f t="shared" si="1"/>
        <v>2.7451132708603249E-2</v>
      </c>
      <c r="E14" s="2">
        <f t="shared" si="2"/>
        <v>-4.9141505884927154E-2</v>
      </c>
      <c r="F14" s="2">
        <f t="shared" si="6"/>
        <v>-4.9102006030696671E-2</v>
      </c>
      <c r="G14" s="7">
        <f t="shared" si="15"/>
        <v>0.84362091707843656</v>
      </c>
      <c r="H14" s="7">
        <f t="shared" si="7"/>
        <v>3.6551052717530209E-2</v>
      </c>
      <c r="J14" s="7">
        <f t="shared" si="8"/>
        <v>0.84227355296434436</v>
      </c>
      <c r="K14" s="7">
        <f t="shared" si="9"/>
        <v>0</v>
      </c>
      <c r="L14" s="7">
        <f t="shared" si="10"/>
        <v>0.84227355296434436</v>
      </c>
      <c r="M14" s="7">
        <f t="shared" si="11"/>
        <v>9.1330057971275146E-3</v>
      </c>
      <c r="N14" s="7">
        <f t="shared" si="12"/>
        <v>0.84362091707843656</v>
      </c>
      <c r="O14" s="7">
        <f t="shared" si="13"/>
        <v>3.6551052717530209E-2</v>
      </c>
      <c r="AC14" s="4">
        <f t="shared" si="3"/>
        <v>-1</v>
      </c>
      <c r="AD14" s="4">
        <f t="shared" si="4"/>
        <v>-1</v>
      </c>
      <c r="AG14" s="13">
        <v>1.6336281798666921</v>
      </c>
      <c r="AH14" s="13">
        <f t="shared" si="14"/>
        <v>1.027250667032238E-2</v>
      </c>
      <c r="AI14" s="13">
        <f t="shared" si="5"/>
        <v>-1</v>
      </c>
    </row>
    <row r="15" spans="1:35" x14ac:dyDescent="0.3">
      <c r="B15" s="2">
        <v>0.81871199487434487</v>
      </c>
      <c r="C15" s="2">
        <f t="shared" si="0"/>
        <v>1.0260014741574812E-2</v>
      </c>
      <c r="D15" s="7">
        <f t="shared" si="1"/>
        <v>3.0746433466121326E-2</v>
      </c>
      <c r="E15" s="2">
        <f t="shared" si="2"/>
        <v>-4.6523554986038322E-2</v>
      </c>
      <c r="F15" s="2">
        <f t="shared" si="6"/>
        <v>-4.6490032676948047E-2</v>
      </c>
      <c r="G15" s="7">
        <f t="shared" si="15"/>
        <v>0.82014088272633789</v>
      </c>
      <c r="H15" s="7">
        <f t="shared" si="7"/>
        <v>4.0973227702661319E-2</v>
      </c>
      <c r="J15" s="7">
        <f t="shared" si="8"/>
        <v>0.81871199487434487</v>
      </c>
      <c r="K15" s="7">
        <f t="shared" si="9"/>
        <v>0</v>
      </c>
      <c r="L15" s="7">
        <f t="shared" si="10"/>
        <v>0.81871199487434487</v>
      </c>
      <c r="M15" s="7">
        <f t="shared" si="11"/>
        <v>1.0260014741574812E-2</v>
      </c>
      <c r="N15" s="7">
        <f t="shared" si="12"/>
        <v>0.82014088272633789</v>
      </c>
      <c r="O15" s="7">
        <f t="shared" si="13"/>
        <v>4.0973227702661319E-2</v>
      </c>
      <c r="AC15" s="4">
        <f t="shared" si="3"/>
        <v>-1</v>
      </c>
      <c r="AD15" s="4">
        <f t="shared" si="4"/>
        <v>-1</v>
      </c>
      <c r="AG15" s="13">
        <v>1.7592918860102837</v>
      </c>
      <c r="AH15" s="13">
        <f t="shared" si="14"/>
        <v>8.8996779210958072E-3</v>
      </c>
      <c r="AI15" s="13">
        <f t="shared" si="5"/>
        <v>-1</v>
      </c>
    </row>
    <row r="16" spans="1:35" x14ac:dyDescent="0.3">
      <c r="B16" s="2">
        <v>0.79389262614623646</v>
      </c>
      <c r="C16" s="2">
        <f t="shared" si="0"/>
        <v>1.1380477725978957E-2</v>
      </c>
      <c r="D16" s="7">
        <f t="shared" si="1"/>
        <v>3.4036813029457755E-2</v>
      </c>
      <c r="E16" s="2">
        <f t="shared" si="2"/>
        <v>-4.3765847349581832E-2</v>
      </c>
      <c r="F16" s="2">
        <f t="shared" si="6"/>
        <v>-4.3737935665353202E-2</v>
      </c>
      <c r="G16" s="7">
        <f t="shared" si="15"/>
        <v>0.79538085148126625</v>
      </c>
      <c r="H16" s="7">
        <f t="shared" si="7"/>
        <v>4.5384739614078233E-2</v>
      </c>
      <c r="J16" s="7">
        <f t="shared" si="8"/>
        <v>0.79389262614623646</v>
      </c>
      <c r="K16" s="7">
        <f t="shared" si="9"/>
        <v>0</v>
      </c>
      <c r="L16" s="7">
        <f t="shared" si="10"/>
        <v>0.79389262614623646</v>
      </c>
      <c r="M16" s="7">
        <f t="shared" si="11"/>
        <v>1.1380477725978957E-2</v>
      </c>
      <c r="N16" s="7">
        <f t="shared" si="12"/>
        <v>0.79538085148126625</v>
      </c>
      <c r="O16" s="7">
        <f t="shared" si="13"/>
        <v>4.5384739614078233E-2</v>
      </c>
      <c r="AC16" s="4">
        <f t="shared" si="3"/>
        <v>-1</v>
      </c>
      <c r="AD16" s="4">
        <f t="shared" si="4"/>
        <v>-1</v>
      </c>
      <c r="AG16" s="13">
        <v>1.8849555921538754</v>
      </c>
      <c r="AH16" s="13">
        <f t="shared" si="14"/>
        <v>7.5594107041576999E-3</v>
      </c>
      <c r="AI16" s="13">
        <f t="shared" si="5"/>
        <v>-1</v>
      </c>
    </row>
    <row r="17" spans="2:35" x14ac:dyDescent="0.3">
      <c r="B17" s="2">
        <v>0.76791339748949849</v>
      </c>
      <c r="C17" s="2">
        <f t="shared" si="0"/>
        <v>1.2479985108207465E-2</v>
      </c>
      <c r="D17" s="7">
        <f t="shared" si="1"/>
        <v>3.7280303070657349E-2</v>
      </c>
      <c r="E17" s="2">
        <f t="shared" si="2"/>
        <v>-4.0879266387722053E-2</v>
      </c>
      <c r="F17" s="2">
        <f t="shared" si="6"/>
        <v>-4.0856517882064465E-2</v>
      </c>
      <c r="G17" s="7">
        <f t="shared" si="15"/>
        <v>0.76943611714145876</v>
      </c>
      <c r="H17" s="7">
        <f t="shared" si="7"/>
        <v>4.9729177339739111E-2</v>
      </c>
      <c r="J17" s="7">
        <f t="shared" si="8"/>
        <v>0.76791339748949849</v>
      </c>
      <c r="K17" s="7">
        <f t="shared" si="9"/>
        <v>0</v>
      </c>
      <c r="L17" s="7">
        <f t="shared" si="10"/>
        <v>0.76791339748949849</v>
      </c>
      <c r="M17" s="7">
        <f t="shared" si="11"/>
        <v>1.2479985108207465E-2</v>
      </c>
      <c r="N17" s="7">
        <f t="shared" si="12"/>
        <v>0.76943611714145876</v>
      </c>
      <c r="O17" s="7">
        <f t="shared" si="13"/>
        <v>4.9729177339739111E-2</v>
      </c>
      <c r="AC17" s="4">
        <f t="shared" si="3"/>
        <v>-1</v>
      </c>
      <c r="AD17" s="4">
        <f t="shared" si="4"/>
        <v>-1</v>
      </c>
      <c r="AG17" s="13">
        <v>2.0106192982974673</v>
      </c>
      <c r="AH17" s="13">
        <f t="shared" si="14"/>
        <v>6.2728418341559929E-3</v>
      </c>
      <c r="AI17" s="13">
        <f t="shared" si="5"/>
        <v>-1</v>
      </c>
    </row>
    <row r="18" spans="2:35" x14ac:dyDescent="0.3">
      <c r="B18" s="2">
        <v>0.74087683705085772</v>
      </c>
      <c r="C18" s="2">
        <f t="shared" si="0"/>
        <v>1.3544610109011276E-2</v>
      </c>
      <c r="D18" s="7">
        <f t="shared" si="1"/>
        <v>4.0435694354175135E-2</v>
      </c>
      <c r="E18" s="2">
        <f t="shared" si="2"/>
        <v>-3.7875204116761971E-2</v>
      </c>
      <c r="F18" s="2">
        <f t="shared" si="6"/>
        <v>-3.7857108636751631E-2</v>
      </c>
      <c r="G18" s="7">
        <f t="shared" si="15"/>
        <v>0.74240724990910811</v>
      </c>
      <c r="H18" s="7">
        <f t="shared" si="7"/>
        <v>5.3951332500063641E-2</v>
      </c>
      <c r="J18" s="7">
        <f t="shared" si="8"/>
        <v>0.74087683705085772</v>
      </c>
      <c r="K18" s="7">
        <f t="shared" si="9"/>
        <v>0</v>
      </c>
      <c r="L18" s="7">
        <f t="shared" si="10"/>
        <v>0.74087683705085772</v>
      </c>
      <c r="M18" s="7">
        <f t="shared" si="11"/>
        <v>1.3544610109011276E-2</v>
      </c>
      <c r="N18" s="7">
        <f t="shared" si="12"/>
        <v>0.74240724990910811</v>
      </c>
      <c r="O18" s="7">
        <f t="shared" si="13"/>
        <v>5.3951332500063641E-2</v>
      </c>
      <c r="AC18" s="4">
        <f t="shared" si="3"/>
        <v>-1</v>
      </c>
      <c r="AD18" s="4">
        <f t="shared" si="4"/>
        <v>-1</v>
      </c>
      <c r="AG18" s="13">
        <v>2.1362830044410592</v>
      </c>
      <c r="AH18" s="13">
        <f t="shared" si="14"/>
        <v>5.0602612707296079E-3</v>
      </c>
      <c r="AI18" s="13">
        <f t="shared" si="5"/>
        <v>-1</v>
      </c>
    </row>
    <row r="19" spans="2:35" x14ac:dyDescent="0.3">
      <c r="B19" s="2">
        <v>0.71288964578253633</v>
      </c>
      <c r="C19" s="2">
        <f t="shared" si="0"/>
        <v>1.4561114975671049E-2</v>
      </c>
      <c r="D19" s="7">
        <f t="shared" si="1"/>
        <v>4.3463131956413797E-2</v>
      </c>
      <c r="E19" s="2">
        <f t="shared" si="2"/>
        <v>-3.4765516198059593E-2</v>
      </c>
      <c r="F19" s="2">
        <f t="shared" si="6"/>
        <v>-3.4751520002380361E-2</v>
      </c>
      <c r="G19" s="7">
        <f t="shared" si="15"/>
        <v>0.71439975168812286</v>
      </c>
      <c r="H19" s="7">
        <f t="shared" si="7"/>
        <v>5.7998005053283092E-2</v>
      </c>
      <c r="J19" s="7">
        <f t="shared" si="8"/>
        <v>0.71288964578253633</v>
      </c>
      <c r="K19" s="7">
        <f t="shared" si="9"/>
        <v>0</v>
      </c>
      <c r="L19" s="7">
        <f t="shared" si="10"/>
        <v>0.71288964578253633</v>
      </c>
      <c r="M19" s="7">
        <f t="shared" si="11"/>
        <v>1.4561114975671049E-2</v>
      </c>
      <c r="N19" s="7">
        <f t="shared" si="12"/>
        <v>0.71439975168812286</v>
      </c>
      <c r="O19" s="7">
        <f t="shared" si="13"/>
        <v>5.7998005053283092E-2</v>
      </c>
      <c r="AC19" s="4">
        <f t="shared" si="3"/>
        <v>-1</v>
      </c>
      <c r="AD19" s="4">
        <f t="shared" si="4"/>
        <v>-1</v>
      </c>
      <c r="AG19" s="13">
        <v>2.2619467105846511</v>
      </c>
      <c r="AH19" s="13">
        <f t="shared" si="14"/>
        <v>3.9407921337242949E-3</v>
      </c>
      <c r="AI19" s="13">
        <f t="shared" si="5"/>
        <v>-1</v>
      </c>
    </row>
    <row r="20" spans="2:35" x14ac:dyDescent="0.3">
      <c r="B20" s="2">
        <v>0.68406227634233885</v>
      </c>
      <c r="C20" s="2">
        <f t="shared" si="0"/>
        <v>1.5517145731067151E-2</v>
      </c>
      <c r="D20" s="7">
        <f t="shared" si="1"/>
        <v>4.6324702478711947E-2</v>
      </c>
      <c r="E20" s="2">
        <f t="shared" si="2"/>
        <v>-3.1562475149148762E-2</v>
      </c>
      <c r="F20" s="2">
        <f t="shared" si="6"/>
        <v>-3.155200067018097E-2</v>
      </c>
      <c r="G20" s="7">
        <f t="shared" si="15"/>
        <v>0.68552367088111554</v>
      </c>
      <c r="H20" s="7">
        <f t="shared" si="7"/>
        <v>6.1818791336198886E-2</v>
      </c>
      <c r="J20" s="7">
        <f t="shared" si="8"/>
        <v>0.68406227634233885</v>
      </c>
      <c r="K20" s="7">
        <f t="shared" si="9"/>
        <v>0</v>
      </c>
      <c r="L20" s="7">
        <f t="shared" si="10"/>
        <v>0.68406227634233885</v>
      </c>
      <c r="M20" s="7">
        <f t="shared" si="11"/>
        <v>1.5517145731067151E-2</v>
      </c>
      <c r="N20" s="7">
        <f t="shared" si="12"/>
        <v>0.68552367088111554</v>
      </c>
      <c r="O20" s="7">
        <f t="shared" si="13"/>
        <v>6.1818791336198886E-2</v>
      </c>
      <c r="AC20" s="4">
        <f t="shared" si="3"/>
        <v>-1</v>
      </c>
      <c r="AD20" s="4">
        <f t="shared" si="4"/>
        <v>-1</v>
      </c>
      <c r="AG20" s="13">
        <v>2.387610416728243</v>
      </c>
      <c r="AH20" s="13">
        <f t="shared" si="14"/>
        <v>2.9320891201690766E-3</v>
      </c>
      <c r="AI20" s="13">
        <f t="shared" si="5"/>
        <v>-1</v>
      </c>
    </row>
    <row r="21" spans="2:35" x14ac:dyDescent="0.3">
      <c r="B21" s="2">
        <v>0.6545084971874735</v>
      </c>
      <c r="C21" s="2">
        <f t="shared" si="0"/>
        <v>1.6401412492187434E-2</v>
      </c>
      <c r="D21" s="7">
        <f t="shared" si="1"/>
        <v>4.8985004234904261E-2</v>
      </c>
      <c r="E21" s="2">
        <f t="shared" si="2"/>
        <v>-2.8278721909719279E-2</v>
      </c>
      <c r="F21" s="2">
        <f t="shared" si="6"/>
        <v>-2.8271187490757722E-2</v>
      </c>
      <c r="G21" s="7">
        <f t="shared" si="15"/>
        <v>0.65589317695603122</v>
      </c>
      <c r="H21" s="7">
        <f t="shared" si="7"/>
        <v>6.5366842152633955E-2</v>
      </c>
      <c r="J21" s="7">
        <f t="shared" si="8"/>
        <v>0.6545084971874735</v>
      </c>
      <c r="K21" s="7">
        <f t="shared" si="9"/>
        <v>0</v>
      </c>
      <c r="L21" s="7">
        <f t="shared" si="10"/>
        <v>0.6545084971874735</v>
      </c>
      <c r="M21" s="7">
        <f t="shared" si="11"/>
        <v>1.6401412492187434E-2</v>
      </c>
      <c r="N21" s="7">
        <f t="shared" si="12"/>
        <v>0.65589317695603122</v>
      </c>
      <c r="O21" s="7">
        <f t="shared" si="13"/>
        <v>6.5366842152633955E-2</v>
      </c>
      <c r="AC21" s="4">
        <f t="shared" si="3"/>
        <v>-1</v>
      </c>
      <c r="AD21" s="4">
        <f t="shared" si="4"/>
        <v>-1</v>
      </c>
      <c r="AG21" s="13">
        <v>2.5132741228718349</v>
      </c>
      <c r="AH21" s="13">
        <f t="shared" si="14"/>
        <v>2.0500600791576911E-3</v>
      </c>
      <c r="AI21" s="13">
        <f t="shared" si="5"/>
        <v>-1</v>
      </c>
    </row>
    <row r="22" spans="2:35" x14ac:dyDescent="0.3">
      <c r="B22" s="2">
        <v>0.62434494358242743</v>
      </c>
      <c r="C22" s="2">
        <f t="shared" si="0"/>
        <v>1.7203852571610969E-2</v>
      </c>
      <c r="D22" s="7">
        <f t="shared" si="1"/>
        <v>5.1411691138549091E-2</v>
      </c>
      <c r="E22" s="2">
        <f t="shared" si="2"/>
        <v>-2.4927215953603046E-2</v>
      </c>
      <c r="F22" s="2">
        <f t="shared" si="6"/>
        <v>-2.4922054901994197E-2</v>
      </c>
      <c r="G22" s="7">
        <f t="shared" si="15"/>
        <v>0.62562609593947105</v>
      </c>
      <c r="H22" s="7">
        <f t="shared" si="7"/>
        <v>6.8599578409112363E-2</v>
      </c>
      <c r="J22" s="7">
        <f t="shared" si="8"/>
        <v>0.62434494358242743</v>
      </c>
      <c r="K22" s="7">
        <f t="shared" si="9"/>
        <v>0</v>
      </c>
      <c r="L22" s="7">
        <f t="shared" si="10"/>
        <v>0.62434494358242743</v>
      </c>
      <c r="M22" s="7">
        <f t="shared" si="11"/>
        <v>1.7203852571610969E-2</v>
      </c>
      <c r="N22" s="7">
        <f t="shared" si="12"/>
        <v>0.62562609593947105</v>
      </c>
      <c r="O22" s="7">
        <f t="shared" si="13"/>
        <v>6.8599578409112363E-2</v>
      </c>
      <c r="AC22" s="4">
        <f t="shared" si="3"/>
        <v>-1</v>
      </c>
      <c r="AD22" s="4">
        <f t="shared" si="4"/>
        <v>-1</v>
      </c>
      <c r="AG22" s="13">
        <v>2.6389378290154268</v>
      </c>
      <c r="AH22" s="13">
        <f t="shared" si="14"/>
        <v>1.3086151355654976E-3</v>
      </c>
      <c r="AI22" s="13">
        <f t="shared" si="5"/>
        <v>-1</v>
      </c>
    </row>
    <row r="23" spans="2:35" x14ac:dyDescent="0.3">
      <c r="B23" s="2">
        <v>0.5936906572928623</v>
      </c>
      <c r="C23" s="2">
        <f t="shared" si="0"/>
        <v>1.7915773848747724E-2</v>
      </c>
      <c r="D23" s="7">
        <f t="shared" si="1"/>
        <v>5.3575980920169387E-2</v>
      </c>
      <c r="E23" s="2">
        <f t="shared" si="2"/>
        <v>-2.1521184143651367E-2</v>
      </c>
      <c r="F23" s="2">
        <f t="shared" si="6"/>
        <v>-2.1517862472995482E-2</v>
      </c>
      <c r="G23" s="7">
        <f t="shared" si="15"/>
        <v>0.59484340891981602</v>
      </c>
      <c r="H23" s="7">
        <f t="shared" si="7"/>
        <v>7.1479351914863778E-2</v>
      </c>
      <c r="J23" s="7">
        <f t="shared" si="8"/>
        <v>0.5936906572928623</v>
      </c>
      <c r="K23" s="7">
        <f t="shared" si="9"/>
        <v>0</v>
      </c>
      <c r="L23" s="7">
        <f t="shared" si="10"/>
        <v>0.5936906572928623</v>
      </c>
      <c r="M23" s="7">
        <f t="shared" si="11"/>
        <v>1.7915773848747724E-2</v>
      </c>
      <c r="N23" s="7">
        <f t="shared" si="12"/>
        <v>0.59484340891981602</v>
      </c>
      <c r="O23" s="7">
        <f t="shared" si="13"/>
        <v>7.1479351914863778E-2</v>
      </c>
      <c r="AC23" s="4">
        <f t="shared" si="3"/>
        <v>-1</v>
      </c>
      <c r="AD23" s="4">
        <f t="shared" si="4"/>
        <v>-1</v>
      </c>
      <c r="AG23" s="13">
        <v>2.7646015351590187</v>
      </c>
      <c r="AH23" s="13">
        <f t="shared" si="14"/>
        <v>7.1944731907068362E-4</v>
      </c>
      <c r="AI23" s="13">
        <f t="shared" si="5"/>
        <v>-1</v>
      </c>
    </row>
    <row r="24" spans="2:35" x14ac:dyDescent="0.3">
      <c r="B24" s="2">
        <v>0.56266661678215213</v>
      </c>
      <c r="C24" s="2">
        <f t="shared" si="0"/>
        <v>1.8529976210258248E-2</v>
      </c>
      <c r="D24" s="7">
        <f t="shared" si="1"/>
        <v>5.5453118391076792E-2</v>
      </c>
      <c r="E24" s="2">
        <f t="shared" si="2"/>
        <v>-1.8074068531350237E-2</v>
      </c>
      <c r="F24" s="2">
        <f t="shared" si="6"/>
        <v>-1.8072100819923262E-2</v>
      </c>
      <c r="G24" s="7">
        <f t="shared" si="15"/>
        <v>0.5636687165786457</v>
      </c>
      <c r="H24" s="7">
        <f t="shared" si="7"/>
        <v>7.3974039330601857E-2</v>
      </c>
      <c r="J24" s="7">
        <f t="shared" si="8"/>
        <v>0.56266661678215213</v>
      </c>
      <c r="K24" s="7">
        <f t="shared" si="9"/>
        <v>0</v>
      </c>
      <c r="L24" s="7">
        <f t="shared" si="10"/>
        <v>0.56266661678215213</v>
      </c>
      <c r="M24" s="7">
        <f t="shared" si="11"/>
        <v>1.8529976210258248E-2</v>
      </c>
      <c r="N24" s="7">
        <f t="shared" si="12"/>
        <v>0.5636687165786457</v>
      </c>
      <c r="O24" s="7">
        <f t="shared" si="13"/>
        <v>7.3974039330601857E-2</v>
      </c>
      <c r="AC24" s="4">
        <f t="shared" si="3"/>
        <v>-1</v>
      </c>
      <c r="AD24" s="4">
        <f t="shared" si="4"/>
        <v>-1</v>
      </c>
      <c r="AG24" s="13">
        <v>2.8902652413026106</v>
      </c>
      <c r="AH24" s="13">
        <f t="shared" si="14"/>
        <v>2.9184815809116862E-4</v>
      </c>
      <c r="AI24" s="13">
        <f t="shared" si="5"/>
        <v>-1</v>
      </c>
    </row>
    <row r="25" spans="2:35" x14ac:dyDescent="0.3">
      <c r="B25" s="2">
        <v>0.53139525976465674</v>
      </c>
      <c r="C25" s="2">
        <f t="shared" si="0"/>
        <v>1.9040849206187691E-2</v>
      </c>
      <c r="D25" s="7">
        <f t="shared" si="1"/>
        <v>5.7022784753188484E-2</v>
      </c>
      <c r="E25" s="2">
        <f t="shared" si="2"/>
        <v>-1.459947330718408E-2</v>
      </c>
      <c r="F25" s="2">
        <f t="shared" si="6"/>
        <v>-1.4598436173415663E-2</v>
      </c>
      <c r="G25" s="7">
        <f t="shared" si="15"/>
        <v>0.53222767368101453</v>
      </c>
      <c r="H25" s="7">
        <f t="shared" si="7"/>
        <v>7.6057557880753593E-2</v>
      </c>
      <c r="J25" s="7">
        <f t="shared" si="8"/>
        <v>0.53139525976465674</v>
      </c>
      <c r="K25" s="7">
        <f t="shared" si="9"/>
        <v>0</v>
      </c>
      <c r="L25" s="7">
        <f t="shared" si="10"/>
        <v>0.53139525976465674</v>
      </c>
      <c r="M25" s="7">
        <f t="shared" si="11"/>
        <v>1.9040849206187691E-2</v>
      </c>
      <c r="N25" s="7">
        <f t="shared" si="12"/>
        <v>0.53222767368101453</v>
      </c>
      <c r="O25" s="7">
        <f t="shared" si="13"/>
        <v>7.6057557880753593E-2</v>
      </c>
      <c r="AC25" s="4">
        <f t="shared" si="3"/>
        <v>-1</v>
      </c>
      <c r="AD25" s="4">
        <f t="shared" si="4"/>
        <v>-1</v>
      </c>
      <c r="AG25" s="13">
        <v>3.0159289474462025</v>
      </c>
      <c r="AH25" s="13">
        <f t="shared" si="14"/>
        <v>3.2561146830954468E-5</v>
      </c>
      <c r="AI25" s="13">
        <f t="shared" si="5"/>
        <v>-1</v>
      </c>
    </row>
    <row r="26" spans="2:35" x14ac:dyDescent="0.3">
      <c r="B26" s="2">
        <v>0.49999999999999994</v>
      </c>
      <c r="C26" s="2">
        <f t="shared" si="0"/>
        <v>1.9444444444444441E-2</v>
      </c>
      <c r="D26" s="7">
        <f t="shared" si="1"/>
        <v>5.826944444444445E-2</v>
      </c>
      <c r="E26" s="2">
        <f t="shared" si="2"/>
        <v>-1.1111111111111103E-2</v>
      </c>
      <c r="F26" s="2">
        <f t="shared" si="6"/>
        <v>-1.1110653897607464E-2</v>
      </c>
      <c r="G26" s="7">
        <f t="shared" si="15"/>
        <v>0.50064739830997962</v>
      </c>
      <c r="H26" s="7">
        <f t="shared" si="7"/>
        <v>7.7710292342612314E-2</v>
      </c>
      <c r="J26" s="7">
        <f t="shared" si="8"/>
        <v>0.49999999999999994</v>
      </c>
      <c r="K26" s="7">
        <f t="shared" si="9"/>
        <v>0</v>
      </c>
      <c r="L26" s="7">
        <f t="shared" si="10"/>
        <v>0.49999999999999994</v>
      </c>
      <c r="M26" s="7">
        <f t="shared" si="11"/>
        <v>1.9444444444444441E-2</v>
      </c>
      <c r="N26" s="7">
        <f t="shared" si="12"/>
        <v>0.50064739830997962</v>
      </c>
      <c r="O26" s="7">
        <f t="shared" si="13"/>
        <v>7.7710292342612314E-2</v>
      </c>
      <c r="AC26" s="4">
        <f t="shared" si="3"/>
        <v>-1</v>
      </c>
      <c r="AD26" s="4">
        <f t="shared" si="4"/>
        <v>-1</v>
      </c>
      <c r="AG26" s="13">
        <v>3.1415926535897944</v>
      </c>
      <c r="AH26" s="13">
        <f t="shared" si="14"/>
        <v>-5.4324603651830301E-5</v>
      </c>
      <c r="AI26" s="13">
        <f t="shared" si="5"/>
        <v>-1</v>
      </c>
    </row>
    <row r="27" spans="2:35" x14ac:dyDescent="0.3">
      <c r="B27" s="2">
        <v>0.46860474023534326</v>
      </c>
      <c r="C27" s="2">
        <f t="shared" si="0"/>
        <v>1.9738521645402279E-2</v>
      </c>
      <c r="D27" s="7">
        <f t="shared" si="1"/>
        <v>5.9182621712125218E-2</v>
      </c>
      <c r="E27" s="2">
        <f t="shared" si="2"/>
        <v>-7.6227489150381385E-3</v>
      </c>
      <c r="F27" s="2">
        <f t="shared" si="6"/>
        <v>-7.6226012769376366E-3</v>
      </c>
      <c r="G27" s="7">
        <f t="shared" si="15"/>
        <v>0.46905586139448791</v>
      </c>
      <c r="H27" s="7">
        <f t="shared" si="7"/>
        <v>7.891942399084044E-2</v>
      </c>
      <c r="J27" s="7">
        <f t="shared" si="8"/>
        <v>0.46860474023534326</v>
      </c>
      <c r="K27" s="7">
        <f t="shared" si="9"/>
        <v>0</v>
      </c>
      <c r="L27" s="7">
        <f t="shared" si="10"/>
        <v>0.46860474023534326</v>
      </c>
      <c r="M27" s="7">
        <f t="shared" si="11"/>
        <v>1.9738521645402279E-2</v>
      </c>
      <c r="N27" s="7">
        <f t="shared" si="12"/>
        <v>0.46905586139448791</v>
      </c>
      <c r="O27" s="7">
        <f t="shared" si="13"/>
        <v>7.891942399084044E-2</v>
      </c>
      <c r="AC27" s="4">
        <f t="shared" si="3"/>
        <v>-1</v>
      </c>
      <c r="AD27" s="4">
        <f t="shared" si="4"/>
        <v>-1</v>
      </c>
      <c r="AG27" s="13">
        <v>3.2672563597333864</v>
      </c>
      <c r="AH27" s="13">
        <f t="shared" si="14"/>
        <v>3.2561146830958134E-5</v>
      </c>
      <c r="AI27" s="13">
        <f t="shared" si="5"/>
        <v>-1</v>
      </c>
    </row>
    <row r="28" spans="2:35" x14ac:dyDescent="0.3">
      <c r="B28" s="2">
        <v>0.43733338321784776</v>
      </c>
      <c r="C28" s="2">
        <f t="shared" si="0"/>
        <v>1.9922567694306073E-2</v>
      </c>
      <c r="D28" s="7">
        <f t="shared" si="1"/>
        <v>5.9757100020543824E-2</v>
      </c>
      <c r="E28" s="2">
        <f t="shared" si="2"/>
        <v>-4.1481536908719715E-3</v>
      </c>
      <c r="F28" s="2">
        <f t="shared" si="6"/>
        <v>-4.1481298984431926E-3</v>
      </c>
      <c r="G28" s="7">
        <f t="shared" si="15"/>
        <v>0.43758126272020947</v>
      </c>
      <c r="H28" s="7">
        <f t="shared" si="7"/>
        <v>7.9679153595925215E-2</v>
      </c>
      <c r="J28" s="7">
        <f t="shared" si="8"/>
        <v>0.43733338321784776</v>
      </c>
      <c r="K28" s="7">
        <f t="shared" si="9"/>
        <v>0</v>
      </c>
      <c r="L28" s="7">
        <f t="shared" si="10"/>
        <v>0.43733338321784776</v>
      </c>
      <c r="M28" s="7">
        <f t="shared" si="11"/>
        <v>1.9922567694306073E-2</v>
      </c>
      <c r="N28" s="7">
        <f t="shared" si="12"/>
        <v>0.43758126272020947</v>
      </c>
      <c r="O28" s="7">
        <f t="shared" si="13"/>
        <v>7.9679153595925215E-2</v>
      </c>
      <c r="AC28" s="4">
        <f t="shared" si="3"/>
        <v>-1</v>
      </c>
      <c r="AD28" s="4">
        <f t="shared" si="4"/>
        <v>-1</v>
      </c>
      <c r="AG28" s="13">
        <v>3.3929200658769783</v>
      </c>
      <c r="AH28" s="13">
        <f t="shared" si="14"/>
        <v>2.9184815809117474E-4</v>
      </c>
      <c r="AI28" s="13">
        <f t="shared" si="5"/>
        <v>-1</v>
      </c>
    </row>
    <row r="29" spans="2:35" x14ac:dyDescent="0.3">
      <c r="B29" s="2">
        <v>0.40630934270713764</v>
      </c>
      <c r="C29" s="2">
        <f t="shared" si="0"/>
        <v>1.999778845525577E-2</v>
      </c>
      <c r="D29" s="7">
        <f t="shared" si="1"/>
        <v>5.9993038517743499E-2</v>
      </c>
      <c r="E29" s="2">
        <f t="shared" si="2"/>
        <v>-7.0103807857084695E-4</v>
      </c>
      <c r="F29" s="2">
        <f t="shared" si="6"/>
        <v>-7.0103796372813425E-4</v>
      </c>
      <c r="G29" s="7">
        <f t="shared" si="15"/>
        <v>0.40635140010125309</v>
      </c>
      <c r="H29" s="7">
        <f t="shared" si="7"/>
        <v>7.9990812231083702E-2</v>
      </c>
      <c r="J29" s="7">
        <f t="shared" si="8"/>
        <v>0.40630934270713764</v>
      </c>
      <c r="K29" s="7">
        <f t="shared" si="9"/>
        <v>0</v>
      </c>
      <c r="L29" s="7">
        <f t="shared" si="10"/>
        <v>0.40630934270713764</v>
      </c>
      <c r="M29" s="7">
        <f t="shared" si="11"/>
        <v>1.999778845525577E-2</v>
      </c>
      <c r="N29" s="7">
        <f t="shared" si="12"/>
        <v>0.40635140010125309</v>
      </c>
      <c r="O29" s="7">
        <f t="shared" si="13"/>
        <v>7.9990812231083702E-2</v>
      </c>
      <c r="AC29" s="4">
        <f t="shared" si="3"/>
        <v>-1</v>
      </c>
      <c r="AD29" s="4">
        <f t="shared" si="4"/>
        <v>-1</v>
      </c>
      <c r="AG29" s="13">
        <v>3.5185837720205702</v>
      </c>
      <c r="AH29" s="13">
        <f t="shared" si="14"/>
        <v>7.1944731907069338E-4</v>
      </c>
      <c r="AI29" s="13">
        <f t="shared" si="5"/>
        <v>-1</v>
      </c>
    </row>
    <row r="30" spans="2:35" x14ac:dyDescent="0.3">
      <c r="B30" s="2">
        <v>0.37565505641757263</v>
      </c>
      <c r="C30" s="2">
        <f t="shared" si="0"/>
        <v>1.9925915465246052E-2</v>
      </c>
      <c r="D30" s="7">
        <f t="shared" si="1"/>
        <v>5.9895629391806454E-2</v>
      </c>
      <c r="E30" s="2">
        <f t="shared" si="2"/>
        <v>6.0862358956068462E-3</v>
      </c>
      <c r="F30" s="2">
        <f t="shared" si="6"/>
        <v>6.086160747951235E-3</v>
      </c>
      <c r="G30" s="7">
        <f t="shared" si="15"/>
        <v>0.37529052423946496</v>
      </c>
      <c r="H30" s="7">
        <f t="shared" si="7"/>
        <v>7.9820435552911448E-2</v>
      </c>
      <c r="J30" s="7">
        <f t="shared" si="8"/>
        <v>0.37565505641757263</v>
      </c>
      <c r="K30" s="7">
        <f t="shared" si="9"/>
        <v>0</v>
      </c>
      <c r="L30" s="7">
        <f t="shared" si="10"/>
        <v>0.37565505641757263</v>
      </c>
      <c r="M30" s="7">
        <f t="shared" si="11"/>
        <v>1.9925915465246052E-2</v>
      </c>
      <c r="N30" s="7">
        <f t="shared" si="12"/>
        <v>0.37529052423946496</v>
      </c>
      <c r="O30" s="7">
        <f t="shared" si="13"/>
        <v>7.9820435552911448E-2</v>
      </c>
      <c r="AC30" s="4">
        <f t="shared" si="3"/>
        <v>-1</v>
      </c>
      <c r="AD30" s="4">
        <f t="shared" si="4"/>
        <v>-1</v>
      </c>
      <c r="AG30" s="13">
        <v>3.6442474781641621</v>
      </c>
      <c r="AH30" s="13">
        <f t="shared" si="14"/>
        <v>1.3086151355655097E-3</v>
      </c>
      <c r="AI30" s="13">
        <f t="shared" si="5"/>
        <v>-1</v>
      </c>
    </row>
    <row r="31" spans="2:35" x14ac:dyDescent="0.3">
      <c r="B31" s="2">
        <v>0.34549150281252627</v>
      </c>
      <c r="C31" s="2">
        <f t="shared" si="0"/>
        <v>1.9628602966795392E-2</v>
      </c>
      <c r="D31" s="7">
        <f t="shared" si="1"/>
        <v>5.9471913791376715E-2</v>
      </c>
      <c r="E31" s="2">
        <f t="shared" si="2"/>
        <v>1.3627124296868433E-2</v>
      </c>
      <c r="F31" s="2">
        <f t="shared" si="6"/>
        <v>1.3626280878583526E-2</v>
      </c>
      <c r="G31" s="7">
        <f t="shared" si="15"/>
        <v>0.34468114688857232</v>
      </c>
      <c r="H31" s="7">
        <f t="shared" si="7"/>
        <v>7.9094995604027524E-2</v>
      </c>
      <c r="J31" s="7">
        <f t="shared" si="8"/>
        <v>0.34549150281252627</v>
      </c>
      <c r="K31" s="7">
        <f t="shared" si="9"/>
        <v>0</v>
      </c>
      <c r="L31" s="7">
        <f t="shared" si="10"/>
        <v>0.34549150281252627</v>
      </c>
      <c r="M31" s="7">
        <f t="shared" si="11"/>
        <v>1.9628602966795392E-2</v>
      </c>
      <c r="N31" s="7">
        <f t="shared" si="12"/>
        <v>0.34468114688857232</v>
      </c>
      <c r="O31" s="7">
        <f t="shared" si="13"/>
        <v>7.9094995604027524E-2</v>
      </c>
      <c r="AC31" s="4">
        <f t="shared" si="3"/>
        <v>-1</v>
      </c>
      <c r="AD31" s="4">
        <f t="shared" si="4"/>
        <v>-1</v>
      </c>
      <c r="AG31" s="13">
        <v>3.769911184307754</v>
      </c>
      <c r="AH31" s="13">
        <f t="shared" si="14"/>
        <v>2.0500600791577067E-3</v>
      </c>
      <c r="AI31" s="13">
        <f t="shared" si="5"/>
        <v>-1</v>
      </c>
    </row>
    <row r="32" spans="2:35" x14ac:dyDescent="0.3">
      <c r="B32" s="2">
        <v>0.31593772365766093</v>
      </c>
      <c r="C32" s="2">
        <f t="shared" si="0"/>
        <v>1.9116691712018029E-2</v>
      </c>
      <c r="D32" s="7">
        <f t="shared" si="1"/>
        <v>5.8730274285708102E-2</v>
      </c>
      <c r="E32" s="2">
        <f t="shared" si="2"/>
        <v>2.101556908558477E-2</v>
      </c>
      <c r="F32" s="2">
        <f t="shared" si="6"/>
        <v>2.1012476034120479E-2</v>
      </c>
      <c r="G32" s="7">
        <f t="shared" si="15"/>
        <v>0.31470374598658973</v>
      </c>
      <c r="H32" s="7">
        <f t="shared" si="7"/>
        <v>7.7834001057574764E-2</v>
      </c>
      <c r="J32" s="7">
        <f t="shared" si="8"/>
        <v>0.31593772365766093</v>
      </c>
      <c r="K32" s="7">
        <f t="shared" si="9"/>
        <v>0</v>
      </c>
      <c r="L32" s="7">
        <f t="shared" si="10"/>
        <v>0.31593772365766093</v>
      </c>
      <c r="M32" s="7">
        <f t="shared" si="11"/>
        <v>1.9116691712018029E-2</v>
      </c>
      <c r="N32" s="7">
        <f t="shared" si="12"/>
        <v>0.31470374598658973</v>
      </c>
      <c r="O32" s="7">
        <f t="shared" si="13"/>
        <v>7.7834001057574764E-2</v>
      </c>
      <c r="AC32" s="4">
        <f t="shared" si="3"/>
        <v>-1</v>
      </c>
      <c r="AD32" s="4">
        <f t="shared" si="4"/>
        <v>-1</v>
      </c>
      <c r="AG32" s="13">
        <v>3.8955748904513459</v>
      </c>
      <c r="AH32" s="13">
        <f t="shared" si="14"/>
        <v>2.9320891201690953E-3</v>
      </c>
      <c r="AI32" s="13">
        <f t="shared" si="5"/>
        <v>-1</v>
      </c>
    </row>
    <row r="33" spans="2:35" x14ac:dyDescent="0.3">
      <c r="B33" s="2">
        <v>0.28711035421746367</v>
      </c>
      <c r="C33" s="2">
        <f t="shared" ref="C33:C64" si="16">IF($A$12=$A$13, 0, IF(B33&lt;=$A$6, ($A$5/$A$6^2)*(2*$A$6*B33-B33^2), ($A$5/(1-$A$6)^2)*((1-2*$A$6)+2*$A$6*B33-B33^2)))</f>
        <v>1.8406990984386685E-2</v>
      </c>
      <c r="D33" s="7">
        <f t="shared" ref="D33:D64" si="17">IF(B33&lt;$R$1, ($A$7/0.2)*($S$1*SQRT(B33)+$T$1*B33+$U$1*(B33^2)+$V$1*(B33^3)), ($A$7/0.2)*($W$1+$X$1*(1-B33)+$Y$1*((1-B33)^2)+$Z$1*((1-B33)^3)))</f>
        <v>5.7680875190351873E-2</v>
      </c>
      <c r="E33" s="2">
        <f t="shared" ref="E33:E64" si="18">IF($A$12=$A$13, 0, IF(B33&lt;=$A$6, ($A$5/$A$6^2) *(2*$A$6-2*B33), ($A$5/(1-$A$6)^2)*(2*$A$6-2*B33)))</f>
        <v>2.8222411445634081E-2</v>
      </c>
      <c r="F33" s="2">
        <f t="shared" si="6"/>
        <v>2.8214921931921384E-2</v>
      </c>
      <c r="G33" s="7">
        <f t="shared" si="15"/>
        <v>0.285483108750479</v>
      </c>
      <c r="H33" s="7">
        <f t="shared" si="7"/>
        <v>7.6064908349785243E-2</v>
      </c>
      <c r="J33" s="7">
        <f t="shared" si="8"/>
        <v>0.28711035421746367</v>
      </c>
      <c r="K33" s="7">
        <f t="shared" si="9"/>
        <v>0</v>
      </c>
      <c r="L33" s="7">
        <f t="shared" si="10"/>
        <v>0.28711035421746367</v>
      </c>
      <c r="M33" s="7">
        <f t="shared" si="11"/>
        <v>1.8406990984386685E-2</v>
      </c>
      <c r="N33" s="7">
        <f t="shared" si="12"/>
        <v>0.285483108750479</v>
      </c>
      <c r="O33" s="7">
        <f t="shared" si="13"/>
        <v>7.6064908349785243E-2</v>
      </c>
      <c r="AC33" s="4">
        <f t="shared" ref="AC33:AC51" si="19">IF($AE$1, K33, -1)</f>
        <v>-1</v>
      </c>
      <c r="AD33" s="4">
        <f t="shared" ref="AD33:AD51" si="20">IF($AE$2, M33, -1)</f>
        <v>-1</v>
      </c>
      <c r="AG33" s="13">
        <v>4.0212385965949373</v>
      </c>
      <c r="AH33" s="13">
        <f t="shared" si="14"/>
        <v>3.9407921337243123E-3</v>
      </c>
      <c r="AI33" s="13">
        <f t="shared" ref="AI33:AI51" si="21">IF($AE$3, $AF$2*(SIN(ATAN($AF$1))+SIN(AG33)), -1)</f>
        <v>-1</v>
      </c>
    </row>
    <row r="34" spans="2:35" x14ac:dyDescent="0.3">
      <c r="B34" s="2">
        <v>0.25912316294914239</v>
      </c>
      <c r="C34" s="2">
        <f t="shared" si="16"/>
        <v>1.7519214597818262E-2</v>
      </c>
      <c r="D34" s="7">
        <f t="shared" si="17"/>
        <v>5.6335253846044639E-2</v>
      </c>
      <c r="E34" s="2">
        <f t="shared" si="18"/>
        <v>3.52192092627144E-2</v>
      </c>
      <c r="F34" s="2">
        <f t="shared" si="6"/>
        <v>3.52046582072248E-2</v>
      </c>
      <c r="G34" s="7">
        <f t="shared" si="15"/>
        <v>0.25714030923259951</v>
      </c>
      <c r="H34" s="7">
        <f t="shared" si="7"/>
        <v>7.3819561994944327E-2</v>
      </c>
      <c r="J34" s="7">
        <f t="shared" si="8"/>
        <v>0.25912316294914239</v>
      </c>
      <c r="K34" s="7">
        <f t="shared" si="9"/>
        <v>0</v>
      </c>
      <c r="L34" s="7">
        <f t="shared" si="10"/>
        <v>0.25912316294914239</v>
      </c>
      <c r="M34" s="7">
        <f t="shared" si="11"/>
        <v>1.7519214597818262E-2</v>
      </c>
      <c r="N34" s="7">
        <f t="shared" si="12"/>
        <v>0.25714030923259951</v>
      </c>
      <c r="O34" s="7">
        <f t="shared" si="13"/>
        <v>7.3819561994944327E-2</v>
      </c>
      <c r="AC34" s="4">
        <f t="shared" si="19"/>
        <v>-1</v>
      </c>
      <c r="AD34" s="4">
        <f t="shared" si="20"/>
        <v>-1</v>
      </c>
      <c r="AG34" s="13">
        <v>4.1469023027385292</v>
      </c>
      <c r="AH34" s="13">
        <f t="shared" si="14"/>
        <v>5.0602612707296261E-3</v>
      </c>
      <c r="AI34" s="13">
        <f t="shared" si="21"/>
        <v>-1</v>
      </c>
    </row>
    <row r="35" spans="2:35" x14ac:dyDescent="0.3">
      <c r="B35" s="2">
        <v>0.23208660251050173</v>
      </c>
      <c r="C35" s="2">
        <f t="shared" si="16"/>
        <v>1.6475636367941717E-2</v>
      </c>
      <c r="D35" s="7">
        <f t="shared" si="17"/>
        <v>5.4705926112042072E-2</v>
      </c>
      <c r="E35" s="2">
        <f t="shared" si="18"/>
        <v>4.1978349372374567E-2</v>
      </c>
      <c r="F35" s="2">
        <f t="shared" si="6"/>
        <v>4.1953717582572624E-2</v>
      </c>
      <c r="G35" s="7">
        <f t="shared" si="15"/>
        <v>0.22979215875513412</v>
      </c>
      <c r="H35" s="7">
        <f t="shared" si="7"/>
        <v>7.1133425196521868E-2</v>
      </c>
      <c r="J35" s="7">
        <f t="shared" si="8"/>
        <v>0.23208660251050173</v>
      </c>
      <c r="K35" s="7">
        <f t="shared" si="9"/>
        <v>0</v>
      </c>
      <c r="L35" s="7">
        <f t="shared" si="10"/>
        <v>0.23208660251050173</v>
      </c>
      <c r="M35" s="7">
        <f t="shared" si="11"/>
        <v>1.6475636367941717E-2</v>
      </c>
      <c r="N35" s="7">
        <f t="shared" si="12"/>
        <v>0.22979215875513412</v>
      </c>
      <c r="O35" s="7">
        <f t="shared" si="13"/>
        <v>7.1133425196521868E-2</v>
      </c>
      <c r="AC35" s="4">
        <f t="shared" si="19"/>
        <v>-1</v>
      </c>
      <c r="AD35" s="4">
        <f t="shared" si="20"/>
        <v>-1</v>
      </c>
      <c r="AG35" s="13">
        <v>4.2725660088821211</v>
      </c>
      <c r="AH35" s="13">
        <f t="shared" si="14"/>
        <v>6.2728418341560128E-3</v>
      </c>
      <c r="AI35" s="13">
        <f t="shared" si="21"/>
        <v>-1</v>
      </c>
    </row>
    <row r="36" spans="2:35" x14ac:dyDescent="0.3">
      <c r="B36" s="2">
        <v>0.20610737385376338</v>
      </c>
      <c r="C36" s="2">
        <f t="shared" si="16"/>
        <v>1.5300706190764462E-2</v>
      </c>
      <c r="D36" s="7">
        <f t="shared" si="17"/>
        <v>5.280602082223932E-2</v>
      </c>
      <c r="E36" s="2">
        <f t="shared" si="18"/>
        <v>4.8473156536559148E-2</v>
      </c>
      <c r="F36" s="2">
        <f t="shared" si="6"/>
        <v>4.8435245035337963E-2</v>
      </c>
      <c r="G36" s="7">
        <f t="shared" si="15"/>
        <v>0.20355070121704469</v>
      </c>
      <c r="H36" s="7">
        <f t="shared" si="7"/>
        <v>6.8044798372803444E-2</v>
      </c>
      <c r="J36" s="7">
        <f t="shared" si="8"/>
        <v>0.20610737385376338</v>
      </c>
      <c r="K36" s="7">
        <f t="shared" si="9"/>
        <v>0</v>
      </c>
      <c r="L36" s="7">
        <f t="shared" si="10"/>
        <v>0.20610737385376338</v>
      </c>
      <c r="M36" s="7">
        <f t="shared" si="11"/>
        <v>1.5300706190764462E-2</v>
      </c>
      <c r="N36" s="7">
        <f t="shared" si="12"/>
        <v>0.20355070121704469</v>
      </c>
      <c r="O36" s="7">
        <f t="shared" si="13"/>
        <v>6.8044798372803444E-2</v>
      </c>
      <c r="AC36" s="4">
        <f t="shared" si="19"/>
        <v>-1</v>
      </c>
      <c r="AD36" s="4">
        <f t="shared" si="20"/>
        <v>-1</v>
      </c>
      <c r="AG36" s="13">
        <v>4.398229715025713</v>
      </c>
      <c r="AH36" s="13">
        <f t="shared" si="14"/>
        <v>7.559410704157719E-3</v>
      </c>
      <c r="AI36" s="13">
        <f t="shared" si="21"/>
        <v>-1</v>
      </c>
    </row>
    <row r="37" spans="2:35" x14ac:dyDescent="0.3">
      <c r="B37" s="2">
        <v>0.18128800512565513</v>
      </c>
      <c r="C37" s="2">
        <f t="shared" si="16"/>
        <v>1.4020632912260567E-2</v>
      </c>
      <c r="D37" s="7">
        <f t="shared" si="17"/>
        <v>5.0648950815167126E-2</v>
      </c>
      <c r="E37" s="2">
        <f t="shared" si="18"/>
        <v>5.467799871858621E-2</v>
      </c>
      <c r="F37" s="2">
        <f t="shared" si="6"/>
        <v>5.4623606284006004E-2</v>
      </c>
      <c r="G37" s="7">
        <f t="shared" si="15"/>
        <v>0.17852275238824689</v>
      </c>
      <c r="H37" s="7">
        <f t="shared" si="7"/>
        <v>6.4594040904756733E-2</v>
      </c>
      <c r="J37" s="7">
        <f t="shared" si="8"/>
        <v>0.18128800512565513</v>
      </c>
      <c r="K37" s="7">
        <f t="shared" si="9"/>
        <v>0</v>
      </c>
      <c r="L37" s="7">
        <f t="shared" si="10"/>
        <v>0.18128800512565513</v>
      </c>
      <c r="M37" s="7">
        <f t="shared" si="11"/>
        <v>1.4020632912260567E-2</v>
      </c>
      <c r="N37" s="7">
        <f t="shared" si="12"/>
        <v>0.17852275238824689</v>
      </c>
      <c r="O37" s="7">
        <f t="shared" si="13"/>
        <v>6.4594040904756733E-2</v>
      </c>
      <c r="AC37" s="4">
        <f t="shared" si="19"/>
        <v>-1</v>
      </c>
      <c r="AD37" s="4">
        <f t="shared" si="20"/>
        <v>-1</v>
      </c>
      <c r="AG37" s="13">
        <v>4.5238934211693049</v>
      </c>
      <c r="AH37" s="13">
        <f t="shared" si="14"/>
        <v>8.8996779210958315E-3</v>
      </c>
      <c r="AI37" s="13">
        <f t="shared" si="21"/>
        <v>-1</v>
      </c>
    </row>
    <row r="38" spans="2:35" x14ac:dyDescent="0.3">
      <c r="B38" s="2">
        <v>0.15772644703565569</v>
      </c>
      <c r="C38" s="2">
        <f t="shared" si="16"/>
        <v>1.2662940691754127E-2</v>
      </c>
      <c r="D38" s="7">
        <f t="shared" si="17"/>
        <v>4.8248126179022612E-2</v>
      </c>
      <c r="E38" s="2">
        <f t="shared" si="18"/>
        <v>6.0568388241086069E-2</v>
      </c>
      <c r="F38" s="2">
        <f t="shared" si="6"/>
        <v>6.0494485199524245E-2</v>
      </c>
      <c r="G38" s="7">
        <f t="shared" si="15"/>
        <v>0.15480948138670619</v>
      </c>
      <c r="H38" s="7">
        <f t="shared" si="7"/>
        <v>6.0822809786154036E-2</v>
      </c>
      <c r="J38" s="7">
        <f t="shared" si="8"/>
        <v>0.15772644703565569</v>
      </c>
      <c r="K38" s="7">
        <f t="shared" si="9"/>
        <v>0</v>
      </c>
      <c r="L38" s="7">
        <f t="shared" si="10"/>
        <v>0.15772644703565569</v>
      </c>
      <c r="M38" s="7">
        <f t="shared" si="11"/>
        <v>1.2662940691754127E-2</v>
      </c>
      <c r="N38" s="7">
        <f t="shared" si="12"/>
        <v>0.15480948138670619</v>
      </c>
      <c r="O38" s="7">
        <f t="shared" si="13"/>
        <v>6.0822809786154036E-2</v>
      </c>
      <c r="AC38" s="4">
        <f t="shared" si="19"/>
        <v>-1</v>
      </c>
      <c r="AD38" s="4">
        <f t="shared" si="20"/>
        <v>-1</v>
      </c>
      <c r="AG38" s="13">
        <v>4.6495571273128968</v>
      </c>
      <c r="AH38" s="13">
        <f t="shared" si="14"/>
        <v>1.0272506670322406E-2</v>
      </c>
      <c r="AI38" s="13">
        <f t="shared" si="21"/>
        <v>-1</v>
      </c>
    </row>
    <row r="39" spans="2:35" x14ac:dyDescent="0.3">
      <c r="B39" s="2">
        <v>0.13551568628929422</v>
      </c>
      <c r="C39" s="2">
        <f t="shared" si="16"/>
        <v>1.125600597512212E-2</v>
      </c>
      <c r="D39" s="7">
        <f t="shared" si="17"/>
        <v>4.5616713299229457E-2</v>
      </c>
      <c r="E39" s="2">
        <f t="shared" si="18"/>
        <v>6.6121078427676436E-2</v>
      </c>
      <c r="F39" s="2">
        <f t="shared" si="6"/>
        <v>6.6024970027589128E-2</v>
      </c>
      <c r="G39" s="7">
        <f t="shared" si="15"/>
        <v>0.13250603193626828</v>
      </c>
      <c r="H39" s="7">
        <f t="shared" si="7"/>
        <v>5.6773326995799615E-2</v>
      </c>
      <c r="J39" s="7">
        <f t="shared" si="8"/>
        <v>0.13551568628929422</v>
      </c>
      <c r="K39" s="7">
        <f t="shared" si="9"/>
        <v>0</v>
      </c>
      <c r="L39" s="7">
        <f t="shared" si="10"/>
        <v>0.13551568628929422</v>
      </c>
      <c r="M39" s="7">
        <f t="shared" si="11"/>
        <v>1.125600597512212E-2</v>
      </c>
      <c r="N39" s="7">
        <f t="shared" si="12"/>
        <v>0.13250603193626828</v>
      </c>
      <c r="O39" s="7">
        <f t="shared" si="13"/>
        <v>5.6773326995799615E-2</v>
      </c>
      <c r="AC39" s="4">
        <f t="shared" si="19"/>
        <v>-1</v>
      </c>
      <c r="AD39" s="4">
        <f t="shared" si="20"/>
        <v>-1</v>
      </c>
      <c r="AG39" s="13">
        <v>4.7752208334564887</v>
      </c>
      <c r="AH39" s="13">
        <f t="shared" si="14"/>
        <v>1.1656246622373998E-2</v>
      </c>
      <c r="AI39" s="13">
        <f t="shared" si="21"/>
        <v>-1</v>
      </c>
    </row>
    <row r="40" spans="2:35" x14ac:dyDescent="0.3">
      <c r="B40" s="2">
        <v>0.11474337861210537</v>
      </c>
      <c r="C40" s="2">
        <f t="shared" si="16"/>
        <v>9.828582494295416E-3</v>
      </c>
      <c r="D40" s="7">
        <f t="shared" si="17"/>
        <v>4.2767441239232713E-2</v>
      </c>
      <c r="E40" s="2">
        <f t="shared" si="18"/>
        <v>7.1314155346973648E-2</v>
      </c>
      <c r="F40" s="2">
        <f t="shared" si="6"/>
        <v>7.1193628570863893E-2</v>
      </c>
      <c r="G40" s="7">
        <f t="shared" si="15"/>
        <v>0.11170118071934435</v>
      </c>
      <c r="H40" s="7">
        <f t="shared" si="7"/>
        <v>5.2487685416561652E-2</v>
      </c>
      <c r="J40" s="7">
        <f t="shared" si="8"/>
        <v>0.11474337861210537</v>
      </c>
      <c r="K40" s="7">
        <f t="shared" si="9"/>
        <v>0</v>
      </c>
      <c r="L40" s="7">
        <f t="shared" si="10"/>
        <v>0.11474337861210537</v>
      </c>
      <c r="M40" s="7">
        <f t="shared" si="11"/>
        <v>9.828582494295416E-3</v>
      </c>
      <c r="N40" s="7">
        <f t="shared" si="12"/>
        <v>0.11170118071934435</v>
      </c>
      <c r="O40" s="7">
        <f t="shared" si="13"/>
        <v>5.2487685416561652E-2</v>
      </c>
      <c r="AC40" s="4">
        <f t="shared" si="19"/>
        <v>-1</v>
      </c>
      <c r="AD40" s="4">
        <f t="shared" si="20"/>
        <v>-1</v>
      </c>
      <c r="AG40" s="13">
        <v>4.9008845396000806</v>
      </c>
      <c r="AH40" s="13">
        <f t="shared" si="14"/>
        <v>1.3029075371600573E-2</v>
      </c>
      <c r="AI40" s="13">
        <f t="shared" si="21"/>
        <v>-1</v>
      </c>
    </row>
    <row r="41" spans="2:35" x14ac:dyDescent="0.3">
      <c r="B41" s="2">
        <v>9.5491502812526274E-2</v>
      </c>
      <c r="C41" s="2">
        <f t="shared" si="16"/>
        <v>8.4093218925782882E-3</v>
      </c>
      <c r="D41" s="7">
        <f t="shared" si="17"/>
        <v>3.9712455003995492E-2</v>
      </c>
      <c r="E41" s="2">
        <f t="shared" si="18"/>
        <v>7.6127124296868423E-2</v>
      </c>
      <c r="F41" s="2">
        <f t="shared" si="6"/>
        <v>7.5980572717842934E-2</v>
      </c>
      <c r="G41" s="7">
        <f t="shared" si="15"/>
        <v>9.2477030140949587E-2</v>
      </c>
      <c r="H41" s="7">
        <f t="shared" si="7"/>
        <v>4.800720109029144E-2</v>
      </c>
      <c r="J41" s="7">
        <f t="shared" si="8"/>
        <v>9.5491502812526274E-2</v>
      </c>
      <c r="K41" s="7">
        <f t="shared" si="9"/>
        <v>0</v>
      </c>
      <c r="L41" s="7">
        <f t="shared" si="10"/>
        <v>9.5491502812526274E-2</v>
      </c>
      <c r="M41" s="7">
        <f t="shared" si="11"/>
        <v>8.4093218925782882E-3</v>
      </c>
      <c r="N41" s="7">
        <f t="shared" si="12"/>
        <v>9.2477030140949587E-2</v>
      </c>
      <c r="O41" s="7">
        <f t="shared" si="13"/>
        <v>4.800720109029144E-2</v>
      </c>
      <c r="AC41" s="4">
        <f t="shared" si="19"/>
        <v>-1</v>
      </c>
      <c r="AD41" s="4">
        <f t="shared" si="20"/>
        <v>-1</v>
      </c>
      <c r="AG41" s="13">
        <v>5.0265482457436725</v>
      </c>
      <c r="AH41" s="13">
        <f t="shared" si="14"/>
        <v>1.4369342588538682E-2</v>
      </c>
      <c r="AI41" s="13">
        <f t="shared" si="21"/>
        <v>-1</v>
      </c>
    </row>
    <row r="42" spans="2:35" x14ac:dyDescent="0.3">
      <c r="B42" s="2">
        <v>7.7836037248992462E-2</v>
      </c>
      <c r="C42" s="2">
        <f t="shared" si="16"/>
        <v>7.0262976380709267E-3</v>
      </c>
      <c r="D42" s="7">
        <f t="shared" si="17"/>
        <v>3.6463213403854937E-2</v>
      </c>
      <c r="E42" s="2">
        <f t="shared" si="18"/>
        <v>8.0540990687751876E-2</v>
      </c>
      <c r="F42" s="2">
        <f t="shared" si="6"/>
        <v>8.0367512910042765E-2</v>
      </c>
      <c r="G42" s="7">
        <f t="shared" si="15"/>
        <v>7.4908733063490746E-2</v>
      </c>
      <c r="H42" s="7">
        <f t="shared" si="7"/>
        <v>4.3371817608771721E-2</v>
      </c>
      <c r="J42" s="7">
        <f t="shared" si="8"/>
        <v>7.7836037248992462E-2</v>
      </c>
      <c r="K42" s="7">
        <f t="shared" si="9"/>
        <v>0</v>
      </c>
      <c r="L42" s="7">
        <f t="shared" si="10"/>
        <v>7.7836037248992462E-2</v>
      </c>
      <c r="M42" s="7">
        <f t="shared" si="11"/>
        <v>7.0262976380709267E-3</v>
      </c>
      <c r="N42" s="7">
        <f t="shared" si="12"/>
        <v>7.4908733063490746E-2</v>
      </c>
      <c r="O42" s="7">
        <f t="shared" si="13"/>
        <v>4.3371817608771721E-2</v>
      </c>
      <c r="AC42" s="4">
        <f t="shared" si="19"/>
        <v>-1</v>
      </c>
      <c r="AD42" s="4">
        <f t="shared" si="20"/>
        <v>-1</v>
      </c>
      <c r="AG42" s="13">
        <v>5.1522119518872644</v>
      </c>
      <c r="AH42" s="13">
        <f t="shared" si="14"/>
        <v>1.5655911458540388E-2</v>
      </c>
      <c r="AI42" s="13">
        <f t="shared" si="21"/>
        <v>-1</v>
      </c>
    </row>
    <row r="43" spans="2:35" x14ac:dyDescent="0.3">
      <c r="B43" s="2">
        <v>6.1846659978068208E-2</v>
      </c>
      <c r="C43" s="2">
        <f t="shared" si="16"/>
        <v>5.7065398290014726E-3</v>
      </c>
      <c r="D43" s="7">
        <f t="shared" si="17"/>
        <v>3.3030427620404729E-2</v>
      </c>
      <c r="E43" s="2">
        <f t="shared" si="18"/>
        <v>8.453833500548294E-2</v>
      </c>
      <c r="F43" s="2">
        <f t="shared" si="6"/>
        <v>8.4337803305878312E-2</v>
      </c>
      <c r="G43" s="7">
        <f t="shared" si="15"/>
        <v>5.9064247496984572E-2</v>
      </c>
      <c r="H43" s="7">
        <f t="shared" si="7"/>
        <v>3.8619566574834285E-2</v>
      </c>
      <c r="J43" s="7">
        <f t="shared" si="8"/>
        <v>6.1846659978068208E-2</v>
      </c>
      <c r="K43" s="7">
        <f t="shared" si="9"/>
        <v>0</v>
      </c>
      <c r="L43" s="7">
        <f t="shared" si="10"/>
        <v>6.1846659978068208E-2</v>
      </c>
      <c r="M43" s="7">
        <f t="shared" si="11"/>
        <v>5.7065398290014726E-3</v>
      </c>
      <c r="N43" s="7">
        <f t="shared" si="12"/>
        <v>5.9064247496984572E-2</v>
      </c>
      <c r="O43" s="7">
        <f t="shared" si="13"/>
        <v>3.8619566574834285E-2</v>
      </c>
      <c r="AC43" s="4">
        <f t="shared" si="19"/>
        <v>-1</v>
      </c>
      <c r="AD43" s="4">
        <f t="shared" si="20"/>
        <v>-1</v>
      </c>
      <c r="AG43" s="13">
        <v>5.2778756580308563</v>
      </c>
      <c r="AH43" s="13">
        <f t="shared" si="14"/>
        <v>1.6868492021966768E-2</v>
      </c>
      <c r="AI43" s="13">
        <f t="shared" si="21"/>
        <v>-1</v>
      </c>
    </row>
    <row r="44" spans="2:35" x14ac:dyDescent="0.3">
      <c r="B44" s="2">
        <v>4.7586473766990212E-2</v>
      </c>
      <c r="C44" s="2">
        <f t="shared" si="16"/>
        <v>4.4755883160019641E-3</v>
      </c>
      <c r="D44" s="7">
        <f t="shared" si="17"/>
        <v>2.9424035232455122E-2</v>
      </c>
      <c r="E44" s="2">
        <f t="shared" si="18"/>
        <v>8.8103381558252439E-2</v>
      </c>
      <c r="F44" s="2">
        <f t="shared" si="6"/>
        <v>8.7876478524314017E-2</v>
      </c>
      <c r="G44" s="7">
        <f t="shared" si="15"/>
        <v>4.5004119771727649E-2</v>
      </c>
      <c r="H44" s="7">
        <f t="shared" si="7"/>
        <v>3.3786086387578844E-2</v>
      </c>
      <c r="J44" s="7">
        <f t="shared" si="8"/>
        <v>4.7586473766990212E-2</v>
      </c>
      <c r="K44" s="7">
        <f t="shared" si="9"/>
        <v>0</v>
      </c>
      <c r="L44" s="7">
        <f t="shared" si="10"/>
        <v>4.7586473766990212E-2</v>
      </c>
      <c r="M44" s="7">
        <f t="shared" si="11"/>
        <v>4.4755883160019641E-3</v>
      </c>
      <c r="N44" s="7">
        <f t="shared" si="12"/>
        <v>4.5004119771727649E-2</v>
      </c>
      <c r="O44" s="7">
        <f t="shared" si="13"/>
        <v>3.3786086387578844E-2</v>
      </c>
      <c r="AC44" s="4">
        <f t="shared" si="19"/>
        <v>-1</v>
      </c>
      <c r="AD44" s="4">
        <f t="shared" si="20"/>
        <v>-1</v>
      </c>
      <c r="AG44" s="13">
        <v>5.4035393641744482</v>
      </c>
      <c r="AH44" s="13">
        <f t="shared" si="14"/>
        <v>1.7987961158972079E-2</v>
      </c>
      <c r="AI44" s="13">
        <f t="shared" si="21"/>
        <v>-1</v>
      </c>
    </row>
    <row r="45" spans="2:35" x14ac:dyDescent="0.3">
      <c r="B45" s="2">
        <v>3.5111757055874271E-2</v>
      </c>
      <c r="C45" s="2">
        <f t="shared" si="16"/>
        <v>3.3570712701435843E-3</v>
      </c>
      <c r="D45" s="7">
        <f t="shared" si="17"/>
        <v>2.5653203433589566E-2</v>
      </c>
      <c r="E45" s="2">
        <f t="shared" si="18"/>
        <v>9.1222060736031424E-2</v>
      </c>
      <c r="F45" s="2">
        <f t="shared" si="6"/>
        <v>9.0970282932336416E-2</v>
      </c>
      <c r="G45" s="7">
        <f t="shared" si="15"/>
        <v>3.2781295312734771E-2</v>
      </c>
      <c r="H45" s="7">
        <f t="shared" si="7"/>
        <v>2.8904200159098892E-2</v>
      </c>
      <c r="J45" s="7">
        <f t="shared" si="8"/>
        <v>3.5111757055874271E-2</v>
      </c>
      <c r="K45" s="7">
        <f t="shared" si="9"/>
        <v>0</v>
      </c>
      <c r="L45" s="7">
        <f t="shared" si="10"/>
        <v>3.5111757055874271E-2</v>
      </c>
      <c r="M45" s="7">
        <f t="shared" si="11"/>
        <v>3.3570712701435843E-3</v>
      </c>
      <c r="N45" s="7">
        <f t="shared" si="12"/>
        <v>3.2781295312734771E-2</v>
      </c>
      <c r="O45" s="7">
        <f t="shared" si="13"/>
        <v>2.8904200159098892E-2</v>
      </c>
      <c r="AC45" s="4">
        <f t="shared" si="19"/>
        <v>-1</v>
      </c>
      <c r="AD45" s="4">
        <f t="shared" si="20"/>
        <v>-1</v>
      </c>
      <c r="AG45" s="13">
        <v>5.5292030703180401</v>
      </c>
      <c r="AH45" s="13">
        <f t="shared" si="14"/>
        <v>1.8996664172527294E-2</v>
      </c>
      <c r="AI45" s="13">
        <f t="shared" si="21"/>
        <v>-1</v>
      </c>
    </row>
    <row r="46" spans="2:35" x14ac:dyDescent="0.3">
      <c r="B46" s="2">
        <v>2.4471741852423234E-2</v>
      </c>
      <c r="C46" s="2">
        <f t="shared" si="16"/>
        <v>2.3723159165808679E-3</v>
      </c>
      <c r="D46" s="7">
        <f t="shared" si="17"/>
        <v>2.1726354494736918E-2</v>
      </c>
      <c r="E46" s="2">
        <f t="shared" si="18"/>
        <v>9.3882064536894169E-2</v>
      </c>
      <c r="F46" s="2">
        <f t="shared" si="6"/>
        <v>9.3607693477345613E-2</v>
      </c>
      <c r="G46" s="7">
        <f t="shared" si="15"/>
        <v>2.2440956713849887E-2</v>
      </c>
      <c r="H46" s="7">
        <f t="shared" si="7"/>
        <v>2.4003552389605814E-2</v>
      </c>
      <c r="J46" s="7">
        <f t="shared" si="8"/>
        <v>2.4471741852423234E-2</v>
      </c>
      <c r="K46" s="7">
        <f t="shared" si="9"/>
        <v>0</v>
      </c>
      <c r="L46" s="7">
        <f t="shared" si="10"/>
        <v>2.4471741852423234E-2</v>
      </c>
      <c r="M46" s="7">
        <f t="shared" si="11"/>
        <v>2.3723159165808679E-3</v>
      </c>
      <c r="N46" s="7">
        <f t="shared" si="12"/>
        <v>2.2440956713849887E-2</v>
      </c>
      <c r="O46" s="7">
        <f t="shared" si="13"/>
        <v>2.4003552389605814E-2</v>
      </c>
      <c r="AC46" s="4">
        <f t="shared" si="19"/>
        <v>-1</v>
      </c>
      <c r="AD46" s="4">
        <f t="shared" si="20"/>
        <v>-1</v>
      </c>
      <c r="AG46" s="13">
        <v>5.654866776461632</v>
      </c>
      <c r="AH46" s="13">
        <f t="shared" si="14"/>
        <v>1.9878693213538676E-2</v>
      </c>
      <c r="AI46" s="13">
        <f t="shared" si="21"/>
        <v>-1</v>
      </c>
    </row>
    <row r="47" spans="2:35" x14ac:dyDescent="0.3">
      <c r="B47" s="2">
        <v>1.5708419435684462E-2</v>
      </c>
      <c r="C47" s="2">
        <f t="shared" si="16"/>
        <v>1.5399976384225223E-3</v>
      </c>
      <c r="D47" s="7">
        <f t="shared" si="17"/>
        <v>1.7651206212461801E-2</v>
      </c>
      <c r="E47" s="2">
        <f t="shared" si="18"/>
        <v>9.6072895141078862E-2</v>
      </c>
      <c r="F47" s="2">
        <f t="shared" si="6"/>
        <v>9.5778937060084501E-2</v>
      </c>
      <c r="G47" s="7">
        <f t="shared" si="15"/>
        <v>1.4020389318564825E-2</v>
      </c>
      <c r="H47" s="7">
        <f t="shared" si="7"/>
        <v>1.9110303130318418E-2</v>
      </c>
      <c r="J47" s="7">
        <f t="shared" si="8"/>
        <v>1.5708419435684462E-2</v>
      </c>
      <c r="K47" s="7">
        <f t="shared" si="9"/>
        <v>0</v>
      </c>
      <c r="L47" s="7">
        <f t="shared" si="10"/>
        <v>1.5708419435684462E-2</v>
      </c>
      <c r="M47" s="7">
        <f t="shared" si="11"/>
        <v>1.5399976384225223E-3</v>
      </c>
      <c r="N47" s="7">
        <f t="shared" si="12"/>
        <v>1.4020389318564825E-2</v>
      </c>
      <c r="O47" s="7">
        <f t="shared" si="13"/>
        <v>1.9110303130318418E-2</v>
      </c>
      <c r="AC47" s="4">
        <f t="shared" si="19"/>
        <v>-1</v>
      </c>
      <c r="AD47" s="4">
        <f t="shared" si="20"/>
        <v>-1</v>
      </c>
      <c r="AG47" s="13">
        <v>5.780530482605224</v>
      </c>
      <c r="AH47" s="13">
        <f t="shared" si="14"/>
        <v>2.0620138157130864E-2</v>
      </c>
      <c r="AI47" s="13">
        <f t="shared" si="21"/>
        <v>-1</v>
      </c>
    </row>
    <row r="48" spans="2:35" x14ac:dyDescent="0.3">
      <c r="B48" s="2">
        <v>8.8563746356556394E-3</v>
      </c>
      <c r="C48" s="2">
        <f t="shared" si="16"/>
        <v>8.7583304210467816E-4</v>
      </c>
      <c r="D48" s="7">
        <f t="shared" si="17"/>
        <v>1.343482013841704E-2</v>
      </c>
      <c r="E48" s="2">
        <f t="shared" si="18"/>
        <v>9.7785906341086068E-2</v>
      </c>
      <c r="F48" s="2">
        <f t="shared" si="6"/>
        <v>9.747600339837198E-2</v>
      </c>
      <c r="G48" s="7">
        <f t="shared" si="15"/>
        <v>7.548874910025918E-3</v>
      </c>
      <c r="H48" s="7">
        <f t="shared" si="7"/>
        <v>1.4246877751441877E-2</v>
      </c>
      <c r="J48" s="7">
        <f t="shared" si="8"/>
        <v>8.8563746356556394E-3</v>
      </c>
      <c r="K48" s="7">
        <f t="shared" si="9"/>
        <v>0</v>
      </c>
      <c r="L48" s="7">
        <f t="shared" si="10"/>
        <v>8.8563746356556394E-3</v>
      </c>
      <c r="M48" s="7">
        <f t="shared" si="11"/>
        <v>8.7583304210467816E-4</v>
      </c>
      <c r="N48" s="7">
        <f t="shared" si="12"/>
        <v>7.548874910025918E-3</v>
      </c>
      <c r="O48" s="7">
        <f t="shared" si="13"/>
        <v>1.4246877751441877E-2</v>
      </c>
      <c r="AC48" s="4">
        <f t="shared" si="19"/>
        <v>-1</v>
      </c>
      <c r="AD48" s="4">
        <f t="shared" si="20"/>
        <v>-1</v>
      </c>
      <c r="AG48" s="13">
        <v>5.9061941887488159</v>
      </c>
      <c r="AH48" s="13">
        <f t="shared" si="14"/>
        <v>2.1209305973625671E-2</v>
      </c>
      <c r="AI48" s="13">
        <f t="shared" si="21"/>
        <v>-1</v>
      </c>
    </row>
    <row r="49" spans="2:35" x14ac:dyDescent="0.3">
      <c r="B49" s="2">
        <v>3.942649342761062E-3</v>
      </c>
      <c r="C49" s="2">
        <f t="shared" si="16"/>
        <v>3.9232187379610931E-4</v>
      </c>
      <c r="D49" s="7">
        <f t="shared" si="17"/>
        <v>9.0836507948718042E-3</v>
      </c>
      <c r="E49" s="2">
        <f t="shared" si="18"/>
        <v>9.9014337664309712E-2</v>
      </c>
      <c r="F49" s="2">
        <f t="shared" si="6"/>
        <v>9.8692654250380638E-2</v>
      </c>
      <c r="G49" s="7">
        <f t="shared" si="15"/>
        <v>3.0476143642516247E-3</v>
      </c>
      <c r="H49" s="7">
        <f t="shared" si="7"/>
        <v>9.4317700953647117E-3</v>
      </c>
      <c r="J49" s="7">
        <f t="shared" si="8"/>
        <v>3.942649342761062E-3</v>
      </c>
      <c r="K49" s="7">
        <f t="shared" si="9"/>
        <v>0</v>
      </c>
      <c r="L49" s="7">
        <f t="shared" si="10"/>
        <v>3.942649342761062E-3</v>
      </c>
      <c r="M49" s="7">
        <f t="shared" si="11"/>
        <v>3.9232187379610931E-4</v>
      </c>
      <c r="N49" s="7">
        <f t="shared" si="12"/>
        <v>3.0476143642516247E-3</v>
      </c>
      <c r="O49" s="7">
        <f t="shared" si="13"/>
        <v>9.4317700953647117E-3</v>
      </c>
      <c r="AC49" s="4">
        <f t="shared" si="19"/>
        <v>-1</v>
      </c>
      <c r="AD49" s="4">
        <f t="shared" si="20"/>
        <v>-1</v>
      </c>
      <c r="AG49" s="13">
        <v>6.0318578948924078</v>
      </c>
      <c r="AH49" s="13">
        <f t="shared" si="14"/>
        <v>2.1636905134605183E-2</v>
      </c>
      <c r="AI49" s="13">
        <f t="shared" si="21"/>
        <v>-1</v>
      </c>
    </row>
    <row r="50" spans="2:35" x14ac:dyDescent="0.3">
      <c r="B50" s="2">
        <v>9.8663578586422052E-4</v>
      </c>
      <c r="C50" s="2">
        <f t="shared" si="16"/>
        <v>9.8541897314678538E-5</v>
      </c>
      <c r="D50" s="7">
        <f t="shared" si="17"/>
        <v>4.6035898185240731E-3</v>
      </c>
      <c r="E50" s="2">
        <f t="shared" si="18"/>
        <v>9.9753341053533923E-2</v>
      </c>
      <c r="F50" s="2">
        <f t="shared" si="6"/>
        <v>9.9424429753009122E-2</v>
      </c>
      <c r="G50" s="7">
        <f t="shared" si="15"/>
        <v>5.2968021334087213E-4</v>
      </c>
      <c r="H50" s="7">
        <f t="shared" si="7"/>
        <v>4.6793967107701725E-3</v>
      </c>
      <c r="J50" s="7">
        <f t="shared" si="8"/>
        <v>9.8663578586422052E-4</v>
      </c>
      <c r="K50" s="7">
        <f t="shared" si="9"/>
        <v>0</v>
      </c>
      <c r="L50" s="7">
        <f t="shared" si="10"/>
        <v>9.8663578586422052E-4</v>
      </c>
      <c r="M50" s="7">
        <f t="shared" si="11"/>
        <v>9.8541897314678538E-5</v>
      </c>
      <c r="N50" s="7">
        <f t="shared" si="12"/>
        <v>5.2968021334087213E-4</v>
      </c>
      <c r="O50" s="7">
        <f t="shared" si="13"/>
        <v>4.6793967107701725E-3</v>
      </c>
      <c r="AC50" s="4">
        <f t="shared" si="19"/>
        <v>-1</v>
      </c>
      <c r="AD50" s="4">
        <f t="shared" si="20"/>
        <v>-1</v>
      </c>
      <c r="AG50" s="13">
        <v>6.1575216010359997</v>
      </c>
      <c r="AH50" s="13">
        <f t="shared" si="14"/>
        <v>2.1896192145865391E-2</v>
      </c>
      <c r="AI50" s="13">
        <f t="shared" si="21"/>
        <v>-1</v>
      </c>
    </row>
    <row r="51" spans="2:35" x14ac:dyDescent="0.3">
      <c r="B51" s="2">
        <v>0</v>
      </c>
      <c r="C51" s="2">
        <f t="shared" si="16"/>
        <v>0</v>
      </c>
      <c r="D51" s="7">
        <f t="shared" si="17"/>
        <v>0</v>
      </c>
      <c r="E51" s="2">
        <f t="shared" si="18"/>
        <v>9.9999999999999978E-2</v>
      </c>
      <c r="F51" s="2">
        <f t="shared" si="6"/>
        <v>9.966865249116201E-2</v>
      </c>
      <c r="G51" s="7">
        <f t="shared" si="15"/>
        <v>0</v>
      </c>
      <c r="H51" s="7">
        <f t="shared" si="7"/>
        <v>0</v>
      </c>
      <c r="J51" s="7">
        <f t="shared" si="8"/>
        <v>0</v>
      </c>
      <c r="K51" s="7">
        <f t="shared" si="9"/>
        <v>0</v>
      </c>
      <c r="L51" s="7">
        <f t="shared" si="10"/>
        <v>0</v>
      </c>
      <c r="M51" s="7">
        <f t="shared" si="11"/>
        <v>0</v>
      </c>
      <c r="N51" s="7">
        <f t="shared" si="12"/>
        <v>0</v>
      </c>
      <c r="O51" s="7">
        <f t="shared" si="13"/>
        <v>0</v>
      </c>
      <c r="AC51" s="4">
        <f t="shared" si="19"/>
        <v>-1</v>
      </c>
      <c r="AD51" s="4">
        <f t="shared" si="20"/>
        <v>-1</v>
      </c>
      <c r="AG51" s="13">
        <v>6.2831853071795916</v>
      </c>
      <c r="AH51" s="13">
        <f t="shared" si="14"/>
        <v>2.1983077896348169E-2</v>
      </c>
      <c r="AI51" s="13">
        <f t="shared" si="21"/>
        <v>-1</v>
      </c>
    </row>
    <row r="52" spans="2:35" x14ac:dyDescent="0.3">
      <c r="B52" s="2" cm="1">
        <f t="array" ref="B52:B102">0.5*(1-COS((_xlfn.SEQUENCE(51,1,0,1)*PI())/50))</f>
        <v>0</v>
      </c>
      <c r="C52" s="2">
        <f t="shared" si="16"/>
        <v>0</v>
      </c>
      <c r="D52" s="7">
        <f t="shared" si="17"/>
        <v>0</v>
      </c>
      <c r="E52" s="2">
        <f t="shared" si="18"/>
        <v>9.9999999999999978E-2</v>
      </c>
      <c r="F52" s="2">
        <f t="shared" si="6"/>
        <v>9.966865249116201E-2</v>
      </c>
      <c r="G52" s="7">
        <f>B52+D52*SIN(F52)</f>
        <v>0</v>
      </c>
      <c r="H52" s="7">
        <f>C52-D52*COS(F52)</f>
        <v>0</v>
      </c>
      <c r="N52" s="7">
        <f t="shared" si="12"/>
        <v>0</v>
      </c>
      <c r="O52" s="7">
        <f t="shared" si="13"/>
        <v>0</v>
      </c>
    </row>
    <row r="53" spans="2:35" x14ac:dyDescent="0.3">
      <c r="B53" s="2">
        <v>9.8663578586422052E-4</v>
      </c>
      <c r="C53" s="2">
        <f t="shared" si="16"/>
        <v>9.8541897314678538E-5</v>
      </c>
      <c r="D53" s="7">
        <f t="shared" si="17"/>
        <v>4.6035898185240731E-3</v>
      </c>
      <c r="E53" s="2">
        <f t="shared" si="18"/>
        <v>9.9753341053533923E-2</v>
      </c>
      <c r="F53" s="2">
        <f t="shared" si="6"/>
        <v>9.9424429753009122E-2</v>
      </c>
      <c r="G53" s="7">
        <f t="shared" ref="G53:G101" si="22">B53+D53*SIN(F53)</f>
        <v>1.4435913583875689E-3</v>
      </c>
      <c r="H53" s="7">
        <f t="shared" ref="H53:H101" si="23">C53-D53*COS(F53)</f>
        <v>-4.4823129161408147E-3</v>
      </c>
      <c r="N53" s="7">
        <f t="shared" si="12"/>
        <v>1.4435913583875689E-3</v>
      </c>
      <c r="O53" s="7">
        <f t="shared" si="13"/>
        <v>-4.4823129161408147E-3</v>
      </c>
    </row>
    <row r="54" spans="2:35" x14ac:dyDescent="0.3">
      <c r="B54" s="2">
        <v>3.942649342761062E-3</v>
      </c>
      <c r="C54" s="2">
        <f t="shared" si="16"/>
        <v>3.9232187379610931E-4</v>
      </c>
      <c r="D54" s="7">
        <f t="shared" si="17"/>
        <v>9.0836507948718042E-3</v>
      </c>
      <c r="E54" s="2">
        <f t="shared" si="18"/>
        <v>9.9014337664309712E-2</v>
      </c>
      <c r="F54" s="2">
        <f t="shared" si="6"/>
        <v>9.8692654250380638E-2</v>
      </c>
      <c r="G54" s="7">
        <f t="shared" si="22"/>
        <v>4.8376843212704999E-3</v>
      </c>
      <c r="H54" s="7">
        <f t="shared" si="23"/>
        <v>-8.6471263477724929E-3</v>
      </c>
      <c r="N54" s="7">
        <f t="shared" si="12"/>
        <v>4.8376843212704999E-3</v>
      </c>
      <c r="O54" s="7">
        <f t="shared" si="13"/>
        <v>-8.6471263477724929E-3</v>
      </c>
    </row>
    <row r="55" spans="2:35" x14ac:dyDescent="0.3">
      <c r="B55" s="2">
        <v>8.8563746356556394E-3</v>
      </c>
      <c r="C55" s="2">
        <f t="shared" si="16"/>
        <v>8.7583304210467816E-4</v>
      </c>
      <c r="D55" s="7">
        <f t="shared" si="17"/>
        <v>1.343482013841704E-2</v>
      </c>
      <c r="E55" s="2">
        <f t="shared" si="18"/>
        <v>9.7785906341086068E-2</v>
      </c>
      <c r="F55" s="2">
        <f t="shared" si="6"/>
        <v>9.747600339837198E-2</v>
      </c>
      <c r="G55" s="7">
        <f t="shared" si="22"/>
        <v>1.0163874361285361E-2</v>
      </c>
      <c r="H55" s="7">
        <f t="shared" si="23"/>
        <v>-1.249521166723252E-2</v>
      </c>
      <c r="N55" s="7">
        <f t="shared" si="12"/>
        <v>1.0163874361285361E-2</v>
      </c>
      <c r="O55" s="7">
        <f t="shared" si="13"/>
        <v>-1.249521166723252E-2</v>
      </c>
    </row>
    <row r="56" spans="2:35" x14ac:dyDescent="0.3">
      <c r="B56" s="2">
        <v>1.5708419435684462E-2</v>
      </c>
      <c r="C56" s="2">
        <f t="shared" si="16"/>
        <v>1.5399976384225223E-3</v>
      </c>
      <c r="D56" s="7">
        <f t="shared" si="17"/>
        <v>1.7651206212461801E-2</v>
      </c>
      <c r="E56" s="2">
        <f t="shared" si="18"/>
        <v>9.6072895141078862E-2</v>
      </c>
      <c r="F56" s="2">
        <f t="shared" si="6"/>
        <v>9.5778937060084501E-2</v>
      </c>
      <c r="G56" s="7">
        <f t="shared" si="22"/>
        <v>1.7396449552804099E-2</v>
      </c>
      <c r="H56" s="7">
        <f t="shared" si="23"/>
        <v>-1.6030307853473376E-2</v>
      </c>
      <c r="N56" s="7">
        <f t="shared" si="12"/>
        <v>1.7396449552804099E-2</v>
      </c>
      <c r="O56" s="7">
        <f t="shared" si="13"/>
        <v>-1.6030307853473376E-2</v>
      </c>
    </row>
    <row r="57" spans="2:35" x14ac:dyDescent="0.3">
      <c r="B57" s="2">
        <v>2.4471741852423234E-2</v>
      </c>
      <c r="C57" s="2">
        <f t="shared" si="16"/>
        <v>2.3723159165808679E-3</v>
      </c>
      <c r="D57" s="7">
        <f t="shared" si="17"/>
        <v>2.1726354494736918E-2</v>
      </c>
      <c r="E57" s="2">
        <f t="shared" si="18"/>
        <v>9.3882064536894169E-2</v>
      </c>
      <c r="F57" s="2">
        <f t="shared" si="6"/>
        <v>9.3607693477345613E-2</v>
      </c>
      <c r="G57" s="7">
        <f t="shared" si="22"/>
        <v>2.6502526990996582E-2</v>
      </c>
      <c r="H57" s="7">
        <f t="shared" si="23"/>
        <v>-1.9258920556444081E-2</v>
      </c>
      <c r="N57" s="7">
        <f t="shared" si="12"/>
        <v>2.6502526990996582E-2</v>
      </c>
      <c r="O57" s="7">
        <f t="shared" si="13"/>
        <v>-1.9258920556444081E-2</v>
      </c>
    </row>
    <row r="58" spans="2:35" x14ac:dyDescent="0.3">
      <c r="B58" s="2">
        <v>3.5111757055874271E-2</v>
      </c>
      <c r="C58" s="2">
        <f t="shared" si="16"/>
        <v>3.3570712701435843E-3</v>
      </c>
      <c r="D58" s="7">
        <f t="shared" si="17"/>
        <v>2.5653203433589566E-2</v>
      </c>
      <c r="E58" s="2">
        <f t="shared" si="18"/>
        <v>9.1222060736031424E-2</v>
      </c>
      <c r="F58" s="2">
        <f t="shared" si="6"/>
        <v>9.0970282932336416E-2</v>
      </c>
      <c r="G58" s="7">
        <f t="shared" si="22"/>
        <v>3.7442218799013771E-2</v>
      </c>
      <c r="H58" s="7">
        <f t="shared" si="23"/>
        <v>-2.2190057618811723E-2</v>
      </c>
      <c r="N58" s="7">
        <f t="shared" si="12"/>
        <v>3.7442218799013771E-2</v>
      </c>
      <c r="O58" s="7">
        <f t="shared" si="13"/>
        <v>-2.2190057618811723E-2</v>
      </c>
    </row>
    <row r="59" spans="2:35" x14ac:dyDescent="0.3">
      <c r="B59" s="2">
        <v>4.7586473766990212E-2</v>
      </c>
      <c r="C59" s="2">
        <f t="shared" si="16"/>
        <v>4.4755883160019641E-3</v>
      </c>
      <c r="D59" s="7">
        <f t="shared" si="17"/>
        <v>2.9424035232455122E-2</v>
      </c>
      <c r="E59" s="2">
        <f t="shared" si="18"/>
        <v>8.8103381558252439E-2</v>
      </c>
      <c r="F59" s="2">
        <f t="shared" si="6"/>
        <v>8.7876478524314017E-2</v>
      </c>
      <c r="G59" s="7">
        <f t="shared" si="22"/>
        <v>5.0168827762252774E-2</v>
      </c>
      <c r="H59" s="7">
        <f t="shared" si="23"/>
        <v>-2.4834909755574914E-2</v>
      </c>
      <c r="N59" s="7">
        <f t="shared" si="12"/>
        <v>5.0168827762252774E-2</v>
      </c>
      <c r="O59" s="7">
        <f t="shared" si="13"/>
        <v>-2.4834909755574914E-2</v>
      </c>
    </row>
    <row r="60" spans="2:35" x14ac:dyDescent="0.3">
      <c r="B60" s="2">
        <v>6.1846659978068208E-2</v>
      </c>
      <c r="C60" s="2">
        <f t="shared" si="16"/>
        <v>5.7065398290014726E-3</v>
      </c>
      <c r="D60" s="7">
        <f t="shared" si="17"/>
        <v>3.3030427620404729E-2</v>
      </c>
      <c r="E60" s="2">
        <f t="shared" si="18"/>
        <v>8.453833500548294E-2</v>
      </c>
      <c r="F60" s="2">
        <f t="shared" si="6"/>
        <v>8.4337803305878312E-2</v>
      </c>
      <c r="G60" s="7">
        <f t="shared" si="22"/>
        <v>6.4629072459151837E-2</v>
      </c>
      <c r="H60" s="7">
        <f t="shared" si="23"/>
        <v>-2.7206486916831338E-2</v>
      </c>
      <c r="N60" s="7">
        <f t="shared" si="12"/>
        <v>6.4629072459151837E-2</v>
      </c>
      <c r="O60" s="7">
        <f t="shared" si="13"/>
        <v>-2.7206486916831338E-2</v>
      </c>
    </row>
    <row r="61" spans="2:35" x14ac:dyDescent="0.3">
      <c r="B61" s="2">
        <v>7.7836037248992462E-2</v>
      </c>
      <c r="C61" s="2">
        <f t="shared" si="16"/>
        <v>7.0262976380709267E-3</v>
      </c>
      <c r="D61" s="7">
        <f t="shared" si="17"/>
        <v>3.6463213403854937E-2</v>
      </c>
      <c r="E61" s="2">
        <f t="shared" si="18"/>
        <v>8.0540990687751876E-2</v>
      </c>
      <c r="F61" s="2">
        <f t="shared" si="6"/>
        <v>8.0367512910042765E-2</v>
      </c>
      <c r="G61" s="7">
        <f t="shared" si="22"/>
        <v>8.0763341434494179E-2</v>
      </c>
      <c r="H61" s="7">
        <f t="shared" si="23"/>
        <v>-2.9319222332629871E-2</v>
      </c>
      <c r="N61" s="7">
        <f t="shared" si="12"/>
        <v>8.0763341434494179E-2</v>
      </c>
      <c r="O61" s="7">
        <f t="shared" si="13"/>
        <v>-2.9319222332629871E-2</v>
      </c>
    </row>
    <row r="62" spans="2:35" x14ac:dyDescent="0.3">
      <c r="B62" s="2">
        <v>9.5491502812526274E-2</v>
      </c>
      <c r="C62" s="2">
        <f t="shared" si="16"/>
        <v>8.4093218925782882E-3</v>
      </c>
      <c r="D62" s="7">
        <f t="shared" si="17"/>
        <v>3.9712455003995492E-2</v>
      </c>
      <c r="E62" s="2">
        <f t="shared" si="18"/>
        <v>7.6127124296868423E-2</v>
      </c>
      <c r="F62" s="2">
        <f t="shared" si="6"/>
        <v>7.5980572717842934E-2</v>
      </c>
      <c r="G62" s="7">
        <f t="shared" si="22"/>
        <v>9.8505975484102962E-2</v>
      </c>
      <c r="H62" s="7">
        <f t="shared" si="23"/>
        <v>-3.1188557305134867E-2</v>
      </c>
      <c r="N62" s="7">
        <f t="shared" si="12"/>
        <v>9.8505975484102962E-2</v>
      </c>
      <c r="O62" s="7">
        <f t="shared" si="13"/>
        <v>-3.1188557305134867E-2</v>
      </c>
    </row>
    <row r="63" spans="2:35" x14ac:dyDescent="0.3">
      <c r="B63" s="2">
        <v>0.11474337861210537</v>
      </c>
      <c r="C63" s="2">
        <f t="shared" si="16"/>
        <v>9.828582494295416E-3</v>
      </c>
      <c r="D63" s="7">
        <f t="shared" si="17"/>
        <v>4.2767441239232713E-2</v>
      </c>
      <c r="E63" s="2">
        <f t="shared" si="18"/>
        <v>7.1314155346973648E-2</v>
      </c>
      <c r="F63" s="2">
        <f t="shared" si="6"/>
        <v>7.1193628570863893E-2</v>
      </c>
      <c r="G63" s="7">
        <f t="shared" si="22"/>
        <v>0.1177855765048664</v>
      </c>
      <c r="H63" s="7">
        <f t="shared" si="23"/>
        <v>-3.2830520427970813E-2</v>
      </c>
      <c r="N63" s="7">
        <f t="shared" si="12"/>
        <v>0.1177855765048664</v>
      </c>
      <c r="O63" s="7">
        <f t="shared" si="13"/>
        <v>-3.2830520427970813E-2</v>
      </c>
    </row>
    <row r="64" spans="2:35" x14ac:dyDescent="0.3">
      <c r="B64" s="2">
        <v>0.13551568628929422</v>
      </c>
      <c r="C64" s="2">
        <f t="shared" si="16"/>
        <v>1.125600597512212E-2</v>
      </c>
      <c r="D64" s="7">
        <f t="shared" si="17"/>
        <v>4.5616713299229457E-2</v>
      </c>
      <c r="E64" s="2">
        <f t="shared" si="18"/>
        <v>6.6121078427676436E-2</v>
      </c>
      <c r="F64" s="2">
        <f t="shared" si="6"/>
        <v>6.6024970027589128E-2</v>
      </c>
      <c r="G64" s="7">
        <f t="shared" si="22"/>
        <v>0.13852534064232017</v>
      </c>
      <c r="H64" s="7">
        <f t="shared" si="23"/>
        <v>-3.4261315045555372E-2</v>
      </c>
      <c r="N64" s="7">
        <f t="shared" si="12"/>
        <v>0.13852534064232017</v>
      </c>
      <c r="O64" s="7">
        <f t="shared" si="13"/>
        <v>-3.4261315045555372E-2</v>
      </c>
    </row>
    <row r="65" spans="2:15" x14ac:dyDescent="0.3">
      <c r="B65" s="2">
        <v>0.15772644703565569</v>
      </c>
      <c r="C65" s="2">
        <f t="shared" ref="C65:C96" si="24">IF($A$12=$A$13, 0, IF(B65&lt;=$A$6, ($A$5/$A$6^2)*(2*$A$6*B65-B65^2), ($A$5/(1-$A$6)^2)*((1-2*$A$6)+2*$A$6*B65-B65^2)))</f>
        <v>1.2662940691754127E-2</v>
      </c>
      <c r="D65" s="7">
        <f t="shared" ref="D65:D96" si="25">IF(B65&lt;$R$1, ($A$7/0.2)*($S$1*SQRT(B65)+$T$1*B65+$U$1*(B65^2)+$V$1*(B65^3)), ($A$7/0.2)*($W$1+$X$1*(1-B65)+$Y$1*((1-B65)^2)+$Z$1*((1-B65)^3)))</f>
        <v>4.8248126179022612E-2</v>
      </c>
      <c r="E65" s="2">
        <f t="shared" ref="E65:E96" si="26">IF($A$12=$A$13, 0, IF(B65&lt;=$A$6, ($A$5/$A$6^2) *(2*$A$6-2*B65), ($A$5/(1-$A$6)^2)*(2*$A$6-2*B65)))</f>
        <v>6.0568388241086069E-2</v>
      </c>
      <c r="F65" s="2">
        <f t="shared" si="6"/>
        <v>6.0494485199524245E-2</v>
      </c>
      <c r="G65" s="7">
        <f t="shared" si="22"/>
        <v>0.16064341268460519</v>
      </c>
      <c r="H65" s="7">
        <f t="shared" si="23"/>
        <v>-3.5496928402645789E-2</v>
      </c>
      <c r="N65" s="7">
        <f t="shared" si="12"/>
        <v>0.16064341268460519</v>
      </c>
      <c r="O65" s="7">
        <f t="shared" si="13"/>
        <v>-3.5496928402645789E-2</v>
      </c>
    </row>
    <row r="66" spans="2:15" x14ac:dyDescent="0.3">
      <c r="B66" s="2">
        <v>0.18128800512565513</v>
      </c>
      <c r="C66" s="2">
        <f t="shared" si="24"/>
        <v>1.4020632912260567E-2</v>
      </c>
      <c r="D66" s="7">
        <f t="shared" si="25"/>
        <v>5.0648950815167126E-2</v>
      </c>
      <c r="E66" s="2">
        <f t="shared" si="26"/>
        <v>5.467799871858621E-2</v>
      </c>
      <c r="F66" s="2">
        <f t="shared" ref="F66:F102" si="27">IF($A$12=$A$13, 0,  ATAN(E66))</f>
        <v>5.4623606284006004E-2</v>
      </c>
      <c r="G66" s="7">
        <f t="shared" si="22"/>
        <v>0.18405325786306337</v>
      </c>
      <c r="H66" s="7">
        <f t="shared" si="23"/>
        <v>-3.6552775080235592E-2</v>
      </c>
      <c r="N66" s="7">
        <f t="shared" ref="N66:N102" si="28">G66*COS($A$9)+H66*SIN($A$9)</f>
        <v>0.18405325786306337</v>
      </c>
      <c r="O66" s="7">
        <f t="shared" ref="O66:O102" si="29">-G66*SIN($A$9)+H66*COS($A$9)</f>
        <v>-3.6552775080235592E-2</v>
      </c>
    </row>
    <row r="67" spans="2:15" x14ac:dyDescent="0.3">
      <c r="B67" s="2">
        <v>0.20610737385376338</v>
      </c>
      <c r="C67" s="2">
        <f t="shared" si="24"/>
        <v>1.5300706190764462E-2</v>
      </c>
      <c r="D67" s="7">
        <f t="shared" si="25"/>
        <v>5.280602082223932E-2</v>
      </c>
      <c r="E67" s="2">
        <f t="shared" si="26"/>
        <v>4.8473156536559148E-2</v>
      </c>
      <c r="F67" s="2">
        <f t="shared" si="27"/>
        <v>4.8435245035337963E-2</v>
      </c>
      <c r="G67" s="7">
        <f t="shared" si="22"/>
        <v>0.20866404649048206</v>
      </c>
      <c r="H67" s="7">
        <f t="shared" si="23"/>
        <v>-3.7443385991274523E-2</v>
      </c>
      <c r="N67" s="7">
        <f t="shared" si="28"/>
        <v>0.20866404649048206</v>
      </c>
      <c r="O67" s="7">
        <f t="shared" si="29"/>
        <v>-3.7443385991274523E-2</v>
      </c>
    </row>
    <row r="68" spans="2:15" x14ac:dyDescent="0.3">
      <c r="B68" s="2">
        <v>0.23208660251050173</v>
      </c>
      <c r="C68" s="2">
        <f t="shared" si="24"/>
        <v>1.6475636367941717E-2</v>
      </c>
      <c r="D68" s="7">
        <f t="shared" si="25"/>
        <v>5.4705926112042072E-2</v>
      </c>
      <c r="E68" s="2">
        <f t="shared" si="26"/>
        <v>4.1978349372374567E-2</v>
      </c>
      <c r="F68" s="2">
        <f t="shared" si="27"/>
        <v>4.1953717582572624E-2</v>
      </c>
      <c r="G68" s="7">
        <f t="shared" si="22"/>
        <v>0.23438104626586934</v>
      </c>
      <c r="H68" s="7">
        <f t="shared" si="23"/>
        <v>-3.8182152460638441E-2</v>
      </c>
      <c r="N68" s="7">
        <f t="shared" si="28"/>
        <v>0.23438104626586934</v>
      </c>
      <c r="O68" s="7">
        <f t="shared" si="29"/>
        <v>-3.8182152460638441E-2</v>
      </c>
    </row>
    <row r="69" spans="2:15" x14ac:dyDescent="0.3">
      <c r="B69" s="2">
        <v>0.25912316294914239</v>
      </c>
      <c r="C69" s="2">
        <f t="shared" si="24"/>
        <v>1.7519214597818262E-2</v>
      </c>
      <c r="D69" s="7">
        <f t="shared" si="25"/>
        <v>5.6335253846044639E-2</v>
      </c>
      <c r="E69" s="2">
        <f t="shared" si="26"/>
        <v>3.52192092627144E-2</v>
      </c>
      <c r="F69" s="2">
        <f t="shared" si="27"/>
        <v>3.52046582072248E-2</v>
      </c>
      <c r="G69" s="7">
        <f t="shared" si="22"/>
        <v>0.26110601666568528</v>
      </c>
      <c r="H69" s="7">
        <f t="shared" si="23"/>
        <v>-3.8781132799307796E-2</v>
      </c>
      <c r="N69" s="7">
        <f t="shared" si="28"/>
        <v>0.26110601666568528</v>
      </c>
      <c r="O69" s="7">
        <f t="shared" si="29"/>
        <v>-3.8781132799307796E-2</v>
      </c>
    </row>
    <row r="70" spans="2:15" x14ac:dyDescent="0.3">
      <c r="B70" s="2">
        <v>0.28711035421746367</v>
      </c>
      <c r="C70" s="2">
        <f t="shared" si="24"/>
        <v>1.8406990984386685E-2</v>
      </c>
      <c r="D70" s="7">
        <f t="shared" si="25"/>
        <v>5.7680875190351873E-2</v>
      </c>
      <c r="E70" s="2">
        <f t="shared" si="26"/>
        <v>2.8222411445634081E-2</v>
      </c>
      <c r="F70" s="2">
        <f t="shared" si="27"/>
        <v>2.8214921931921384E-2</v>
      </c>
      <c r="G70" s="7">
        <f t="shared" si="22"/>
        <v>0.28873759968444834</v>
      </c>
      <c r="H70" s="7">
        <f t="shared" si="23"/>
        <v>-3.9250926381011866E-2</v>
      </c>
      <c r="N70" s="7">
        <f t="shared" si="28"/>
        <v>0.28873759968444834</v>
      </c>
      <c r="O70" s="7">
        <f t="shared" si="29"/>
        <v>-3.9250926381011866E-2</v>
      </c>
    </row>
    <row r="71" spans="2:15" x14ac:dyDescent="0.3">
      <c r="B71" s="2">
        <v>0.31593772365766093</v>
      </c>
      <c r="C71" s="2">
        <f t="shared" si="24"/>
        <v>1.9116691712018029E-2</v>
      </c>
      <c r="D71" s="7">
        <f t="shared" si="25"/>
        <v>5.8730274285708102E-2</v>
      </c>
      <c r="E71" s="2">
        <f t="shared" si="26"/>
        <v>2.101556908558477E-2</v>
      </c>
      <c r="F71" s="2">
        <f t="shared" si="27"/>
        <v>2.1012476034120479E-2</v>
      </c>
      <c r="G71" s="7">
        <f t="shared" si="22"/>
        <v>0.31717170132873213</v>
      </c>
      <c r="H71" s="7">
        <f t="shared" si="23"/>
        <v>-3.9600617633538712E-2</v>
      </c>
      <c r="N71" s="7">
        <f t="shared" si="28"/>
        <v>0.31717170132873213</v>
      </c>
      <c r="O71" s="7">
        <f t="shared" si="29"/>
        <v>-3.9600617633538712E-2</v>
      </c>
    </row>
    <row r="72" spans="2:15" x14ac:dyDescent="0.3">
      <c r="B72" s="2">
        <v>0.34549150281252627</v>
      </c>
      <c r="C72" s="2">
        <f t="shared" si="24"/>
        <v>1.9628602966795392E-2</v>
      </c>
      <c r="D72" s="7">
        <f t="shared" si="25"/>
        <v>5.9471913791376715E-2</v>
      </c>
      <c r="E72" s="2">
        <f t="shared" si="26"/>
        <v>1.3627124296868433E-2</v>
      </c>
      <c r="F72" s="2">
        <f t="shared" si="27"/>
        <v>1.3626280878583526E-2</v>
      </c>
      <c r="G72" s="7">
        <f t="shared" si="22"/>
        <v>0.34630185873648023</v>
      </c>
      <c r="H72" s="7">
        <f t="shared" si="23"/>
        <v>-3.9837789670436746E-2</v>
      </c>
      <c r="N72" s="7">
        <f t="shared" si="28"/>
        <v>0.34630185873648023</v>
      </c>
      <c r="O72" s="7">
        <f t="shared" si="29"/>
        <v>-3.9837789670436746E-2</v>
      </c>
    </row>
    <row r="73" spans="2:15" x14ac:dyDescent="0.3">
      <c r="B73" s="2">
        <v>0.37565505641757263</v>
      </c>
      <c r="C73" s="2">
        <f t="shared" si="24"/>
        <v>1.9925915465246052E-2</v>
      </c>
      <c r="D73" s="7">
        <f t="shared" si="25"/>
        <v>5.9895629391806454E-2</v>
      </c>
      <c r="E73" s="2">
        <f t="shared" si="26"/>
        <v>6.0862358956068462E-3</v>
      </c>
      <c r="F73" s="2">
        <f t="shared" si="27"/>
        <v>6.086160747951235E-3</v>
      </c>
      <c r="G73" s="7">
        <f t="shared" si="22"/>
        <v>0.3760195885956803</v>
      </c>
      <c r="H73" s="7">
        <f t="shared" si="23"/>
        <v>-3.9968604622419343E-2</v>
      </c>
      <c r="N73" s="7">
        <f t="shared" si="28"/>
        <v>0.3760195885956803</v>
      </c>
      <c r="O73" s="7">
        <f t="shared" si="29"/>
        <v>-3.9968604622419343E-2</v>
      </c>
    </row>
    <row r="74" spans="2:15" x14ac:dyDescent="0.3">
      <c r="B74" s="2">
        <v>0.40630934270713764</v>
      </c>
      <c r="C74" s="2">
        <f t="shared" si="24"/>
        <v>1.999778845525577E-2</v>
      </c>
      <c r="D74" s="7">
        <f t="shared" si="25"/>
        <v>5.9993038517743499E-2</v>
      </c>
      <c r="E74" s="2">
        <f t="shared" si="26"/>
        <v>-7.0103807857084695E-4</v>
      </c>
      <c r="F74" s="2">
        <f t="shared" si="27"/>
        <v>-7.0103796372813425E-4</v>
      </c>
      <c r="G74" s="7">
        <f t="shared" si="22"/>
        <v>0.4062672853130222</v>
      </c>
      <c r="H74" s="7">
        <f t="shared" si="23"/>
        <v>-3.9995235320572156E-2</v>
      </c>
      <c r="N74" s="7">
        <f t="shared" si="28"/>
        <v>0.4062672853130222</v>
      </c>
      <c r="O74" s="7">
        <f t="shared" si="29"/>
        <v>-3.9995235320572156E-2</v>
      </c>
    </row>
    <row r="75" spans="2:15" x14ac:dyDescent="0.3">
      <c r="B75" s="2">
        <v>0.43733338321784776</v>
      </c>
      <c r="C75" s="2">
        <f t="shared" si="24"/>
        <v>1.9922567694306073E-2</v>
      </c>
      <c r="D75" s="7">
        <f t="shared" si="25"/>
        <v>5.9757100020543824E-2</v>
      </c>
      <c r="E75" s="2">
        <f t="shared" si="26"/>
        <v>-4.1481536908719715E-3</v>
      </c>
      <c r="F75" s="2">
        <f t="shared" si="27"/>
        <v>-4.1481298984431926E-3</v>
      </c>
      <c r="G75" s="7">
        <f t="shared" si="22"/>
        <v>0.43708550371548605</v>
      </c>
      <c r="H75" s="7">
        <f t="shared" si="23"/>
        <v>-3.9834018207313068E-2</v>
      </c>
      <c r="N75" s="7">
        <f t="shared" si="28"/>
        <v>0.43708550371548605</v>
      </c>
      <c r="O75" s="7">
        <f t="shared" si="29"/>
        <v>-3.9834018207313068E-2</v>
      </c>
    </row>
    <row r="76" spans="2:15" x14ac:dyDescent="0.3">
      <c r="B76" s="2">
        <v>0.46860474023534326</v>
      </c>
      <c r="C76" s="2">
        <f t="shared" si="24"/>
        <v>1.9738521645402279E-2</v>
      </c>
      <c r="D76" s="7">
        <f t="shared" si="25"/>
        <v>5.9182621712125218E-2</v>
      </c>
      <c r="E76" s="2">
        <f t="shared" si="26"/>
        <v>-7.6227489150381385E-3</v>
      </c>
      <c r="F76" s="2">
        <f t="shared" si="27"/>
        <v>-7.6226012769376366E-3</v>
      </c>
      <c r="G76" s="7">
        <f t="shared" si="22"/>
        <v>0.46815361907619862</v>
      </c>
      <c r="H76" s="7">
        <f t="shared" si="23"/>
        <v>-3.9442380700035876E-2</v>
      </c>
      <c r="N76" s="7">
        <f t="shared" si="28"/>
        <v>0.46815361907619862</v>
      </c>
      <c r="O76" s="7">
        <f t="shared" si="29"/>
        <v>-3.9442380700035876E-2</v>
      </c>
    </row>
    <row r="77" spans="2:15" x14ac:dyDescent="0.3">
      <c r="B77" s="2">
        <v>0.49999999999999994</v>
      </c>
      <c r="C77" s="2">
        <f t="shared" si="24"/>
        <v>1.9444444444444441E-2</v>
      </c>
      <c r="D77" s="7">
        <f t="shared" si="25"/>
        <v>5.826944444444445E-2</v>
      </c>
      <c r="E77" s="2">
        <f t="shared" si="26"/>
        <v>-1.1111111111111103E-2</v>
      </c>
      <c r="F77" s="2">
        <f t="shared" si="27"/>
        <v>-1.1110653897607464E-2</v>
      </c>
      <c r="G77" s="7">
        <f t="shared" si="22"/>
        <v>0.49935260169002033</v>
      </c>
      <c r="H77" s="7">
        <f t="shared" si="23"/>
        <v>-3.8821403453723438E-2</v>
      </c>
      <c r="N77" s="7">
        <f t="shared" si="28"/>
        <v>0.49935260169002033</v>
      </c>
      <c r="O77" s="7">
        <f t="shared" si="29"/>
        <v>-3.8821403453723438E-2</v>
      </c>
    </row>
    <row r="78" spans="2:15" x14ac:dyDescent="0.3">
      <c r="B78" s="2">
        <v>0.53139525976465674</v>
      </c>
      <c r="C78" s="2">
        <f t="shared" si="24"/>
        <v>1.9040849206187691E-2</v>
      </c>
      <c r="D78" s="7">
        <f t="shared" si="25"/>
        <v>5.7022784753188484E-2</v>
      </c>
      <c r="E78" s="2">
        <f t="shared" si="26"/>
        <v>-1.459947330718408E-2</v>
      </c>
      <c r="F78" s="2">
        <f t="shared" si="27"/>
        <v>-1.4598436173415663E-2</v>
      </c>
      <c r="G78" s="7">
        <f t="shared" si="22"/>
        <v>0.53056284584829894</v>
      </c>
      <c r="H78" s="7">
        <f t="shared" si="23"/>
        <v>-3.7975859468378212E-2</v>
      </c>
      <c r="N78" s="7">
        <f t="shared" si="28"/>
        <v>0.53056284584829894</v>
      </c>
      <c r="O78" s="7">
        <f t="shared" si="29"/>
        <v>-3.7975859468378212E-2</v>
      </c>
    </row>
    <row r="79" spans="2:15" x14ac:dyDescent="0.3">
      <c r="B79" s="2">
        <v>0.56266661678215213</v>
      </c>
      <c r="C79" s="2">
        <f t="shared" si="24"/>
        <v>1.8529976210258248E-2</v>
      </c>
      <c r="D79" s="7">
        <f t="shared" si="25"/>
        <v>5.5453118391076792E-2</v>
      </c>
      <c r="E79" s="2">
        <f t="shared" si="26"/>
        <v>-1.8074068531350237E-2</v>
      </c>
      <c r="F79" s="2">
        <f t="shared" si="27"/>
        <v>-1.8072100819923262E-2</v>
      </c>
      <c r="G79" s="7">
        <f t="shared" si="22"/>
        <v>0.56166451698565856</v>
      </c>
      <c r="H79" s="7">
        <f t="shared" si="23"/>
        <v>-3.6914086910085367E-2</v>
      </c>
      <c r="N79" s="7">
        <f t="shared" si="28"/>
        <v>0.56166451698565856</v>
      </c>
      <c r="O79" s="7">
        <f t="shared" si="29"/>
        <v>-3.6914086910085367E-2</v>
      </c>
    </row>
    <row r="80" spans="2:15" x14ac:dyDescent="0.3">
      <c r="B80" s="2">
        <v>0.5936906572928623</v>
      </c>
      <c r="C80" s="2">
        <f t="shared" si="24"/>
        <v>1.7915773848747724E-2</v>
      </c>
      <c r="D80" s="7">
        <f t="shared" si="25"/>
        <v>5.3575980920169387E-2</v>
      </c>
      <c r="E80" s="2">
        <f t="shared" si="26"/>
        <v>-2.1521184143651367E-2</v>
      </c>
      <c r="F80" s="2">
        <f t="shared" si="27"/>
        <v>-2.1517862472995482E-2</v>
      </c>
      <c r="G80" s="7">
        <f t="shared" si="22"/>
        <v>0.59253790566590858</v>
      </c>
      <c r="H80" s="7">
        <f t="shared" si="23"/>
        <v>-3.5647804217368337E-2</v>
      </c>
      <c r="N80" s="7">
        <f t="shared" si="28"/>
        <v>0.59253790566590858</v>
      </c>
      <c r="O80" s="7">
        <f t="shared" si="29"/>
        <v>-3.5647804217368337E-2</v>
      </c>
    </row>
    <row r="81" spans="2:15" x14ac:dyDescent="0.3">
      <c r="B81" s="2">
        <v>0.62434494358242743</v>
      </c>
      <c r="C81" s="2">
        <f t="shared" si="24"/>
        <v>1.7203852571610969E-2</v>
      </c>
      <c r="D81" s="7">
        <f t="shared" si="25"/>
        <v>5.1411691138549091E-2</v>
      </c>
      <c r="E81" s="2">
        <f t="shared" si="26"/>
        <v>-2.4927215953603046E-2</v>
      </c>
      <c r="F81" s="2">
        <f t="shared" si="27"/>
        <v>-2.4922054901994197E-2</v>
      </c>
      <c r="G81" s="7">
        <f t="shared" si="22"/>
        <v>0.6230637912253838</v>
      </c>
      <c r="H81" s="7">
        <f t="shared" si="23"/>
        <v>-3.4191873265890432E-2</v>
      </c>
      <c r="N81" s="7">
        <f t="shared" si="28"/>
        <v>0.6230637912253838</v>
      </c>
      <c r="O81" s="7">
        <f t="shared" si="29"/>
        <v>-3.4191873265890432E-2</v>
      </c>
    </row>
    <row r="82" spans="2:15" x14ac:dyDescent="0.3">
      <c r="B82" s="2">
        <v>0.6545084971874735</v>
      </c>
      <c r="C82" s="2">
        <f t="shared" si="24"/>
        <v>1.6401412492187434E-2</v>
      </c>
      <c r="D82" s="7">
        <f t="shared" si="25"/>
        <v>4.8985004234904261E-2</v>
      </c>
      <c r="E82" s="2">
        <f t="shared" si="26"/>
        <v>-2.8278721909719279E-2</v>
      </c>
      <c r="F82" s="2">
        <f t="shared" si="27"/>
        <v>-2.8271187490757722E-2</v>
      </c>
      <c r="G82" s="7">
        <f t="shared" si="22"/>
        <v>0.65312381741891579</v>
      </c>
      <c r="H82" s="7">
        <f t="shared" si="23"/>
        <v>-3.2564017168259088E-2</v>
      </c>
      <c r="N82" s="7">
        <f t="shared" si="28"/>
        <v>0.65312381741891579</v>
      </c>
      <c r="O82" s="7">
        <f t="shared" si="29"/>
        <v>-3.2564017168259088E-2</v>
      </c>
    </row>
    <row r="83" spans="2:15" x14ac:dyDescent="0.3">
      <c r="B83" s="2">
        <v>0.68406227634233885</v>
      </c>
      <c r="C83" s="2">
        <f t="shared" si="24"/>
        <v>1.5517145731067151E-2</v>
      </c>
      <c r="D83" s="7">
        <f t="shared" si="25"/>
        <v>4.6324702478711947E-2</v>
      </c>
      <c r="E83" s="2">
        <f t="shared" si="26"/>
        <v>-3.1562475149148762E-2</v>
      </c>
      <c r="F83" s="2">
        <f t="shared" si="27"/>
        <v>-3.155200067018097E-2</v>
      </c>
      <c r="G83" s="7">
        <f t="shared" si="22"/>
        <v>0.68260088180356215</v>
      </c>
      <c r="H83" s="7">
        <f t="shared" si="23"/>
        <v>-3.0784499874064581E-2</v>
      </c>
      <c r="N83" s="7">
        <f t="shared" si="28"/>
        <v>0.68260088180356215</v>
      </c>
      <c r="O83" s="7">
        <f t="shared" si="29"/>
        <v>-3.0784499874064581E-2</v>
      </c>
    </row>
    <row r="84" spans="2:15" x14ac:dyDescent="0.3">
      <c r="B84" s="2">
        <v>0.71288964578253633</v>
      </c>
      <c r="C84" s="2">
        <f t="shared" si="24"/>
        <v>1.4561114975671049E-2</v>
      </c>
      <c r="D84" s="7">
        <f t="shared" si="25"/>
        <v>4.3463131956413797E-2</v>
      </c>
      <c r="E84" s="2">
        <f t="shared" si="26"/>
        <v>-3.4765516198059593E-2</v>
      </c>
      <c r="F84" s="2">
        <f t="shared" si="27"/>
        <v>-3.4751520002380361E-2</v>
      </c>
      <c r="G84" s="7">
        <f t="shared" si="22"/>
        <v>0.7113795398769498</v>
      </c>
      <c r="H84" s="7">
        <f t="shared" si="23"/>
        <v>-2.887577510194099E-2</v>
      </c>
      <c r="N84" s="7">
        <f t="shared" si="28"/>
        <v>0.7113795398769498</v>
      </c>
      <c r="O84" s="7">
        <f t="shared" si="29"/>
        <v>-2.887577510194099E-2</v>
      </c>
    </row>
    <row r="85" spans="2:15" x14ac:dyDescent="0.3">
      <c r="B85" s="2">
        <v>0.74087683705085772</v>
      </c>
      <c r="C85" s="2">
        <f t="shared" si="24"/>
        <v>1.3544610109011276E-2</v>
      </c>
      <c r="D85" s="7">
        <f t="shared" si="25"/>
        <v>4.0435694354175135E-2</v>
      </c>
      <c r="E85" s="2">
        <f t="shared" si="26"/>
        <v>-3.7875204116761971E-2</v>
      </c>
      <c r="F85" s="2">
        <f t="shared" si="27"/>
        <v>-3.7857108636751631E-2</v>
      </c>
      <c r="G85" s="7">
        <f t="shared" si="22"/>
        <v>0.73934642419260732</v>
      </c>
      <c r="H85" s="7">
        <f t="shared" si="23"/>
        <v>-2.6862112282041085E-2</v>
      </c>
      <c r="N85" s="7">
        <f t="shared" si="28"/>
        <v>0.73934642419260732</v>
      </c>
      <c r="O85" s="7">
        <f t="shared" si="29"/>
        <v>-2.6862112282041085E-2</v>
      </c>
    </row>
    <row r="86" spans="2:15" x14ac:dyDescent="0.3">
      <c r="B86" s="2">
        <v>0.76791339748949849</v>
      </c>
      <c r="C86" s="2">
        <f t="shared" si="24"/>
        <v>1.2479985108207465E-2</v>
      </c>
      <c r="D86" s="7">
        <f t="shared" si="25"/>
        <v>3.7280303070657349E-2</v>
      </c>
      <c r="E86" s="2">
        <f t="shared" si="26"/>
        <v>-4.0879266387722053E-2</v>
      </c>
      <c r="F86" s="2">
        <f t="shared" si="27"/>
        <v>-4.0856517882064465E-2</v>
      </c>
      <c r="G86" s="7">
        <f t="shared" si="22"/>
        <v>0.76639067783753823</v>
      </c>
      <c r="H86" s="7">
        <f t="shared" si="23"/>
        <v>-2.4769207123324186E-2</v>
      </c>
      <c r="N86" s="7">
        <f t="shared" si="28"/>
        <v>0.76639067783753823</v>
      </c>
      <c r="O86" s="7">
        <f t="shared" si="29"/>
        <v>-2.4769207123324186E-2</v>
      </c>
    </row>
    <row r="87" spans="2:15" x14ac:dyDescent="0.3">
      <c r="B87" s="2">
        <v>0.79389262614623646</v>
      </c>
      <c r="C87" s="2">
        <f t="shared" si="24"/>
        <v>1.1380477725978957E-2</v>
      </c>
      <c r="D87" s="7">
        <f t="shared" si="25"/>
        <v>3.4036813029457755E-2</v>
      </c>
      <c r="E87" s="2">
        <f t="shared" si="26"/>
        <v>-4.3765847349581832E-2</v>
      </c>
      <c r="F87" s="2">
        <f t="shared" si="27"/>
        <v>-4.3737935665353202E-2</v>
      </c>
      <c r="G87" s="7">
        <f t="shared" si="22"/>
        <v>0.79240440081120667</v>
      </c>
      <c r="H87" s="7">
        <f t="shared" si="23"/>
        <v>-2.2623784162120318E-2</v>
      </c>
      <c r="N87" s="7">
        <f t="shared" si="28"/>
        <v>0.79240440081120667</v>
      </c>
      <c r="O87" s="7">
        <f t="shared" si="29"/>
        <v>-2.2623784162120318E-2</v>
      </c>
    </row>
    <row r="88" spans="2:15" x14ac:dyDescent="0.3">
      <c r="B88" s="2">
        <v>0.81871199487434487</v>
      </c>
      <c r="C88" s="2">
        <f t="shared" si="24"/>
        <v>1.0260014741574812E-2</v>
      </c>
      <c r="D88" s="7">
        <f t="shared" si="25"/>
        <v>3.0746433466121326E-2</v>
      </c>
      <c r="E88" s="2">
        <f t="shared" si="26"/>
        <v>-4.6523554986038322E-2</v>
      </c>
      <c r="F88" s="2">
        <f t="shared" si="27"/>
        <v>-4.6490032676948047E-2</v>
      </c>
      <c r="G88" s="7">
        <f t="shared" si="22"/>
        <v>0.81728310702235185</v>
      </c>
      <c r="H88" s="7">
        <f t="shared" si="23"/>
        <v>-2.0453198219511692E-2</v>
      </c>
      <c r="N88" s="7">
        <f t="shared" si="28"/>
        <v>0.81728310702235185</v>
      </c>
      <c r="O88" s="7">
        <f t="shared" si="29"/>
        <v>-2.0453198219511692E-2</v>
      </c>
    </row>
    <row r="89" spans="2:15" x14ac:dyDescent="0.3">
      <c r="B89" s="2">
        <v>0.84227355296434436</v>
      </c>
      <c r="C89" s="2">
        <f t="shared" si="24"/>
        <v>9.1330057971275146E-3</v>
      </c>
      <c r="D89" s="7">
        <f t="shared" si="25"/>
        <v>2.7451132708603249E-2</v>
      </c>
      <c r="E89" s="2">
        <f t="shared" si="26"/>
        <v>-4.9141505884927154E-2</v>
      </c>
      <c r="F89" s="2">
        <f t="shared" si="27"/>
        <v>-4.9102006030696671E-2</v>
      </c>
      <c r="G89" s="7">
        <f t="shared" si="22"/>
        <v>0.84092618885025217</v>
      </c>
      <c r="H89" s="7">
        <f t="shared" si="23"/>
        <v>-1.8285041123275184E-2</v>
      </c>
      <c r="N89" s="7">
        <f t="shared" si="28"/>
        <v>0.84092618885025217</v>
      </c>
      <c r="O89" s="7">
        <f t="shared" si="29"/>
        <v>-1.8285041123275184E-2</v>
      </c>
    </row>
    <row r="90" spans="2:15" x14ac:dyDescent="0.3">
      <c r="B90" s="2">
        <v>0.86448431371070567</v>
      </c>
      <c r="C90" s="2">
        <f t="shared" si="24"/>
        <v>8.0141290175941553E-3</v>
      </c>
      <c r="D90" s="7">
        <f t="shared" si="25"/>
        <v>2.4193043575542326E-2</v>
      </c>
      <c r="E90" s="2">
        <f t="shared" si="26"/>
        <v>-5.1609368190078407E-2</v>
      </c>
      <c r="F90" s="2">
        <f t="shared" si="27"/>
        <v>-5.156362029840024E-2</v>
      </c>
      <c r="G90" s="7">
        <f t="shared" si="22"/>
        <v>0.8632373855262464</v>
      </c>
      <c r="H90" s="7">
        <f t="shared" si="23"/>
        <v>-1.6146759367374038E-2</v>
      </c>
      <c r="N90" s="7">
        <f t="shared" si="28"/>
        <v>0.8632373855262464</v>
      </c>
      <c r="O90" s="7">
        <f t="shared" si="29"/>
        <v>-1.6146759367374038E-2</v>
      </c>
    </row>
    <row r="91" spans="2:15" x14ac:dyDescent="0.3">
      <c r="B91" s="2">
        <v>0.88525662138789452</v>
      </c>
      <c r="C91" s="2">
        <f t="shared" si="24"/>
        <v>6.9181117444003116E-3</v>
      </c>
      <c r="D91" s="7">
        <f t="shared" si="25"/>
        <v>2.101387750856118E-2</v>
      </c>
      <c r="E91" s="2">
        <f t="shared" si="26"/>
        <v>-5.3917402376432728E-2</v>
      </c>
      <c r="F91" s="2">
        <f t="shared" si="27"/>
        <v>-5.3865245806891358E-2</v>
      </c>
      <c r="G91" s="7">
        <f t="shared" si="22"/>
        <v>0.88412525100100181</v>
      </c>
      <c r="H91" s="7">
        <f t="shared" si="23"/>
        <v>-1.406528762253916E-2</v>
      </c>
      <c r="N91" s="7">
        <f t="shared" si="28"/>
        <v>0.88412525100100181</v>
      </c>
      <c r="O91" s="7">
        <f t="shared" si="29"/>
        <v>-1.406528762253916E-2</v>
      </c>
    </row>
    <row r="92" spans="2:15" x14ac:dyDescent="0.3">
      <c r="B92" s="2">
        <v>0.90450849718747373</v>
      </c>
      <c r="C92" s="2">
        <f t="shared" si="24"/>
        <v>5.8595097925353808E-3</v>
      </c>
      <c r="D92" s="7">
        <f t="shared" si="25"/>
        <v>1.7954354958908198E-2</v>
      </c>
      <c r="E92" s="2">
        <f t="shared" si="26"/>
        <v>-5.6056499687497083E-2</v>
      </c>
      <c r="F92" s="2">
        <f t="shared" si="27"/>
        <v>-5.5997894114239874E-2</v>
      </c>
      <c r="G92" s="7">
        <f t="shared" si="22"/>
        <v>0.90350361648993316</v>
      </c>
      <c r="H92" s="7">
        <f t="shared" si="23"/>
        <v>-1.2066702210399925E-2</v>
      </c>
      <c r="N92" s="7">
        <f t="shared" si="28"/>
        <v>0.90350361648993316</v>
      </c>
      <c r="O92" s="7">
        <f t="shared" si="29"/>
        <v>-1.2066702210399925E-2</v>
      </c>
    </row>
    <row r="93" spans="2:15" x14ac:dyDescent="0.3">
      <c r="B93" s="2">
        <v>0.92216396275100743</v>
      </c>
      <c r="C93" s="2">
        <f t="shared" si="24"/>
        <v>4.852488666898031E-3</v>
      </c>
      <c r="D93" s="7">
        <f t="shared" si="25"/>
        <v>1.5053658890956702E-2</v>
      </c>
      <c r="E93" s="2">
        <f t="shared" si="26"/>
        <v>-5.8018218083445268E-2</v>
      </c>
      <c r="F93" s="2">
        <f t="shared" si="27"/>
        <v>-5.795325060757997E-2</v>
      </c>
      <c r="G93" s="7">
        <f t="shared" si="22"/>
        <v>0.92129204254490149</v>
      </c>
      <c r="H93" s="7">
        <f t="shared" si="23"/>
        <v>-1.0175897845281643E-2</v>
      </c>
      <c r="N93" s="7">
        <f t="shared" si="28"/>
        <v>0.92129204254490149</v>
      </c>
      <c r="O93" s="7">
        <f t="shared" si="29"/>
        <v>-1.0175897845281643E-2</v>
      </c>
    </row>
    <row r="94" spans="2:15" x14ac:dyDescent="0.3">
      <c r="B94" s="2">
        <v>0.93815334002193174</v>
      </c>
      <c r="C94" s="2">
        <f t="shared" si="24"/>
        <v>3.9106101457355037E-3</v>
      </c>
      <c r="D94" s="7">
        <f t="shared" si="25"/>
        <v>1.2348917570212444E-2</v>
      </c>
      <c r="E94" s="2">
        <f t="shared" si="26"/>
        <v>-5.9794815557992417E-2</v>
      </c>
      <c r="F94" s="2">
        <f t="shared" si="27"/>
        <v>-5.9723704188408264E-2</v>
      </c>
      <c r="G94" s="7">
        <f t="shared" si="22"/>
        <v>0.93741625529148531</v>
      </c>
      <c r="H94" s="7">
        <f t="shared" si="23"/>
        <v>-8.4162901644010395E-3</v>
      </c>
      <c r="N94" s="7">
        <f t="shared" si="28"/>
        <v>0.93741625529148531</v>
      </c>
      <c r="O94" s="7">
        <f t="shared" si="29"/>
        <v>-8.4162901644010395E-3</v>
      </c>
    </row>
    <row r="95" spans="2:15" x14ac:dyDescent="0.3">
      <c r="B95" s="2">
        <v>0.95241352623300968</v>
      </c>
      <c r="C95" s="2">
        <f t="shared" si="24"/>
        <v>3.0466275574895477E-3</v>
      </c>
      <c r="D95" s="7">
        <f t="shared" si="25"/>
        <v>9.8747220944701408E-3</v>
      </c>
      <c r="E95" s="2">
        <f t="shared" si="26"/>
        <v>-6.1379280692556631E-2</v>
      </c>
      <c r="F95" s="2">
        <f t="shared" si="27"/>
        <v>-6.1302374031424113E-2</v>
      </c>
      <c r="G95" s="7">
        <f t="shared" si="22"/>
        <v>0.9518085613996401</v>
      </c>
      <c r="H95" s="7">
        <f t="shared" si="23"/>
        <v>-6.8095458375661035E-3</v>
      </c>
      <c r="N95" s="7">
        <f t="shared" si="28"/>
        <v>0.9518085613996401</v>
      </c>
      <c r="O95" s="7">
        <f t="shared" si="29"/>
        <v>-6.8095458375661035E-3</v>
      </c>
    </row>
    <row r="96" spans="2:15" x14ac:dyDescent="0.3">
      <c r="B96" s="2">
        <v>0.96488824294412567</v>
      </c>
      <c r="C96" s="2">
        <f t="shared" si="24"/>
        <v>2.2722929435276974E-3</v>
      </c>
      <c r="D96" s="7">
        <f t="shared" si="25"/>
        <v>7.6626834238078152E-3</v>
      </c>
      <c r="E96" s="2">
        <f t="shared" si="26"/>
        <v>-6.2765360327125083E-2</v>
      </c>
      <c r="F96" s="2">
        <f t="shared" si="27"/>
        <v>-6.2683133419719012E-2</v>
      </c>
      <c r="G96" s="7">
        <f t="shared" si="22"/>
        <v>0.96440823641916185</v>
      </c>
      <c r="H96" s="7">
        <f t="shared" si="23"/>
        <v>-5.3753413958932969E-3</v>
      </c>
      <c r="N96" s="7">
        <f t="shared" si="28"/>
        <v>0.96440823641916185</v>
      </c>
      <c r="O96" s="7">
        <f t="shared" si="29"/>
        <v>-5.3753413958932969E-3</v>
      </c>
    </row>
    <row r="97" spans="2:15" x14ac:dyDescent="0.3">
      <c r="B97" s="2">
        <v>0.97552825814757682</v>
      </c>
      <c r="C97" s="2">
        <f t="shared" ref="C97:C102" si="30">IF($A$12=$A$13, 0, IF(B97&lt;=$A$6, ($A$5/$A$6^2)*(2*$A$6*B97-B97^2), ($A$5/(1-$A$6)^2)*((1-2*$A$6)+2*$A$6*B97-B97^2)))</f>
        <v>1.5981791152009004E-3</v>
      </c>
      <c r="D97" s="7">
        <f t="shared" ref="D97:D102" si="31">IF(B97&lt;$R$1, ($A$7/0.2)*($S$1*SQRT(B97)+$T$1*B97+$U$1*(B97^2)+$V$1*(B97^3)), ($A$7/0.2)*($W$1+$X$1*(1-B97)+$Y$1*((1-B97)^2)+$Z$1*((1-B97)^3)))</f>
        <v>5.7410329850830751E-3</v>
      </c>
      <c r="E97" s="2">
        <f t="shared" ref="E97:E102" si="32">IF($A$12=$A$13, 0, IF(B97&lt;=$A$6, ($A$5/$A$6^2) *(2*$A$6-2*B97), ($A$5/(1-$A$6)^2)*(2*$A$6-2*B97)))</f>
        <v>-6.3947584238619654E-2</v>
      </c>
      <c r="F97" s="2">
        <f t="shared" si="27"/>
        <v>-6.3860630672153126E-2</v>
      </c>
      <c r="G97" s="7">
        <f t="shared" si="22"/>
        <v>0.9751618813041022</v>
      </c>
      <c r="H97" s="7">
        <f t="shared" si="23"/>
        <v>-4.1311513643907151E-3</v>
      </c>
      <c r="N97" s="7">
        <f t="shared" si="28"/>
        <v>0.9751618813041022</v>
      </c>
      <c r="O97" s="7">
        <f t="shared" si="29"/>
        <v>-4.1311513643907151E-3</v>
      </c>
    </row>
    <row r="98" spans="2:15" x14ac:dyDescent="0.3">
      <c r="B98" s="2">
        <v>0.98429158056431554</v>
      </c>
      <c r="C98" s="2">
        <f t="shared" si="30"/>
        <v>1.0335193823141076E-3</v>
      </c>
      <c r="D98" s="7">
        <f t="shared" si="31"/>
        <v>4.1342702825369945E-3</v>
      </c>
      <c r="E98" s="2">
        <f t="shared" si="32"/>
        <v>-6.4921286729368394E-2</v>
      </c>
      <c r="F98" s="2">
        <f t="shared" si="27"/>
        <v>-6.4830307188015121E-2</v>
      </c>
      <c r="G98" s="7">
        <f t="shared" si="22"/>
        <v>0.9840237422632736</v>
      </c>
      <c r="H98" s="7">
        <f t="shared" si="23"/>
        <v>-3.0920658384228856E-3</v>
      </c>
      <c r="N98" s="7">
        <f t="shared" si="28"/>
        <v>0.9840237422632736</v>
      </c>
      <c r="O98" s="7">
        <f t="shared" si="29"/>
        <v>-3.0920658384228856E-3</v>
      </c>
    </row>
    <row r="99" spans="2:15" x14ac:dyDescent="0.3">
      <c r="B99" s="2">
        <v>0.99114362536434442</v>
      </c>
      <c r="C99" s="2">
        <f t="shared" si="30"/>
        <v>5.8606745506109255E-4</v>
      </c>
      <c r="D99" s="7">
        <f t="shared" si="31"/>
        <v>2.8628603469603403E-3</v>
      </c>
      <c r="E99" s="2">
        <f t="shared" si="32"/>
        <v>-6.5682625040482709E-2</v>
      </c>
      <c r="F99" s="2">
        <f t="shared" si="27"/>
        <v>-6.5588412639605298E-2</v>
      </c>
      <c r="G99" s="7">
        <f t="shared" si="22"/>
        <v>0.99095598949603703</v>
      </c>
      <c r="H99" s="7">
        <f t="shared" si="23"/>
        <v>-2.2706373156708131E-3</v>
      </c>
      <c r="N99" s="7">
        <f t="shared" si="28"/>
        <v>0.99095598949603703</v>
      </c>
      <c r="O99" s="7">
        <f t="shared" si="29"/>
        <v>-2.2706373156708131E-3</v>
      </c>
    </row>
    <row r="100" spans="2:15" x14ac:dyDescent="0.3">
      <c r="B100" s="2">
        <v>0.99605735065723888</v>
      </c>
      <c r="C100" s="2">
        <f t="shared" si="30"/>
        <v>2.6197970708185468E-4</v>
      </c>
      <c r="D100" s="7">
        <f t="shared" si="31"/>
        <v>1.9429833063633018E-3</v>
      </c>
      <c r="E100" s="2">
        <f t="shared" si="32"/>
        <v>-6.6228594517470984E-2</v>
      </c>
      <c r="F100" s="2">
        <f t="shared" si="27"/>
        <v>-6.6132017345411367E-2</v>
      </c>
      <c r="G100" s="7">
        <f t="shared" si="22"/>
        <v>0.99592895089082167</v>
      </c>
      <c r="H100" s="7">
        <f t="shared" si="23"/>
        <v>-1.6767563834654033E-3</v>
      </c>
      <c r="N100" s="7">
        <f t="shared" si="28"/>
        <v>0.99592895089082167</v>
      </c>
      <c r="O100" s="7">
        <f t="shared" si="29"/>
        <v>-1.6767563834654033E-3</v>
      </c>
    </row>
    <row r="101" spans="2:15" x14ac:dyDescent="0.3">
      <c r="B101" s="2">
        <v>0.99901336421413578</v>
      </c>
      <c r="C101" s="2">
        <f t="shared" si="30"/>
        <v>6.5721638492394823E-5</v>
      </c>
      <c r="D101" s="7">
        <f t="shared" si="31"/>
        <v>1.3863378618287478E-3</v>
      </c>
      <c r="E101" s="2">
        <f t="shared" si="32"/>
        <v>-6.6557040468237308E-2</v>
      </c>
      <c r="F101" s="2">
        <f t="shared" si="27"/>
        <v>-6.6459021855377456E-2</v>
      </c>
      <c r="G101" s="7">
        <f t="shared" si="22"/>
        <v>0.99892129736431845</v>
      </c>
      <c r="H101" s="7">
        <f t="shared" si="23"/>
        <v>-1.3175557604065463E-3</v>
      </c>
      <c r="N101" s="7">
        <f t="shared" si="28"/>
        <v>0.99892129736431845</v>
      </c>
      <c r="O101" s="7">
        <f t="shared" si="29"/>
        <v>-1.3175557604065463E-3</v>
      </c>
    </row>
    <row r="102" spans="2:15" x14ac:dyDescent="0.3">
      <c r="B102" s="2">
        <v>1</v>
      </c>
      <c r="C102" s="2">
        <f t="shared" si="30"/>
        <v>0</v>
      </c>
      <c r="D102" s="7">
        <f t="shared" si="31"/>
        <v>1.1999999999999999E-3</v>
      </c>
      <c r="E102" s="2">
        <f t="shared" si="32"/>
        <v>-6.6666666666666666E-2</v>
      </c>
      <c r="F102" s="2">
        <f t="shared" si="27"/>
        <v>-6.6568163775823808E-2</v>
      </c>
      <c r="G102" s="7">
        <v>1</v>
      </c>
      <c r="H102" s="7">
        <v>0</v>
      </c>
      <c r="N102" s="7">
        <f t="shared" si="28"/>
        <v>1</v>
      </c>
      <c r="O102" s="7">
        <f t="shared" si="29"/>
        <v>0</v>
      </c>
    </row>
    <row r="103" spans="2:15" x14ac:dyDescent="0.3">
      <c r="C103" s="2"/>
      <c r="E103" s="2"/>
      <c r="F103" s="2"/>
    </row>
    <row r="104" spans="2:15" x14ac:dyDescent="0.3">
      <c r="C104" s="2"/>
      <c r="E104" s="2"/>
      <c r="F104" s="2"/>
    </row>
    <row r="105" spans="2:15" x14ac:dyDescent="0.3">
      <c r="C105" s="2"/>
      <c r="E105" s="2"/>
      <c r="F105" s="2"/>
    </row>
    <row r="106" spans="2:15" x14ac:dyDescent="0.3">
      <c r="C106" s="2"/>
      <c r="E106" s="2"/>
      <c r="F106" s="2"/>
    </row>
    <row r="107" spans="2:15" x14ac:dyDescent="0.3">
      <c r="C107" s="2"/>
      <c r="E107" s="2"/>
      <c r="F107" s="2"/>
    </row>
    <row r="108" spans="2:15" x14ac:dyDescent="0.3">
      <c r="C108" s="2"/>
      <c r="E108" s="2"/>
      <c r="F108" s="2"/>
    </row>
    <row r="109" spans="2:15" x14ac:dyDescent="0.3">
      <c r="C109" s="2"/>
      <c r="E109" s="2"/>
      <c r="F109" s="2"/>
    </row>
    <row r="110" spans="2:15" x14ac:dyDescent="0.3">
      <c r="C110" s="2"/>
      <c r="E110" s="2"/>
      <c r="F110" s="2"/>
    </row>
    <row r="111" spans="2:15" x14ac:dyDescent="0.3">
      <c r="C111" s="2"/>
      <c r="E111" s="2"/>
      <c r="F111" s="2"/>
    </row>
    <row r="112" spans="2:15" x14ac:dyDescent="0.3">
      <c r="C112" s="2"/>
      <c r="E112" s="2"/>
      <c r="F112" s="2"/>
    </row>
    <row r="113" spans="3:6" x14ac:dyDescent="0.3">
      <c r="C113" s="2"/>
      <c r="E113" s="2"/>
      <c r="F113" s="2"/>
    </row>
    <row r="114" spans="3:6" x14ac:dyDescent="0.3">
      <c r="C114" s="2"/>
      <c r="E114" s="2"/>
      <c r="F114" s="2"/>
    </row>
    <row r="115" spans="3:6" x14ac:dyDescent="0.3">
      <c r="C115" s="2"/>
      <c r="E115" s="2"/>
      <c r="F115" s="2"/>
    </row>
    <row r="116" spans="3:6" x14ac:dyDescent="0.3">
      <c r="C116" s="2"/>
      <c r="E116" s="2"/>
      <c r="F116" s="2"/>
    </row>
    <row r="117" spans="3:6" x14ac:dyDescent="0.3">
      <c r="C117" s="2"/>
      <c r="E117" s="2"/>
      <c r="F117" s="2"/>
    </row>
    <row r="118" spans="3:6" x14ac:dyDescent="0.3">
      <c r="C118" s="2"/>
      <c r="E118" s="2"/>
      <c r="F118" s="2"/>
    </row>
    <row r="119" spans="3:6" x14ac:dyDescent="0.3">
      <c r="C119" s="2"/>
      <c r="E119" s="2"/>
      <c r="F119" s="2"/>
    </row>
    <row r="120" spans="3:6" x14ac:dyDescent="0.3">
      <c r="C120" s="2"/>
      <c r="E120" s="2"/>
      <c r="F120" s="2"/>
    </row>
    <row r="121" spans="3:6" x14ac:dyDescent="0.3">
      <c r="C121" s="2"/>
      <c r="E121" s="2"/>
      <c r="F121" s="2"/>
    </row>
    <row r="122" spans="3:6" x14ac:dyDescent="0.3">
      <c r="C122" s="2"/>
      <c r="E122" s="2"/>
      <c r="F122" s="2"/>
    </row>
    <row r="123" spans="3:6" x14ac:dyDescent="0.3">
      <c r="C123" s="2"/>
      <c r="E123" s="2"/>
      <c r="F123" s="2"/>
    </row>
    <row r="124" spans="3:6" x14ac:dyDescent="0.3">
      <c r="C124" s="2"/>
      <c r="E124" s="2"/>
      <c r="F124" s="2"/>
    </row>
    <row r="125" spans="3:6" x14ac:dyDescent="0.3">
      <c r="C125" s="2"/>
      <c r="E125" s="2"/>
      <c r="F125" s="2"/>
    </row>
    <row r="126" spans="3:6" x14ac:dyDescent="0.3">
      <c r="C126" s="2"/>
      <c r="E126" s="2"/>
      <c r="F126" s="2"/>
    </row>
    <row r="127" spans="3:6" x14ac:dyDescent="0.3">
      <c r="C127" s="2"/>
      <c r="E127" s="2"/>
      <c r="F127" s="2"/>
    </row>
    <row r="128" spans="3:6" x14ac:dyDescent="0.3">
      <c r="C128" s="2"/>
      <c r="E128" s="2"/>
      <c r="F128" s="2"/>
    </row>
    <row r="129" spans="3:6" x14ac:dyDescent="0.3">
      <c r="C129" s="2"/>
      <c r="E129" s="2"/>
      <c r="F129" s="2"/>
    </row>
    <row r="130" spans="3:6" x14ac:dyDescent="0.3">
      <c r="C130" s="2"/>
      <c r="E130" s="2"/>
      <c r="F130" s="2"/>
    </row>
    <row r="131" spans="3:6" x14ac:dyDescent="0.3">
      <c r="C131" s="2"/>
      <c r="E131" s="2"/>
      <c r="F131" s="2"/>
    </row>
    <row r="132" spans="3:6" x14ac:dyDescent="0.3">
      <c r="C132" s="2"/>
      <c r="E132" s="2"/>
      <c r="F132" s="2"/>
    </row>
    <row r="133" spans="3:6" x14ac:dyDescent="0.3">
      <c r="C133" s="2"/>
      <c r="E133" s="2"/>
      <c r="F133" s="2"/>
    </row>
    <row r="134" spans="3:6" x14ac:dyDescent="0.3">
      <c r="C134" s="2"/>
      <c r="E134" s="2"/>
      <c r="F134" s="2"/>
    </row>
    <row r="135" spans="3:6" x14ac:dyDescent="0.3">
      <c r="C135" s="2"/>
      <c r="E135" s="2"/>
      <c r="F135" s="2"/>
    </row>
    <row r="136" spans="3:6" x14ac:dyDescent="0.3">
      <c r="C136" s="2"/>
      <c r="E136" s="2"/>
      <c r="F136" s="2"/>
    </row>
    <row r="137" spans="3:6" x14ac:dyDescent="0.3">
      <c r="C137" s="2"/>
      <c r="E137" s="2"/>
      <c r="F137" s="2"/>
    </row>
    <row r="138" spans="3:6" x14ac:dyDescent="0.3">
      <c r="C138" s="2"/>
      <c r="E138" s="2"/>
      <c r="F138" s="2"/>
    </row>
    <row r="139" spans="3:6" x14ac:dyDescent="0.3">
      <c r="C139" s="2"/>
      <c r="E139" s="2"/>
      <c r="F139" s="2"/>
    </row>
    <row r="140" spans="3:6" x14ac:dyDescent="0.3">
      <c r="C140" s="2"/>
      <c r="E140" s="2"/>
      <c r="F140" s="2"/>
    </row>
    <row r="141" spans="3:6" x14ac:dyDescent="0.3">
      <c r="C141" s="2"/>
      <c r="E141" s="2"/>
      <c r="F141" s="2"/>
    </row>
    <row r="142" spans="3:6" x14ac:dyDescent="0.3">
      <c r="C142" s="2"/>
      <c r="E142" s="2"/>
      <c r="F142" s="2"/>
    </row>
    <row r="143" spans="3:6" x14ac:dyDescent="0.3">
      <c r="C143" s="2"/>
      <c r="E143" s="2"/>
      <c r="F143" s="2"/>
    </row>
    <row r="144" spans="3:6" x14ac:dyDescent="0.3">
      <c r="C144" s="2"/>
      <c r="E144" s="2"/>
      <c r="F144" s="2"/>
    </row>
    <row r="145" spans="3:6" x14ac:dyDescent="0.3">
      <c r="C145" s="2"/>
      <c r="E145" s="2"/>
      <c r="F145" s="2"/>
    </row>
    <row r="146" spans="3:6" x14ac:dyDescent="0.3">
      <c r="C146" s="2"/>
      <c r="E146" s="2"/>
      <c r="F146" s="2"/>
    </row>
    <row r="147" spans="3:6" x14ac:dyDescent="0.3">
      <c r="C147" s="2"/>
      <c r="E147" s="2"/>
      <c r="F147" s="2"/>
    </row>
    <row r="148" spans="3:6" x14ac:dyDescent="0.3">
      <c r="C148" s="2"/>
      <c r="E148" s="2"/>
      <c r="F148" s="2"/>
    </row>
    <row r="149" spans="3:6" x14ac:dyDescent="0.3">
      <c r="C149" s="2"/>
      <c r="E149" s="2"/>
      <c r="F149" s="2"/>
    </row>
    <row r="150" spans="3:6" x14ac:dyDescent="0.3">
      <c r="C150" s="2"/>
      <c r="E150" s="2"/>
      <c r="F150" s="2"/>
    </row>
    <row r="151" spans="3:6" x14ac:dyDescent="0.3">
      <c r="C151" s="2"/>
      <c r="E151" s="2"/>
      <c r="F151" s="2"/>
    </row>
    <row r="152" spans="3:6" x14ac:dyDescent="0.3">
      <c r="C152" s="2"/>
      <c r="E152" s="2"/>
      <c r="F152" s="2"/>
    </row>
    <row r="153" spans="3:6" x14ac:dyDescent="0.3">
      <c r="C153" s="2"/>
      <c r="E153" s="2"/>
      <c r="F153" s="2"/>
    </row>
    <row r="154" spans="3:6" x14ac:dyDescent="0.3">
      <c r="C154" s="2"/>
      <c r="E154" s="2"/>
      <c r="F154" s="2"/>
    </row>
    <row r="155" spans="3:6" x14ac:dyDescent="0.3">
      <c r="C155" s="2"/>
      <c r="E155" s="2"/>
      <c r="F155" s="2"/>
    </row>
    <row r="156" spans="3:6" x14ac:dyDescent="0.3">
      <c r="C156" s="2"/>
      <c r="E156" s="2"/>
      <c r="F156" s="2"/>
    </row>
    <row r="157" spans="3:6" x14ac:dyDescent="0.3">
      <c r="C157" s="2"/>
      <c r="E157" s="2"/>
      <c r="F157" s="2"/>
    </row>
    <row r="158" spans="3:6" x14ac:dyDescent="0.3">
      <c r="C158" s="2"/>
      <c r="E158" s="2"/>
      <c r="F158" s="2"/>
    </row>
    <row r="159" spans="3:6" x14ac:dyDescent="0.3">
      <c r="C159" s="2"/>
      <c r="E159" s="2"/>
      <c r="F159" s="2"/>
    </row>
    <row r="160" spans="3:6" x14ac:dyDescent="0.3">
      <c r="C160" s="2"/>
      <c r="E160" s="2"/>
      <c r="F160" s="2"/>
    </row>
    <row r="161" spans="3:6" x14ac:dyDescent="0.3">
      <c r="C161" s="2"/>
      <c r="E161" s="2"/>
      <c r="F161" s="2"/>
    </row>
    <row r="162" spans="3:6" x14ac:dyDescent="0.3">
      <c r="C162" s="2"/>
      <c r="E162" s="2"/>
      <c r="F162" s="2"/>
    </row>
    <row r="163" spans="3:6" x14ac:dyDescent="0.3">
      <c r="C163" s="2"/>
      <c r="E163" s="2"/>
      <c r="F163" s="2"/>
    </row>
    <row r="164" spans="3:6" x14ac:dyDescent="0.3">
      <c r="C164" s="2"/>
      <c r="E164" s="2"/>
      <c r="F164" s="2"/>
    </row>
    <row r="165" spans="3:6" x14ac:dyDescent="0.3">
      <c r="C165" s="2"/>
      <c r="E165" s="2"/>
      <c r="F165" s="2"/>
    </row>
    <row r="166" spans="3:6" x14ac:dyDescent="0.3">
      <c r="C166" s="2"/>
      <c r="E166" s="2"/>
      <c r="F166" s="2"/>
    </row>
    <row r="167" spans="3:6" x14ac:dyDescent="0.3">
      <c r="C167" s="2"/>
      <c r="E167" s="2"/>
      <c r="F167" s="2"/>
    </row>
    <row r="168" spans="3:6" x14ac:dyDescent="0.3">
      <c r="C168" s="2"/>
      <c r="E168" s="2"/>
      <c r="F168" s="2"/>
    </row>
    <row r="169" spans="3:6" x14ac:dyDescent="0.3">
      <c r="C169" s="2"/>
      <c r="E169" s="2"/>
      <c r="F169" s="2"/>
    </row>
    <row r="170" spans="3:6" x14ac:dyDescent="0.3">
      <c r="C170" s="2"/>
      <c r="E170" s="2"/>
      <c r="F170" s="2"/>
    </row>
    <row r="171" spans="3:6" x14ac:dyDescent="0.3">
      <c r="C171" s="2"/>
      <c r="E171" s="2"/>
      <c r="F171" s="2"/>
    </row>
    <row r="172" spans="3:6" x14ac:dyDescent="0.3">
      <c r="C172" s="2"/>
      <c r="E172" s="2"/>
      <c r="F172" s="2"/>
    </row>
    <row r="173" spans="3:6" x14ac:dyDescent="0.3">
      <c r="C173" s="2"/>
      <c r="E173" s="2"/>
      <c r="F173" s="2"/>
    </row>
    <row r="174" spans="3:6" x14ac:dyDescent="0.3">
      <c r="C174" s="2"/>
      <c r="E174" s="2"/>
      <c r="F174" s="2"/>
    </row>
    <row r="175" spans="3:6" x14ac:dyDescent="0.3">
      <c r="C175" s="2"/>
      <c r="E175" s="2"/>
      <c r="F175" s="2"/>
    </row>
    <row r="176" spans="3:6" x14ac:dyDescent="0.3">
      <c r="C176" s="2"/>
      <c r="E176" s="2"/>
      <c r="F176" s="2"/>
    </row>
    <row r="177" spans="3:6" x14ac:dyDescent="0.3">
      <c r="C177" s="2"/>
      <c r="E177" s="2"/>
      <c r="F177" s="2"/>
    </row>
    <row r="178" spans="3:6" x14ac:dyDescent="0.3">
      <c r="C178" s="2"/>
      <c r="E178" s="2"/>
      <c r="F178" s="2"/>
    </row>
    <row r="179" spans="3:6" x14ac:dyDescent="0.3">
      <c r="C179" s="2"/>
      <c r="E179" s="2"/>
      <c r="F179" s="2"/>
    </row>
    <row r="180" spans="3:6" x14ac:dyDescent="0.3">
      <c r="C180" s="2"/>
      <c r="E180" s="2"/>
      <c r="F180" s="2"/>
    </row>
    <row r="181" spans="3:6" x14ac:dyDescent="0.3">
      <c r="C181" s="2"/>
      <c r="E181" s="2"/>
      <c r="F181" s="2"/>
    </row>
    <row r="182" spans="3:6" x14ac:dyDescent="0.3">
      <c r="C182" s="2"/>
      <c r="E182" s="2"/>
      <c r="F182" s="2"/>
    </row>
    <row r="183" spans="3:6" x14ac:dyDescent="0.3">
      <c r="C183" s="2"/>
      <c r="E183" s="2"/>
      <c r="F183" s="2"/>
    </row>
    <row r="184" spans="3:6" x14ac:dyDescent="0.3">
      <c r="C184" s="2"/>
      <c r="E184" s="2"/>
      <c r="F184" s="2"/>
    </row>
    <row r="185" spans="3:6" x14ac:dyDescent="0.3">
      <c r="C185" s="2"/>
      <c r="E185" s="2"/>
      <c r="F185" s="2"/>
    </row>
    <row r="186" spans="3:6" x14ac:dyDescent="0.3">
      <c r="C186" s="2"/>
      <c r="E186" s="2"/>
      <c r="F186" s="2"/>
    </row>
    <row r="187" spans="3:6" x14ac:dyDescent="0.3">
      <c r="C187" s="2"/>
      <c r="E187" s="2"/>
      <c r="F187" s="2"/>
    </row>
    <row r="188" spans="3:6" x14ac:dyDescent="0.3">
      <c r="C188" s="2"/>
      <c r="E188" s="2"/>
      <c r="F188" s="2"/>
    </row>
    <row r="189" spans="3:6" x14ac:dyDescent="0.3">
      <c r="C189" s="2"/>
      <c r="E189" s="2"/>
      <c r="F189" s="2"/>
    </row>
    <row r="190" spans="3:6" x14ac:dyDescent="0.3">
      <c r="C190" s="2"/>
      <c r="E190" s="2"/>
      <c r="F190" s="2"/>
    </row>
    <row r="191" spans="3:6" x14ac:dyDescent="0.3">
      <c r="C191" s="2"/>
      <c r="E191" s="2"/>
      <c r="F191" s="2"/>
    </row>
    <row r="192" spans="3:6" x14ac:dyDescent="0.3">
      <c r="C192" s="2"/>
      <c r="E192" s="2"/>
      <c r="F192" s="2"/>
    </row>
    <row r="193" spans="3:6" x14ac:dyDescent="0.3">
      <c r="C193" s="2"/>
      <c r="E193" s="2"/>
      <c r="F193" s="2"/>
    </row>
    <row r="194" spans="3:6" x14ac:dyDescent="0.3">
      <c r="C194" s="2"/>
      <c r="E194" s="2"/>
      <c r="F194" s="2"/>
    </row>
    <row r="195" spans="3:6" x14ac:dyDescent="0.3">
      <c r="C195" s="2"/>
      <c r="E195" s="2"/>
      <c r="F195" s="2"/>
    </row>
    <row r="196" spans="3:6" x14ac:dyDescent="0.3">
      <c r="C196" s="2"/>
      <c r="E196" s="2"/>
      <c r="F196" s="2"/>
    </row>
    <row r="197" spans="3:6" x14ac:dyDescent="0.3">
      <c r="C197" s="2"/>
      <c r="E197" s="2"/>
      <c r="F197" s="2"/>
    </row>
    <row r="198" spans="3:6" x14ac:dyDescent="0.3">
      <c r="C198" s="2"/>
      <c r="E198" s="2"/>
      <c r="F198" s="2"/>
    </row>
    <row r="199" spans="3:6" x14ac:dyDescent="0.3">
      <c r="C199" s="2"/>
      <c r="E199" s="2"/>
      <c r="F199" s="2"/>
    </row>
    <row r="200" spans="3:6" x14ac:dyDescent="0.3">
      <c r="C200" s="2"/>
      <c r="E200" s="2"/>
      <c r="F200" s="2"/>
    </row>
    <row r="201" spans="3:6" x14ac:dyDescent="0.3">
      <c r="C201" s="2"/>
      <c r="E201" s="2"/>
      <c r="F201" s="2"/>
    </row>
    <row r="202" spans="3:6" x14ac:dyDescent="0.3">
      <c r="C202" s="2"/>
      <c r="E202" s="2"/>
      <c r="F202" s="2"/>
    </row>
    <row r="203" spans="3:6" x14ac:dyDescent="0.3">
      <c r="C203" s="2"/>
      <c r="E203" s="2"/>
      <c r="F203" s="2"/>
    </row>
    <row r="204" spans="3:6" x14ac:dyDescent="0.3">
      <c r="C204" s="2"/>
      <c r="E204" s="2"/>
      <c r="F204" s="2"/>
    </row>
    <row r="205" spans="3:6" x14ac:dyDescent="0.3">
      <c r="C205" s="2"/>
      <c r="E205" s="2"/>
      <c r="F205" s="2"/>
    </row>
    <row r="206" spans="3:6" x14ac:dyDescent="0.3">
      <c r="C206" s="2"/>
      <c r="E206" s="2"/>
      <c r="F206" s="2"/>
    </row>
    <row r="207" spans="3:6" x14ac:dyDescent="0.3">
      <c r="C207" s="2"/>
      <c r="E207" s="2"/>
      <c r="F207" s="2"/>
    </row>
    <row r="208" spans="3:6" x14ac:dyDescent="0.3">
      <c r="C208" s="2"/>
      <c r="E208" s="2"/>
      <c r="F208" s="2"/>
    </row>
    <row r="209" spans="3:6" x14ac:dyDescent="0.3">
      <c r="C209" s="2"/>
      <c r="E209" s="2"/>
      <c r="F209" s="2"/>
    </row>
    <row r="210" spans="3:6" x14ac:dyDescent="0.3">
      <c r="C210" s="2"/>
      <c r="E210" s="2"/>
      <c r="F210" s="2"/>
    </row>
    <row r="211" spans="3:6" x14ac:dyDescent="0.3">
      <c r="C211" s="2"/>
      <c r="E211" s="2"/>
      <c r="F211" s="2"/>
    </row>
    <row r="212" spans="3:6" x14ac:dyDescent="0.3">
      <c r="C212" s="2"/>
      <c r="E212" s="2"/>
      <c r="F212" s="2"/>
    </row>
    <row r="213" spans="3:6" x14ac:dyDescent="0.3">
      <c r="C213" s="2"/>
      <c r="E213" s="2"/>
      <c r="F213" s="2"/>
    </row>
    <row r="214" spans="3:6" x14ac:dyDescent="0.3">
      <c r="C214" s="2"/>
      <c r="E214" s="2"/>
      <c r="F214" s="2"/>
    </row>
    <row r="215" spans="3:6" x14ac:dyDescent="0.3">
      <c r="C215" s="2"/>
      <c r="E215" s="2"/>
      <c r="F215" s="2"/>
    </row>
    <row r="216" spans="3:6" x14ac:dyDescent="0.3">
      <c r="C216" s="2"/>
      <c r="E216" s="2"/>
      <c r="F216" s="2"/>
    </row>
    <row r="217" spans="3:6" x14ac:dyDescent="0.3">
      <c r="C217" s="2"/>
      <c r="E217" s="2"/>
      <c r="F217" s="2"/>
    </row>
    <row r="218" spans="3:6" x14ac:dyDescent="0.3">
      <c r="C218" s="2"/>
      <c r="E218" s="2"/>
      <c r="F218" s="2"/>
    </row>
    <row r="219" spans="3:6" x14ac:dyDescent="0.3">
      <c r="C219" s="2"/>
      <c r="E219" s="2"/>
      <c r="F219" s="2"/>
    </row>
    <row r="220" spans="3:6" x14ac:dyDescent="0.3">
      <c r="C220" s="2"/>
      <c r="E220" s="2"/>
      <c r="F220" s="2"/>
    </row>
    <row r="221" spans="3:6" x14ac:dyDescent="0.3">
      <c r="C221" s="2"/>
      <c r="E221" s="2"/>
      <c r="F221" s="2"/>
    </row>
    <row r="222" spans="3:6" x14ac:dyDescent="0.3">
      <c r="C222" s="2"/>
      <c r="E222" s="2"/>
      <c r="F222" s="2"/>
    </row>
    <row r="223" spans="3:6" x14ac:dyDescent="0.3">
      <c r="C223" s="2"/>
      <c r="E223" s="2"/>
      <c r="F223" s="2"/>
    </row>
    <row r="224" spans="3:6" x14ac:dyDescent="0.3">
      <c r="C224" s="2"/>
      <c r="E224" s="2"/>
      <c r="F224" s="2"/>
    </row>
    <row r="225" spans="3:6" x14ac:dyDescent="0.3">
      <c r="C225" s="2"/>
      <c r="E225" s="2"/>
      <c r="F225" s="2"/>
    </row>
    <row r="226" spans="3:6" x14ac:dyDescent="0.3">
      <c r="C226" s="2"/>
      <c r="E226" s="2"/>
      <c r="F226" s="2"/>
    </row>
    <row r="227" spans="3:6" x14ac:dyDescent="0.3">
      <c r="C227" s="2"/>
      <c r="E227" s="2"/>
      <c r="F227" s="2"/>
    </row>
    <row r="228" spans="3:6" x14ac:dyDescent="0.3">
      <c r="C228" s="2"/>
      <c r="E228" s="2"/>
      <c r="F228" s="2"/>
    </row>
    <row r="229" spans="3:6" x14ac:dyDescent="0.3">
      <c r="C229" s="2"/>
      <c r="E229" s="2"/>
      <c r="F229" s="2"/>
    </row>
    <row r="230" spans="3:6" x14ac:dyDescent="0.3">
      <c r="C230" s="2"/>
      <c r="E230" s="2"/>
      <c r="F230" s="2"/>
    </row>
    <row r="231" spans="3:6" x14ac:dyDescent="0.3">
      <c r="C231" s="2"/>
      <c r="E231" s="2"/>
      <c r="F231" s="2"/>
    </row>
    <row r="232" spans="3:6" x14ac:dyDescent="0.3">
      <c r="C232" s="2"/>
      <c r="E232" s="2"/>
      <c r="F232" s="2"/>
    </row>
    <row r="233" spans="3:6" x14ac:dyDescent="0.3">
      <c r="C233" s="2"/>
      <c r="E233" s="2"/>
      <c r="F233" s="2"/>
    </row>
    <row r="234" spans="3:6" x14ac:dyDescent="0.3">
      <c r="C234" s="2"/>
      <c r="E234" s="2"/>
      <c r="F234" s="2"/>
    </row>
    <row r="235" spans="3:6" x14ac:dyDescent="0.3">
      <c r="C235" s="2"/>
      <c r="E235" s="2"/>
      <c r="F235" s="2"/>
    </row>
    <row r="236" spans="3:6" x14ac:dyDescent="0.3">
      <c r="C236" s="2"/>
      <c r="E236" s="2"/>
      <c r="F236" s="2"/>
    </row>
    <row r="237" spans="3:6" x14ac:dyDescent="0.3">
      <c r="C237" s="2"/>
      <c r="E237" s="2"/>
      <c r="F237" s="2"/>
    </row>
    <row r="238" spans="3:6" x14ac:dyDescent="0.3">
      <c r="C238" s="2"/>
      <c r="E238" s="2"/>
      <c r="F238" s="2"/>
    </row>
    <row r="239" spans="3:6" x14ac:dyDescent="0.3">
      <c r="C239" s="2"/>
      <c r="E239" s="2"/>
      <c r="F239" s="2"/>
    </row>
    <row r="240" spans="3:6" x14ac:dyDescent="0.3">
      <c r="C240" s="2"/>
      <c r="E240" s="2"/>
      <c r="F240" s="2"/>
    </row>
    <row r="241" spans="3:6" x14ac:dyDescent="0.3">
      <c r="C241" s="2"/>
      <c r="E241" s="2"/>
      <c r="F241" s="2"/>
    </row>
    <row r="242" spans="3:6" x14ac:dyDescent="0.3">
      <c r="C242" s="2"/>
      <c r="E242" s="2"/>
      <c r="F242" s="2"/>
    </row>
    <row r="243" spans="3:6" x14ac:dyDescent="0.3">
      <c r="C243" s="2"/>
      <c r="E243" s="2"/>
      <c r="F243" s="2"/>
    </row>
    <row r="244" spans="3:6" x14ac:dyDescent="0.3">
      <c r="C244" s="2"/>
      <c r="E244" s="2"/>
      <c r="F244" s="2"/>
    </row>
    <row r="245" spans="3:6" x14ac:dyDescent="0.3">
      <c r="C245" s="2"/>
      <c r="E245" s="2"/>
      <c r="F245" s="2"/>
    </row>
    <row r="246" spans="3:6" x14ac:dyDescent="0.3">
      <c r="C246" s="2"/>
      <c r="E246" s="2"/>
      <c r="F246" s="2"/>
    </row>
    <row r="247" spans="3:6" x14ac:dyDescent="0.3">
      <c r="C247" s="2"/>
      <c r="E247" s="2"/>
      <c r="F247" s="2"/>
    </row>
    <row r="248" spans="3:6" x14ac:dyDescent="0.3">
      <c r="C248" s="2"/>
      <c r="E248" s="2"/>
      <c r="F248" s="2"/>
    </row>
    <row r="249" spans="3:6" x14ac:dyDescent="0.3">
      <c r="C249" s="2"/>
      <c r="E249" s="2"/>
      <c r="F249" s="2"/>
    </row>
    <row r="250" spans="3:6" x14ac:dyDescent="0.3">
      <c r="C250" s="2"/>
      <c r="E250" s="2"/>
      <c r="F250" s="2"/>
    </row>
    <row r="251" spans="3:6" x14ac:dyDescent="0.3">
      <c r="C251" s="2"/>
      <c r="E251" s="2"/>
      <c r="F251" s="2"/>
    </row>
    <row r="252" spans="3:6" x14ac:dyDescent="0.3">
      <c r="C252" s="2"/>
      <c r="E252" s="2"/>
      <c r="F252" s="2"/>
    </row>
    <row r="253" spans="3:6" x14ac:dyDescent="0.3">
      <c r="C253" s="2"/>
      <c r="E253" s="2"/>
      <c r="F253" s="2"/>
    </row>
    <row r="254" spans="3:6" x14ac:dyDescent="0.3">
      <c r="C254" s="2"/>
      <c r="E254" s="2"/>
      <c r="F254" s="2"/>
    </row>
    <row r="255" spans="3:6" x14ac:dyDescent="0.3">
      <c r="C255" s="2"/>
      <c r="E255" s="2"/>
      <c r="F255" s="2"/>
    </row>
    <row r="256" spans="3:6" x14ac:dyDescent="0.3">
      <c r="C256" s="2"/>
      <c r="E256" s="2"/>
      <c r="F256" s="2"/>
    </row>
    <row r="257" spans="3:6" x14ac:dyDescent="0.3">
      <c r="C257" s="2"/>
      <c r="E257" s="2"/>
      <c r="F257" s="2"/>
    </row>
    <row r="258" spans="3:6" x14ac:dyDescent="0.3">
      <c r="C258" s="2"/>
      <c r="E258" s="2"/>
      <c r="F258" s="2"/>
    </row>
    <row r="259" spans="3:6" x14ac:dyDescent="0.3">
      <c r="C259" s="2"/>
      <c r="E259" s="2"/>
      <c r="F259" s="2"/>
    </row>
    <row r="260" spans="3:6" x14ac:dyDescent="0.3">
      <c r="C260" s="2"/>
      <c r="E260" s="2"/>
      <c r="F260" s="2"/>
    </row>
    <row r="261" spans="3:6" x14ac:dyDescent="0.3">
      <c r="C261" s="2"/>
      <c r="E261" s="2"/>
      <c r="F261" s="2"/>
    </row>
    <row r="262" spans="3:6" x14ac:dyDescent="0.3">
      <c r="C262" s="2"/>
      <c r="E262" s="2"/>
      <c r="F262" s="2"/>
    </row>
    <row r="263" spans="3:6" x14ac:dyDescent="0.3">
      <c r="C263" s="2"/>
      <c r="E263" s="2"/>
      <c r="F263" s="2"/>
    </row>
    <row r="264" spans="3:6" x14ac:dyDescent="0.3">
      <c r="C264" s="2"/>
      <c r="E264" s="2"/>
      <c r="F264" s="2"/>
    </row>
    <row r="265" spans="3:6" x14ac:dyDescent="0.3">
      <c r="C265" s="2"/>
      <c r="E265" s="2"/>
      <c r="F265" s="2"/>
    </row>
    <row r="266" spans="3:6" x14ac:dyDescent="0.3">
      <c r="C266" s="2"/>
      <c r="E266" s="2"/>
      <c r="F266" s="2"/>
    </row>
    <row r="267" spans="3:6" x14ac:dyDescent="0.3">
      <c r="C267" s="2"/>
      <c r="E267" s="2"/>
      <c r="F267" s="2"/>
    </row>
    <row r="268" spans="3:6" x14ac:dyDescent="0.3">
      <c r="C268" s="2"/>
      <c r="E268" s="2"/>
      <c r="F268" s="2"/>
    </row>
    <row r="269" spans="3:6" x14ac:dyDescent="0.3">
      <c r="C269" s="2"/>
      <c r="E269" s="2"/>
      <c r="F269" s="2"/>
    </row>
    <row r="270" spans="3:6" x14ac:dyDescent="0.3">
      <c r="C270" s="2"/>
      <c r="E270" s="2"/>
      <c r="F270" s="2"/>
    </row>
    <row r="271" spans="3:6" x14ac:dyDescent="0.3">
      <c r="C271" s="2"/>
      <c r="E271" s="2"/>
      <c r="F271" s="2"/>
    </row>
    <row r="272" spans="3:6" x14ac:dyDescent="0.3">
      <c r="C272" s="2"/>
      <c r="E272" s="2"/>
      <c r="F272" s="2"/>
    </row>
    <row r="273" spans="3:6" x14ac:dyDescent="0.3">
      <c r="C273" s="2"/>
      <c r="E273" s="2"/>
      <c r="F273" s="2"/>
    </row>
    <row r="274" spans="3:6" x14ac:dyDescent="0.3">
      <c r="C274" s="2"/>
      <c r="E274" s="2"/>
      <c r="F274" s="2"/>
    </row>
    <row r="275" spans="3:6" x14ac:dyDescent="0.3">
      <c r="C275" s="2"/>
      <c r="E275" s="2"/>
      <c r="F275" s="2"/>
    </row>
    <row r="276" spans="3:6" x14ac:dyDescent="0.3">
      <c r="C276" s="2"/>
      <c r="E276" s="2"/>
      <c r="F276" s="2"/>
    </row>
    <row r="277" spans="3:6" x14ac:dyDescent="0.3">
      <c r="C277" s="2"/>
      <c r="E277" s="2"/>
      <c r="F277" s="2"/>
    </row>
    <row r="278" spans="3:6" x14ac:dyDescent="0.3">
      <c r="C278" s="2"/>
      <c r="E278" s="2"/>
      <c r="F278" s="2"/>
    </row>
    <row r="279" spans="3:6" x14ac:dyDescent="0.3">
      <c r="C279" s="2"/>
      <c r="E279" s="2"/>
      <c r="F279" s="2"/>
    </row>
    <row r="280" spans="3:6" x14ac:dyDescent="0.3">
      <c r="C280" s="2"/>
      <c r="E280" s="2"/>
      <c r="F280" s="2"/>
    </row>
    <row r="281" spans="3:6" x14ac:dyDescent="0.3">
      <c r="C281" s="2"/>
      <c r="E281" s="2"/>
      <c r="F281" s="2"/>
    </row>
    <row r="282" spans="3:6" x14ac:dyDescent="0.3">
      <c r="C282" s="2"/>
      <c r="E282" s="2"/>
      <c r="F282" s="2"/>
    </row>
    <row r="283" spans="3:6" x14ac:dyDescent="0.3">
      <c r="C283" s="2"/>
      <c r="E283" s="2"/>
      <c r="F283" s="2"/>
    </row>
    <row r="284" spans="3:6" x14ac:dyDescent="0.3">
      <c r="C284" s="2"/>
      <c r="E284" s="2"/>
      <c r="F284" s="2"/>
    </row>
    <row r="285" spans="3:6" x14ac:dyDescent="0.3">
      <c r="C285" s="2"/>
      <c r="E285" s="2"/>
      <c r="F285" s="2"/>
    </row>
    <row r="286" spans="3:6" x14ac:dyDescent="0.3">
      <c r="C286" s="2"/>
      <c r="E286" s="2"/>
      <c r="F286" s="2"/>
    </row>
    <row r="287" spans="3:6" x14ac:dyDescent="0.3">
      <c r="C287" s="2"/>
      <c r="E287" s="2"/>
      <c r="F287" s="2"/>
    </row>
    <row r="288" spans="3:6" x14ac:dyDescent="0.3">
      <c r="C288" s="2"/>
      <c r="E288" s="2"/>
      <c r="F288" s="2"/>
    </row>
    <row r="289" spans="3:6" x14ac:dyDescent="0.3">
      <c r="C289" s="2"/>
      <c r="E289" s="2"/>
      <c r="F289" s="2"/>
    </row>
    <row r="290" spans="3:6" x14ac:dyDescent="0.3">
      <c r="C290" s="2"/>
      <c r="E290" s="2"/>
      <c r="F290" s="2"/>
    </row>
    <row r="291" spans="3:6" x14ac:dyDescent="0.3">
      <c r="C291" s="2"/>
      <c r="E291" s="2"/>
      <c r="F291" s="2"/>
    </row>
    <row r="292" spans="3:6" x14ac:dyDescent="0.3">
      <c r="C292" s="2"/>
      <c r="E292" s="2"/>
      <c r="F292" s="2"/>
    </row>
    <row r="293" spans="3:6" x14ac:dyDescent="0.3">
      <c r="C293" s="2"/>
      <c r="E293" s="2"/>
      <c r="F293" s="2"/>
    </row>
    <row r="294" spans="3:6" x14ac:dyDescent="0.3">
      <c r="C294" s="2"/>
      <c r="E294" s="2"/>
      <c r="F294" s="2"/>
    </row>
    <row r="295" spans="3:6" x14ac:dyDescent="0.3">
      <c r="C295" s="2"/>
      <c r="E295" s="2"/>
      <c r="F295" s="2"/>
    </row>
    <row r="296" spans="3:6" x14ac:dyDescent="0.3">
      <c r="C296" s="2"/>
      <c r="E296" s="2"/>
      <c r="F296" s="2"/>
    </row>
    <row r="297" spans="3:6" x14ac:dyDescent="0.3">
      <c r="C297" s="2"/>
      <c r="E297" s="2"/>
      <c r="F297" s="2"/>
    </row>
    <row r="298" spans="3:6" x14ac:dyDescent="0.3">
      <c r="C298" s="2"/>
      <c r="E298" s="2"/>
      <c r="F298" s="2"/>
    </row>
    <row r="299" spans="3:6" x14ac:dyDescent="0.3">
      <c r="C299" s="2"/>
      <c r="E299" s="2"/>
      <c r="F299" s="2"/>
    </row>
    <row r="300" spans="3:6" x14ac:dyDescent="0.3">
      <c r="C300" s="2"/>
      <c r="E300" s="2"/>
      <c r="F300" s="2"/>
    </row>
    <row r="301" spans="3:6" x14ac:dyDescent="0.3">
      <c r="C301" s="2"/>
      <c r="E301" s="2"/>
      <c r="F301" s="2"/>
    </row>
    <row r="302" spans="3:6" x14ac:dyDescent="0.3">
      <c r="C302" s="2"/>
      <c r="E302" s="2"/>
      <c r="F302" s="2"/>
    </row>
    <row r="303" spans="3:6" x14ac:dyDescent="0.3">
      <c r="C303" s="2"/>
      <c r="E303" s="2"/>
      <c r="F303" s="2"/>
    </row>
    <row r="304" spans="3:6" x14ac:dyDescent="0.3">
      <c r="C304" s="2"/>
      <c r="E304" s="2"/>
      <c r="F304" s="2"/>
    </row>
    <row r="305" spans="3:6" x14ac:dyDescent="0.3">
      <c r="C305" s="2"/>
      <c r="E305" s="2"/>
      <c r="F305" s="2"/>
    </row>
    <row r="306" spans="3:6" x14ac:dyDescent="0.3">
      <c r="C306" s="2"/>
      <c r="E306" s="2"/>
      <c r="F306" s="2"/>
    </row>
    <row r="307" spans="3:6" x14ac:dyDescent="0.3">
      <c r="C307" s="2"/>
      <c r="E307" s="2"/>
      <c r="F307" s="2"/>
    </row>
    <row r="308" spans="3:6" x14ac:dyDescent="0.3">
      <c r="C308" s="2"/>
      <c r="E308" s="2"/>
      <c r="F308" s="2"/>
    </row>
    <row r="309" spans="3:6" x14ac:dyDescent="0.3">
      <c r="C309" s="2"/>
      <c r="E309" s="2"/>
      <c r="F309" s="2"/>
    </row>
    <row r="310" spans="3:6" x14ac:dyDescent="0.3">
      <c r="C310" s="2"/>
      <c r="E310" s="2"/>
      <c r="F310" s="2"/>
    </row>
    <row r="311" spans="3:6" x14ac:dyDescent="0.3">
      <c r="C311" s="2"/>
      <c r="E311" s="2"/>
      <c r="F311" s="2"/>
    </row>
    <row r="312" spans="3:6" x14ac:dyDescent="0.3">
      <c r="C312" s="2"/>
      <c r="E312" s="2"/>
      <c r="F312" s="2"/>
    </row>
    <row r="313" spans="3:6" x14ac:dyDescent="0.3">
      <c r="C313" s="2"/>
      <c r="E313" s="2"/>
      <c r="F313" s="2"/>
    </row>
    <row r="314" spans="3:6" x14ac:dyDescent="0.3">
      <c r="C314" s="2"/>
      <c r="E314" s="2"/>
      <c r="F314" s="2"/>
    </row>
    <row r="315" spans="3:6" x14ac:dyDescent="0.3">
      <c r="C315" s="2"/>
      <c r="E315" s="2"/>
      <c r="F315" s="2"/>
    </row>
    <row r="316" spans="3:6" x14ac:dyDescent="0.3">
      <c r="C316" s="2"/>
      <c r="E316" s="2"/>
      <c r="F316" s="2"/>
    </row>
    <row r="317" spans="3:6" x14ac:dyDescent="0.3">
      <c r="C317" s="2"/>
      <c r="E317" s="2"/>
      <c r="F317" s="2"/>
    </row>
    <row r="318" spans="3:6" x14ac:dyDescent="0.3">
      <c r="C318" s="2"/>
      <c r="E318" s="2"/>
      <c r="F318" s="2"/>
    </row>
    <row r="319" spans="3:6" x14ac:dyDescent="0.3">
      <c r="C319" s="2"/>
      <c r="E319" s="2"/>
      <c r="F319" s="2"/>
    </row>
    <row r="320" spans="3:6" x14ac:dyDescent="0.3">
      <c r="C320" s="2"/>
      <c r="E320" s="2"/>
      <c r="F320" s="2"/>
    </row>
    <row r="321" spans="3:6" x14ac:dyDescent="0.3">
      <c r="C321" s="2"/>
      <c r="E321" s="2"/>
      <c r="F321" s="2"/>
    </row>
    <row r="322" spans="3:6" x14ac:dyDescent="0.3">
      <c r="C322" s="2"/>
      <c r="E322" s="2"/>
      <c r="F322" s="2"/>
    </row>
    <row r="323" spans="3:6" x14ac:dyDescent="0.3">
      <c r="C323" s="2"/>
      <c r="E323" s="2"/>
      <c r="F323" s="2"/>
    </row>
    <row r="324" spans="3:6" x14ac:dyDescent="0.3">
      <c r="C324" s="2"/>
      <c r="E324" s="2"/>
      <c r="F324" s="2"/>
    </row>
    <row r="325" spans="3:6" x14ac:dyDescent="0.3">
      <c r="C325" s="2"/>
      <c r="E325" s="2"/>
      <c r="F325" s="2"/>
    </row>
    <row r="326" spans="3:6" x14ac:dyDescent="0.3">
      <c r="C326" s="2"/>
      <c r="E326" s="2"/>
      <c r="F326" s="2"/>
    </row>
    <row r="327" spans="3:6" x14ac:dyDescent="0.3">
      <c r="C327" s="2"/>
      <c r="E327" s="2"/>
      <c r="F327" s="2"/>
    </row>
    <row r="328" spans="3:6" x14ac:dyDescent="0.3">
      <c r="C328" s="2"/>
      <c r="E328" s="2"/>
      <c r="F328" s="2"/>
    </row>
    <row r="329" spans="3:6" x14ac:dyDescent="0.3">
      <c r="C329" s="2"/>
      <c r="E329" s="2"/>
      <c r="F329" s="2"/>
    </row>
    <row r="330" spans="3:6" x14ac:dyDescent="0.3">
      <c r="C330" s="2"/>
      <c r="E330" s="2"/>
      <c r="F330" s="2"/>
    </row>
    <row r="331" spans="3:6" x14ac:dyDescent="0.3">
      <c r="C331" s="2"/>
      <c r="E331" s="2"/>
      <c r="F331" s="2"/>
    </row>
    <row r="332" spans="3:6" x14ac:dyDescent="0.3">
      <c r="C332" s="2"/>
      <c r="E332" s="2"/>
      <c r="F332" s="2"/>
    </row>
    <row r="333" spans="3:6" x14ac:dyDescent="0.3">
      <c r="C333" s="2"/>
      <c r="E333" s="2"/>
      <c r="F333" s="2"/>
    </row>
    <row r="334" spans="3:6" x14ac:dyDescent="0.3">
      <c r="C334" s="2"/>
      <c r="E334" s="2"/>
      <c r="F334" s="2"/>
    </row>
    <row r="335" spans="3:6" x14ac:dyDescent="0.3">
      <c r="C335" s="2"/>
      <c r="E335" s="2"/>
      <c r="F335" s="2"/>
    </row>
    <row r="336" spans="3:6" x14ac:dyDescent="0.3">
      <c r="C336" s="2"/>
      <c r="E336" s="2"/>
      <c r="F336" s="2"/>
    </row>
    <row r="337" spans="3:6" x14ac:dyDescent="0.3">
      <c r="C337" s="2"/>
      <c r="E337" s="2"/>
      <c r="F337" s="2"/>
    </row>
    <row r="338" spans="3:6" x14ac:dyDescent="0.3">
      <c r="C338" s="2"/>
      <c r="E338" s="2"/>
      <c r="F338" s="2"/>
    </row>
    <row r="339" spans="3:6" x14ac:dyDescent="0.3">
      <c r="C339" s="2"/>
      <c r="E339" s="2"/>
      <c r="F339" s="2"/>
    </row>
    <row r="340" spans="3:6" x14ac:dyDescent="0.3">
      <c r="C340" s="2"/>
      <c r="E340" s="2"/>
      <c r="F340" s="2"/>
    </row>
    <row r="341" spans="3:6" x14ac:dyDescent="0.3">
      <c r="C341" s="2"/>
      <c r="E341" s="2"/>
      <c r="F341" s="2"/>
    </row>
    <row r="342" spans="3:6" x14ac:dyDescent="0.3">
      <c r="C342" s="2"/>
      <c r="E342" s="2"/>
      <c r="F342" s="2"/>
    </row>
    <row r="343" spans="3:6" x14ac:dyDescent="0.3">
      <c r="C343" s="2"/>
      <c r="E343" s="2"/>
      <c r="F343" s="2"/>
    </row>
    <row r="344" spans="3:6" x14ac:dyDescent="0.3">
      <c r="C344" s="2"/>
      <c r="E344" s="2"/>
      <c r="F344" s="2"/>
    </row>
    <row r="345" spans="3:6" x14ac:dyDescent="0.3">
      <c r="C345" s="2"/>
      <c r="E345" s="2"/>
      <c r="F345" s="2"/>
    </row>
    <row r="346" spans="3:6" x14ac:dyDescent="0.3">
      <c r="C346" s="2"/>
      <c r="E346" s="2"/>
      <c r="F346" s="2"/>
    </row>
    <row r="347" spans="3:6" x14ac:dyDescent="0.3">
      <c r="C347" s="2"/>
      <c r="E347" s="2"/>
      <c r="F347" s="2"/>
    </row>
    <row r="348" spans="3:6" x14ac:dyDescent="0.3">
      <c r="C348" s="2"/>
      <c r="E348" s="2"/>
      <c r="F348" s="2"/>
    </row>
    <row r="349" spans="3:6" x14ac:dyDescent="0.3">
      <c r="C349" s="2"/>
      <c r="E349" s="2"/>
      <c r="F349" s="2"/>
    </row>
    <row r="350" spans="3:6" x14ac:dyDescent="0.3">
      <c r="C350" s="2"/>
      <c r="E350" s="2"/>
      <c r="F350" s="2"/>
    </row>
    <row r="351" spans="3:6" x14ac:dyDescent="0.3">
      <c r="C351" s="2"/>
      <c r="E351" s="2"/>
      <c r="F351" s="2"/>
    </row>
    <row r="352" spans="3:6" x14ac:dyDescent="0.3">
      <c r="C352" s="2"/>
      <c r="E352" s="2"/>
      <c r="F352" s="2"/>
    </row>
    <row r="353" spans="3:6" x14ac:dyDescent="0.3">
      <c r="C353" s="2"/>
      <c r="E353" s="2"/>
      <c r="F353" s="2"/>
    </row>
    <row r="354" spans="3:6" x14ac:dyDescent="0.3">
      <c r="C354" s="2"/>
      <c r="E354" s="2"/>
      <c r="F354" s="2"/>
    </row>
    <row r="355" spans="3:6" x14ac:dyDescent="0.3">
      <c r="C355" s="2"/>
      <c r="E355" s="2"/>
      <c r="F355" s="2"/>
    </row>
    <row r="356" spans="3:6" x14ac:dyDescent="0.3">
      <c r="C356" s="2"/>
      <c r="E356" s="2"/>
      <c r="F356" s="2"/>
    </row>
    <row r="357" spans="3:6" x14ac:dyDescent="0.3">
      <c r="C357" s="2"/>
      <c r="E357" s="2"/>
      <c r="F357" s="2"/>
    </row>
    <row r="358" spans="3:6" x14ac:dyDescent="0.3">
      <c r="C358" s="2"/>
      <c r="E358" s="2"/>
      <c r="F358" s="2"/>
    </row>
    <row r="359" spans="3:6" x14ac:dyDescent="0.3">
      <c r="C359" s="2"/>
      <c r="E359" s="2"/>
      <c r="F359" s="2"/>
    </row>
    <row r="360" spans="3:6" x14ac:dyDescent="0.3">
      <c r="C360" s="2"/>
      <c r="E360" s="2"/>
      <c r="F360" s="2"/>
    </row>
    <row r="361" spans="3:6" x14ac:dyDescent="0.3">
      <c r="C361" s="2"/>
      <c r="E361" s="2"/>
      <c r="F361" s="2"/>
    </row>
    <row r="362" spans="3:6" x14ac:dyDescent="0.3">
      <c r="C362" s="2"/>
      <c r="E362" s="2"/>
      <c r="F362" s="2"/>
    </row>
    <row r="363" spans="3:6" x14ac:dyDescent="0.3">
      <c r="C363" s="2"/>
      <c r="E363" s="2"/>
      <c r="F363" s="2"/>
    </row>
    <row r="364" spans="3:6" x14ac:dyDescent="0.3">
      <c r="C364" s="2"/>
      <c r="E364" s="2"/>
      <c r="F364" s="2"/>
    </row>
    <row r="365" spans="3:6" x14ac:dyDescent="0.3">
      <c r="C365" s="2"/>
      <c r="E365" s="2"/>
      <c r="F365" s="2"/>
    </row>
    <row r="366" spans="3:6" x14ac:dyDescent="0.3">
      <c r="C366" s="2"/>
      <c r="E366" s="2"/>
      <c r="F366" s="2"/>
    </row>
    <row r="367" spans="3:6" x14ac:dyDescent="0.3">
      <c r="C367" s="2"/>
      <c r="E367" s="2"/>
      <c r="F367" s="2"/>
    </row>
    <row r="368" spans="3:6" x14ac:dyDescent="0.3">
      <c r="C368" s="2"/>
      <c r="E368" s="2"/>
      <c r="F368" s="2"/>
    </row>
    <row r="369" spans="3:6" x14ac:dyDescent="0.3">
      <c r="C369" s="2"/>
      <c r="E369" s="2"/>
      <c r="F369" s="2"/>
    </row>
    <row r="370" spans="3:6" x14ac:dyDescent="0.3">
      <c r="C370" s="2"/>
      <c r="E370" s="2"/>
      <c r="F370" s="2"/>
    </row>
    <row r="371" spans="3:6" x14ac:dyDescent="0.3">
      <c r="C371" s="2"/>
      <c r="E371" s="2"/>
      <c r="F371" s="2"/>
    </row>
    <row r="372" spans="3:6" x14ac:dyDescent="0.3">
      <c r="C372" s="2"/>
      <c r="E372" s="2"/>
      <c r="F372" s="2"/>
    </row>
    <row r="373" spans="3:6" x14ac:dyDescent="0.3">
      <c r="C373" s="2"/>
      <c r="E373" s="2"/>
      <c r="F373" s="2"/>
    </row>
    <row r="374" spans="3:6" x14ac:dyDescent="0.3">
      <c r="C374" s="2"/>
      <c r="E374" s="2"/>
      <c r="F374" s="2"/>
    </row>
    <row r="375" spans="3:6" x14ac:dyDescent="0.3">
      <c r="C375" s="2"/>
      <c r="E375" s="2"/>
      <c r="F375" s="2"/>
    </row>
    <row r="376" spans="3:6" x14ac:dyDescent="0.3">
      <c r="C376" s="2"/>
      <c r="E376" s="2"/>
      <c r="F376" s="2"/>
    </row>
    <row r="377" spans="3:6" x14ac:dyDescent="0.3">
      <c r="C377" s="2"/>
      <c r="E377" s="2"/>
      <c r="F377" s="2"/>
    </row>
    <row r="378" spans="3:6" x14ac:dyDescent="0.3">
      <c r="C378" s="2"/>
      <c r="E378" s="2"/>
      <c r="F378" s="2"/>
    </row>
    <row r="379" spans="3:6" x14ac:dyDescent="0.3">
      <c r="C379" s="2"/>
      <c r="E379" s="2"/>
      <c r="F379" s="2"/>
    </row>
    <row r="380" spans="3:6" x14ac:dyDescent="0.3">
      <c r="C380" s="2"/>
      <c r="E380" s="2"/>
      <c r="F380" s="2"/>
    </row>
    <row r="381" spans="3:6" x14ac:dyDescent="0.3">
      <c r="C381" s="2"/>
      <c r="E381" s="2"/>
      <c r="F381" s="2"/>
    </row>
    <row r="382" spans="3:6" x14ac:dyDescent="0.3">
      <c r="C382" s="2"/>
      <c r="E382" s="2"/>
      <c r="F382" s="2"/>
    </row>
    <row r="383" spans="3:6" x14ac:dyDescent="0.3">
      <c r="C383" s="2"/>
      <c r="E383" s="2"/>
      <c r="F383" s="2"/>
    </row>
    <row r="384" spans="3:6" x14ac:dyDescent="0.3">
      <c r="C384" s="2"/>
      <c r="E384" s="2"/>
      <c r="F384" s="2"/>
    </row>
    <row r="385" spans="3:6" x14ac:dyDescent="0.3">
      <c r="C385" s="2"/>
      <c r="E385" s="2"/>
      <c r="F385" s="2"/>
    </row>
    <row r="386" spans="3:6" x14ac:dyDescent="0.3">
      <c r="C386" s="2"/>
      <c r="E386" s="2"/>
      <c r="F386" s="2"/>
    </row>
    <row r="387" spans="3:6" x14ac:dyDescent="0.3">
      <c r="C387" s="2"/>
      <c r="E387" s="2"/>
      <c r="F387" s="2"/>
    </row>
    <row r="388" spans="3:6" x14ac:dyDescent="0.3">
      <c r="C388" s="2"/>
      <c r="E388" s="2"/>
      <c r="F388" s="2"/>
    </row>
    <row r="389" spans="3:6" x14ac:dyDescent="0.3">
      <c r="C389" s="2"/>
      <c r="E389" s="2"/>
      <c r="F389" s="2"/>
    </row>
    <row r="390" spans="3:6" x14ac:dyDescent="0.3">
      <c r="C390" s="2"/>
      <c r="E390" s="2"/>
      <c r="F390" s="2"/>
    </row>
    <row r="391" spans="3:6" x14ac:dyDescent="0.3">
      <c r="C391" s="2"/>
      <c r="E391" s="2"/>
      <c r="F391" s="2"/>
    </row>
    <row r="392" spans="3:6" x14ac:dyDescent="0.3">
      <c r="C392" s="2"/>
      <c r="E392" s="2"/>
      <c r="F392" s="2"/>
    </row>
    <row r="393" spans="3:6" x14ac:dyDescent="0.3">
      <c r="C393" s="2"/>
      <c r="E393" s="2"/>
      <c r="F393" s="2"/>
    </row>
    <row r="394" spans="3:6" x14ac:dyDescent="0.3">
      <c r="C394" s="2"/>
      <c r="E394" s="2"/>
      <c r="F394" s="2"/>
    </row>
    <row r="395" spans="3:6" x14ac:dyDescent="0.3">
      <c r="C395" s="2"/>
      <c r="E395" s="2"/>
      <c r="F395" s="2"/>
    </row>
    <row r="396" spans="3:6" x14ac:dyDescent="0.3">
      <c r="C396" s="2"/>
      <c r="E396" s="2"/>
      <c r="F396" s="2"/>
    </row>
    <row r="397" spans="3:6" x14ac:dyDescent="0.3">
      <c r="C397" s="2"/>
      <c r="E397" s="2"/>
      <c r="F397" s="2"/>
    </row>
    <row r="398" spans="3:6" x14ac:dyDescent="0.3">
      <c r="C398" s="2"/>
      <c r="E398" s="2"/>
      <c r="F398" s="2"/>
    </row>
    <row r="399" spans="3:6" x14ac:dyDescent="0.3">
      <c r="C399" s="2"/>
      <c r="E399" s="2"/>
      <c r="F399" s="2"/>
    </row>
    <row r="400" spans="3:6" x14ac:dyDescent="0.3">
      <c r="C400" s="2"/>
      <c r="E400" s="2"/>
      <c r="F400" s="2"/>
    </row>
    <row r="401" spans="3:6" x14ac:dyDescent="0.3">
      <c r="C401" s="2"/>
      <c r="E401" s="2"/>
      <c r="F401" s="2"/>
    </row>
    <row r="402" spans="3:6" x14ac:dyDescent="0.3">
      <c r="C402" s="2"/>
      <c r="E402" s="2"/>
      <c r="F402" s="2"/>
    </row>
    <row r="403" spans="3:6" x14ac:dyDescent="0.3">
      <c r="C403" s="2"/>
      <c r="E403" s="2"/>
      <c r="F403" s="2"/>
    </row>
    <row r="404" spans="3:6" x14ac:dyDescent="0.3">
      <c r="C404" s="2"/>
      <c r="E404" s="2"/>
      <c r="F404" s="2"/>
    </row>
    <row r="405" spans="3:6" x14ac:dyDescent="0.3">
      <c r="C405" s="2"/>
      <c r="E405" s="2"/>
      <c r="F405" s="2"/>
    </row>
    <row r="406" spans="3:6" x14ac:dyDescent="0.3">
      <c r="C406" s="2"/>
      <c r="E406" s="2"/>
      <c r="F406" s="2"/>
    </row>
    <row r="407" spans="3:6" x14ac:dyDescent="0.3">
      <c r="C407" s="2"/>
      <c r="E407" s="2"/>
      <c r="F407" s="2"/>
    </row>
    <row r="408" spans="3:6" x14ac:dyDescent="0.3">
      <c r="C408" s="2"/>
      <c r="E408" s="2"/>
      <c r="F408" s="2"/>
    </row>
    <row r="409" spans="3:6" x14ac:dyDescent="0.3">
      <c r="C409" s="2"/>
      <c r="E409" s="2"/>
      <c r="F409" s="2"/>
    </row>
    <row r="410" spans="3:6" x14ac:dyDescent="0.3">
      <c r="C410" s="2"/>
      <c r="E410" s="2"/>
      <c r="F410" s="2"/>
    </row>
    <row r="411" spans="3:6" x14ac:dyDescent="0.3">
      <c r="C411" s="2"/>
      <c r="E411" s="2"/>
      <c r="F411" s="2"/>
    </row>
    <row r="412" spans="3:6" x14ac:dyDescent="0.3">
      <c r="C412" s="2"/>
      <c r="E412" s="2"/>
      <c r="F412" s="2"/>
    </row>
    <row r="413" spans="3:6" x14ac:dyDescent="0.3">
      <c r="C413" s="2"/>
      <c r="E413" s="2"/>
      <c r="F413" s="2"/>
    </row>
    <row r="414" spans="3:6" x14ac:dyDescent="0.3">
      <c r="C414" s="2"/>
      <c r="E414" s="2"/>
      <c r="F414" s="2"/>
    </row>
    <row r="415" spans="3:6" x14ac:dyDescent="0.3">
      <c r="C415" s="2"/>
      <c r="E415" s="2"/>
      <c r="F415" s="2"/>
    </row>
    <row r="416" spans="3:6" x14ac:dyDescent="0.3">
      <c r="C416" s="2"/>
      <c r="E416" s="2"/>
      <c r="F416" s="2"/>
    </row>
    <row r="417" spans="3:6" x14ac:dyDescent="0.3">
      <c r="C417" s="2"/>
      <c r="E417" s="2"/>
      <c r="F417" s="2"/>
    </row>
    <row r="418" spans="3:6" x14ac:dyDescent="0.3">
      <c r="C418" s="2"/>
      <c r="E418" s="2"/>
      <c r="F418" s="2"/>
    </row>
    <row r="419" spans="3:6" x14ac:dyDescent="0.3">
      <c r="C419" s="2"/>
      <c r="E419" s="2"/>
      <c r="F419" s="2"/>
    </row>
    <row r="420" spans="3:6" x14ac:dyDescent="0.3">
      <c r="C420" s="2"/>
      <c r="E420" s="2"/>
      <c r="F420" s="2"/>
    </row>
    <row r="421" spans="3:6" x14ac:dyDescent="0.3">
      <c r="C421" s="2"/>
      <c r="E421" s="2"/>
      <c r="F421" s="2"/>
    </row>
    <row r="422" spans="3:6" x14ac:dyDescent="0.3">
      <c r="C422" s="2"/>
      <c r="E422" s="2"/>
      <c r="F422" s="2"/>
    </row>
    <row r="423" spans="3:6" x14ac:dyDescent="0.3">
      <c r="C423" s="2"/>
      <c r="E423" s="2"/>
      <c r="F423" s="2"/>
    </row>
    <row r="424" spans="3:6" x14ac:dyDescent="0.3">
      <c r="C424" s="2"/>
      <c r="E424" s="2"/>
      <c r="F424" s="2"/>
    </row>
    <row r="425" spans="3:6" x14ac:dyDescent="0.3">
      <c r="C425" s="2"/>
      <c r="E425" s="2"/>
      <c r="F425" s="2"/>
    </row>
    <row r="426" spans="3:6" x14ac:dyDescent="0.3">
      <c r="C426" s="2"/>
      <c r="E426" s="2"/>
      <c r="F426" s="2"/>
    </row>
    <row r="427" spans="3:6" x14ac:dyDescent="0.3">
      <c r="C427" s="2"/>
      <c r="E427" s="2"/>
      <c r="F427" s="2"/>
    </row>
    <row r="428" spans="3:6" x14ac:dyDescent="0.3">
      <c r="C428" s="2"/>
      <c r="E428" s="2"/>
      <c r="F428" s="2"/>
    </row>
    <row r="429" spans="3:6" x14ac:dyDescent="0.3">
      <c r="C429" s="2"/>
      <c r="E429" s="2"/>
      <c r="F429" s="2"/>
    </row>
    <row r="430" spans="3:6" x14ac:dyDescent="0.3">
      <c r="C430" s="2"/>
      <c r="E430" s="2"/>
      <c r="F430" s="2"/>
    </row>
    <row r="431" spans="3:6" x14ac:dyDescent="0.3">
      <c r="C431" s="2"/>
      <c r="E431" s="2"/>
      <c r="F431" s="2"/>
    </row>
    <row r="432" spans="3:6" x14ac:dyDescent="0.3">
      <c r="C432" s="2"/>
      <c r="E432" s="2"/>
      <c r="F432" s="2"/>
    </row>
    <row r="433" spans="3:6" x14ac:dyDescent="0.3">
      <c r="C433" s="2"/>
      <c r="E433" s="2"/>
      <c r="F433" s="2"/>
    </row>
    <row r="434" spans="3:6" x14ac:dyDescent="0.3">
      <c r="C434" s="2"/>
      <c r="E434" s="2"/>
      <c r="F434" s="2"/>
    </row>
    <row r="435" spans="3:6" x14ac:dyDescent="0.3">
      <c r="C435" s="2"/>
      <c r="E435" s="2"/>
      <c r="F435" s="2"/>
    </row>
    <row r="436" spans="3:6" x14ac:dyDescent="0.3">
      <c r="C436" s="2"/>
      <c r="E436" s="2"/>
      <c r="F436" s="2"/>
    </row>
    <row r="437" spans="3:6" x14ac:dyDescent="0.3">
      <c r="C437" s="2"/>
      <c r="E437" s="2"/>
      <c r="F437" s="2"/>
    </row>
    <row r="438" spans="3:6" x14ac:dyDescent="0.3">
      <c r="C438" s="2"/>
      <c r="E438" s="2"/>
      <c r="F438" s="2"/>
    </row>
    <row r="439" spans="3:6" x14ac:dyDescent="0.3">
      <c r="C439" s="2"/>
      <c r="E439" s="2"/>
      <c r="F439" s="2"/>
    </row>
    <row r="440" spans="3:6" x14ac:dyDescent="0.3">
      <c r="C440" s="2"/>
      <c r="E440" s="2"/>
      <c r="F440" s="2"/>
    </row>
    <row r="441" spans="3:6" x14ac:dyDescent="0.3">
      <c r="C441" s="2"/>
      <c r="E441" s="2"/>
      <c r="F441" s="2"/>
    </row>
    <row r="442" spans="3:6" x14ac:dyDescent="0.3">
      <c r="C442" s="2"/>
      <c r="E442" s="2"/>
      <c r="F442" s="2"/>
    </row>
    <row r="443" spans="3:6" x14ac:dyDescent="0.3">
      <c r="C443" s="2"/>
      <c r="E443" s="2"/>
      <c r="F443" s="2"/>
    </row>
    <row r="444" spans="3:6" x14ac:dyDescent="0.3">
      <c r="C444" s="2"/>
      <c r="E444" s="2"/>
      <c r="F444" s="2"/>
    </row>
    <row r="445" spans="3:6" x14ac:dyDescent="0.3">
      <c r="C445" s="2"/>
      <c r="E445" s="2"/>
      <c r="F445" s="2"/>
    </row>
    <row r="446" spans="3:6" x14ac:dyDescent="0.3">
      <c r="C446" s="2"/>
      <c r="E446" s="2"/>
      <c r="F446" s="2"/>
    </row>
    <row r="447" spans="3:6" x14ac:dyDescent="0.3">
      <c r="C447" s="2"/>
      <c r="E447" s="2"/>
      <c r="F447" s="2"/>
    </row>
    <row r="448" spans="3:6" x14ac:dyDescent="0.3">
      <c r="C448" s="2"/>
      <c r="E448" s="2"/>
      <c r="F448" s="2"/>
    </row>
    <row r="449" spans="3:6" x14ac:dyDescent="0.3">
      <c r="C449" s="2"/>
      <c r="E449" s="2"/>
      <c r="F449" s="2"/>
    </row>
    <row r="450" spans="3:6" x14ac:dyDescent="0.3">
      <c r="C450" s="2"/>
      <c r="E450" s="2"/>
      <c r="F450" s="2"/>
    </row>
    <row r="451" spans="3:6" x14ac:dyDescent="0.3">
      <c r="C451" s="2"/>
      <c r="E451" s="2"/>
      <c r="F451" s="2"/>
    </row>
    <row r="452" spans="3:6" x14ac:dyDescent="0.3">
      <c r="C452" s="2"/>
      <c r="E452" s="2"/>
      <c r="F452" s="2"/>
    </row>
    <row r="453" spans="3:6" x14ac:dyDescent="0.3">
      <c r="C453" s="2"/>
      <c r="E453" s="2"/>
      <c r="F453" s="2"/>
    </row>
    <row r="454" spans="3:6" x14ac:dyDescent="0.3">
      <c r="C454" s="2"/>
      <c r="E454" s="2"/>
      <c r="F454" s="2"/>
    </row>
    <row r="455" spans="3:6" x14ac:dyDescent="0.3">
      <c r="C455" s="2"/>
      <c r="E455" s="2"/>
      <c r="F455" s="2"/>
    </row>
    <row r="456" spans="3:6" x14ac:dyDescent="0.3">
      <c r="C456" s="2"/>
      <c r="E456" s="2"/>
      <c r="F456" s="2"/>
    </row>
    <row r="457" spans="3:6" x14ac:dyDescent="0.3">
      <c r="C457" s="2"/>
      <c r="E457" s="2"/>
      <c r="F457" s="2"/>
    </row>
    <row r="458" spans="3:6" x14ac:dyDescent="0.3">
      <c r="C458" s="2"/>
      <c r="E458" s="2"/>
      <c r="F458" s="2"/>
    </row>
    <row r="459" spans="3:6" x14ac:dyDescent="0.3">
      <c r="C459" s="2"/>
      <c r="E459" s="2"/>
      <c r="F459" s="2"/>
    </row>
    <row r="460" spans="3:6" x14ac:dyDescent="0.3">
      <c r="C460" s="2"/>
      <c r="E460" s="2"/>
      <c r="F460" s="2"/>
    </row>
    <row r="461" spans="3:6" x14ac:dyDescent="0.3">
      <c r="C461" s="2"/>
      <c r="E461" s="2"/>
      <c r="F461" s="2"/>
    </row>
    <row r="462" spans="3:6" x14ac:dyDescent="0.3">
      <c r="C462" s="2"/>
      <c r="E462" s="2"/>
      <c r="F462" s="2"/>
    </row>
    <row r="463" spans="3:6" x14ac:dyDescent="0.3">
      <c r="C463" s="2"/>
      <c r="E463" s="2"/>
      <c r="F463" s="2"/>
    </row>
    <row r="464" spans="3:6" x14ac:dyDescent="0.3">
      <c r="C464" s="2"/>
      <c r="E464" s="2"/>
      <c r="F464" s="2"/>
    </row>
    <row r="465" spans="3:6" x14ac:dyDescent="0.3">
      <c r="C465" s="2"/>
      <c r="E465" s="2"/>
      <c r="F465" s="2"/>
    </row>
    <row r="466" spans="3:6" x14ac:dyDescent="0.3">
      <c r="C466" s="2"/>
      <c r="E466" s="2"/>
      <c r="F466" s="2"/>
    </row>
    <row r="467" spans="3:6" x14ac:dyDescent="0.3">
      <c r="C467" s="2"/>
      <c r="E467" s="2"/>
      <c r="F467" s="2"/>
    </row>
    <row r="468" spans="3:6" x14ac:dyDescent="0.3">
      <c r="C468" s="2"/>
      <c r="E468" s="2"/>
      <c r="F468" s="2"/>
    </row>
    <row r="469" spans="3:6" x14ac:dyDescent="0.3">
      <c r="C469" s="2"/>
      <c r="E469" s="2"/>
      <c r="F469" s="2"/>
    </row>
    <row r="470" spans="3:6" x14ac:dyDescent="0.3">
      <c r="C470" s="2"/>
      <c r="E470" s="2"/>
      <c r="F470" s="2"/>
    </row>
    <row r="471" spans="3:6" x14ac:dyDescent="0.3">
      <c r="C471" s="2"/>
      <c r="E471" s="2"/>
      <c r="F471" s="2"/>
    </row>
    <row r="472" spans="3:6" x14ac:dyDescent="0.3">
      <c r="C472" s="2"/>
      <c r="E472" s="2"/>
      <c r="F472" s="2"/>
    </row>
    <row r="473" spans="3:6" x14ac:dyDescent="0.3">
      <c r="C473" s="2"/>
      <c r="E473" s="2"/>
      <c r="F473" s="2"/>
    </row>
    <row r="474" spans="3:6" x14ac:dyDescent="0.3">
      <c r="C474" s="2"/>
      <c r="E474" s="2"/>
      <c r="F474" s="2"/>
    </row>
    <row r="475" spans="3:6" x14ac:dyDescent="0.3">
      <c r="C475" s="2"/>
      <c r="E475" s="2"/>
      <c r="F475" s="2"/>
    </row>
    <row r="476" spans="3:6" x14ac:dyDescent="0.3">
      <c r="C476" s="2"/>
      <c r="E476" s="2"/>
      <c r="F476" s="2"/>
    </row>
    <row r="477" spans="3:6" x14ac:dyDescent="0.3">
      <c r="C477" s="2"/>
      <c r="E477" s="2"/>
      <c r="F477" s="2"/>
    </row>
    <row r="478" spans="3:6" x14ac:dyDescent="0.3">
      <c r="C478" s="2"/>
      <c r="E478" s="2"/>
      <c r="F478" s="2"/>
    </row>
    <row r="479" spans="3:6" x14ac:dyDescent="0.3">
      <c r="C479" s="2"/>
      <c r="E479" s="2"/>
      <c r="F479" s="2"/>
    </row>
    <row r="480" spans="3:6" x14ac:dyDescent="0.3">
      <c r="C480" s="2"/>
      <c r="E480" s="2"/>
      <c r="F480" s="2"/>
    </row>
    <row r="481" spans="3:6" x14ac:dyDescent="0.3">
      <c r="C481" s="2"/>
      <c r="E481" s="2"/>
      <c r="F481" s="2"/>
    </row>
    <row r="482" spans="3:6" x14ac:dyDescent="0.3">
      <c r="C482" s="2"/>
      <c r="E482" s="2"/>
      <c r="F482" s="2"/>
    </row>
    <row r="483" spans="3:6" x14ac:dyDescent="0.3">
      <c r="C483" s="2"/>
      <c r="E483" s="2"/>
      <c r="F483" s="2"/>
    </row>
    <row r="484" spans="3:6" x14ac:dyDescent="0.3">
      <c r="C484" s="2"/>
      <c r="E484" s="2"/>
      <c r="F484" s="2"/>
    </row>
    <row r="485" spans="3:6" x14ac:dyDescent="0.3">
      <c r="C485" s="2"/>
      <c r="E485" s="2"/>
      <c r="F485" s="2"/>
    </row>
    <row r="486" spans="3:6" x14ac:dyDescent="0.3">
      <c r="C486" s="2"/>
      <c r="E486" s="2"/>
      <c r="F486" s="2"/>
    </row>
    <row r="487" spans="3:6" x14ac:dyDescent="0.3">
      <c r="C487" s="2"/>
      <c r="E487" s="2"/>
      <c r="F487" s="2"/>
    </row>
    <row r="488" spans="3:6" x14ac:dyDescent="0.3">
      <c r="C488" s="2"/>
      <c r="E488" s="2"/>
      <c r="F488" s="2"/>
    </row>
    <row r="489" spans="3:6" x14ac:dyDescent="0.3">
      <c r="C489" s="2"/>
      <c r="E489" s="2"/>
      <c r="F489" s="2"/>
    </row>
    <row r="490" spans="3:6" x14ac:dyDescent="0.3">
      <c r="C490" s="2"/>
      <c r="E490" s="2"/>
      <c r="F490" s="2"/>
    </row>
    <row r="491" spans="3:6" x14ac:dyDescent="0.3">
      <c r="C491" s="2"/>
      <c r="E491" s="2"/>
      <c r="F491" s="2"/>
    </row>
    <row r="492" spans="3:6" x14ac:dyDescent="0.3">
      <c r="C492" s="2"/>
      <c r="E492" s="2"/>
      <c r="F492" s="2"/>
    </row>
    <row r="493" spans="3:6" x14ac:dyDescent="0.3">
      <c r="C493" s="2"/>
      <c r="E493" s="2"/>
      <c r="F493" s="2"/>
    </row>
    <row r="494" spans="3:6" x14ac:dyDescent="0.3">
      <c r="C494" s="2"/>
      <c r="E494" s="2"/>
      <c r="F494" s="2"/>
    </row>
    <row r="495" spans="3:6" x14ac:dyDescent="0.3">
      <c r="C495" s="2"/>
      <c r="E495" s="2"/>
      <c r="F495" s="2"/>
    </row>
    <row r="496" spans="3:6" x14ac:dyDescent="0.3">
      <c r="C496" s="2"/>
      <c r="E496" s="2"/>
      <c r="F496" s="2"/>
    </row>
    <row r="497" spans="3:6" x14ac:dyDescent="0.3">
      <c r="C497" s="2"/>
      <c r="E497" s="2"/>
      <c r="F497" s="2"/>
    </row>
    <row r="498" spans="3:6" x14ac:dyDescent="0.3">
      <c r="C498" s="2"/>
      <c r="E498" s="2"/>
      <c r="F498" s="2"/>
    </row>
    <row r="499" spans="3:6" x14ac:dyDescent="0.3">
      <c r="C499" s="2"/>
      <c r="E499" s="2"/>
      <c r="F499" s="2"/>
    </row>
    <row r="500" spans="3:6" x14ac:dyDescent="0.3">
      <c r="C500" s="2"/>
      <c r="E500" s="2"/>
      <c r="F500" s="2"/>
    </row>
    <row r="501" spans="3:6" x14ac:dyDescent="0.3">
      <c r="C501" s="2"/>
      <c r="E501" s="2"/>
      <c r="F501" s="2"/>
    </row>
    <row r="502" spans="3:6" x14ac:dyDescent="0.3">
      <c r="C502" s="2"/>
      <c r="E502" s="2"/>
      <c r="F502" s="2"/>
    </row>
    <row r="503" spans="3:6" x14ac:dyDescent="0.3">
      <c r="C503" s="2"/>
      <c r="E503" s="2"/>
      <c r="F503" s="2"/>
    </row>
    <row r="504" spans="3:6" x14ac:dyDescent="0.3">
      <c r="C504" s="2"/>
      <c r="E504" s="2"/>
      <c r="F504" s="2"/>
    </row>
    <row r="505" spans="3:6" x14ac:dyDescent="0.3">
      <c r="C505" s="2"/>
      <c r="E505" s="2"/>
      <c r="F505" s="2"/>
    </row>
    <row r="506" spans="3:6" x14ac:dyDescent="0.3">
      <c r="C506" s="2"/>
      <c r="E506" s="2"/>
      <c r="F506" s="2"/>
    </row>
    <row r="507" spans="3:6" x14ac:dyDescent="0.3">
      <c r="C507" s="2"/>
      <c r="E507" s="2"/>
      <c r="F507" s="2"/>
    </row>
    <row r="508" spans="3:6" x14ac:dyDescent="0.3">
      <c r="C508" s="2"/>
      <c r="E508" s="2"/>
      <c r="F508" s="2"/>
    </row>
    <row r="509" spans="3:6" x14ac:dyDescent="0.3">
      <c r="C509" s="2"/>
      <c r="E509" s="2"/>
      <c r="F509" s="2"/>
    </row>
    <row r="510" spans="3:6" x14ac:dyDescent="0.3">
      <c r="C510" s="2"/>
      <c r="E510" s="2"/>
      <c r="F510" s="2"/>
    </row>
    <row r="511" spans="3:6" x14ac:dyDescent="0.3">
      <c r="C511" s="2"/>
      <c r="E511" s="2"/>
      <c r="F511" s="2"/>
    </row>
    <row r="512" spans="3:6" x14ac:dyDescent="0.3">
      <c r="C512" s="2"/>
      <c r="E512" s="2"/>
      <c r="F512" s="2"/>
    </row>
    <row r="513" spans="3:6" x14ac:dyDescent="0.3">
      <c r="C513" s="2"/>
      <c r="E513" s="2"/>
      <c r="F513" s="2"/>
    </row>
    <row r="514" spans="3:6" x14ac:dyDescent="0.3">
      <c r="C514" s="2"/>
      <c r="E514" s="2"/>
      <c r="F514" s="2"/>
    </row>
    <row r="515" spans="3:6" x14ac:dyDescent="0.3">
      <c r="C515" s="2"/>
      <c r="E515" s="2"/>
      <c r="F515" s="2"/>
    </row>
    <row r="516" spans="3:6" x14ac:dyDescent="0.3">
      <c r="C516" s="2"/>
      <c r="E516" s="2"/>
      <c r="F516" s="2"/>
    </row>
    <row r="517" spans="3:6" x14ac:dyDescent="0.3">
      <c r="C517" s="2"/>
      <c r="E517" s="2"/>
      <c r="F517" s="2"/>
    </row>
    <row r="518" spans="3:6" x14ac:dyDescent="0.3">
      <c r="C518" s="2"/>
      <c r="E518" s="2"/>
      <c r="F518" s="2"/>
    </row>
    <row r="519" spans="3:6" x14ac:dyDescent="0.3">
      <c r="C519" s="2"/>
      <c r="E519" s="2"/>
      <c r="F519" s="2"/>
    </row>
    <row r="520" spans="3:6" x14ac:dyDescent="0.3">
      <c r="C520" s="2"/>
      <c r="E520" s="2"/>
      <c r="F520" s="2"/>
    </row>
    <row r="521" spans="3:6" x14ac:dyDescent="0.3">
      <c r="C521" s="2"/>
      <c r="E521" s="2"/>
      <c r="F521" s="2"/>
    </row>
    <row r="522" spans="3:6" x14ac:dyDescent="0.3">
      <c r="C522" s="2"/>
      <c r="E522" s="2"/>
      <c r="F522" s="2"/>
    </row>
    <row r="523" spans="3:6" x14ac:dyDescent="0.3">
      <c r="C523" s="2"/>
      <c r="E523" s="2"/>
      <c r="F523" s="2"/>
    </row>
    <row r="524" spans="3:6" x14ac:dyDescent="0.3">
      <c r="C524" s="2"/>
      <c r="E524" s="2"/>
      <c r="F524" s="2"/>
    </row>
    <row r="525" spans="3:6" x14ac:dyDescent="0.3">
      <c r="C525" s="2"/>
      <c r="E525" s="2"/>
      <c r="F525" s="2"/>
    </row>
    <row r="526" spans="3:6" x14ac:dyDescent="0.3">
      <c r="C526" s="2"/>
      <c r="E526" s="2"/>
      <c r="F526" s="2"/>
    </row>
    <row r="527" spans="3:6" x14ac:dyDescent="0.3">
      <c r="C527" s="2"/>
      <c r="E527" s="2"/>
      <c r="F527" s="2"/>
    </row>
    <row r="528" spans="3:6" x14ac:dyDescent="0.3">
      <c r="C528" s="2"/>
      <c r="E528" s="2"/>
      <c r="F528" s="2"/>
    </row>
    <row r="529" spans="3:6" x14ac:dyDescent="0.3">
      <c r="C529" s="2"/>
      <c r="E529" s="2"/>
      <c r="F529" s="2"/>
    </row>
    <row r="530" spans="3:6" x14ac:dyDescent="0.3">
      <c r="C530" s="2"/>
      <c r="E530" s="2"/>
      <c r="F530" s="2"/>
    </row>
    <row r="531" spans="3:6" x14ac:dyDescent="0.3">
      <c r="C531" s="2"/>
      <c r="E531" s="2"/>
      <c r="F531" s="2"/>
    </row>
    <row r="532" spans="3:6" x14ac:dyDescent="0.3">
      <c r="C532" s="2"/>
      <c r="E532" s="2"/>
      <c r="F532" s="2"/>
    </row>
    <row r="533" spans="3:6" x14ac:dyDescent="0.3">
      <c r="C533" s="2"/>
      <c r="E533" s="2"/>
      <c r="F533" s="2"/>
    </row>
    <row r="534" spans="3:6" x14ac:dyDescent="0.3">
      <c r="C534" s="2"/>
      <c r="E534" s="2"/>
      <c r="F534" s="2"/>
    </row>
    <row r="535" spans="3:6" x14ac:dyDescent="0.3">
      <c r="C535" s="2"/>
      <c r="E535" s="2"/>
      <c r="F535" s="2"/>
    </row>
    <row r="536" spans="3:6" x14ac:dyDescent="0.3">
      <c r="C536" s="2"/>
      <c r="E536" s="2"/>
      <c r="F536" s="2"/>
    </row>
    <row r="537" spans="3:6" x14ac:dyDescent="0.3">
      <c r="C537" s="2"/>
      <c r="E537" s="2"/>
      <c r="F537" s="2"/>
    </row>
    <row r="538" spans="3:6" x14ac:dyDescent="0.3">
      <c r="C538" s="2"/>
      <c r="E538" s="2"/>
      <c r="F538" s="2"/>
    </row>
    <row r="539" spans="3:6" x14ac:dyDescent="0.3">
      <c r="C539" s="2"/>
      <c r="E539" s="2"/>
      <c r="F539" s="2"/>
    </row>
    <row r="540" spans="3:6" x14ac:dyDescent="0.3">
      <c r="C540" s="2"/>
      <c r="E540" s="2"/>
      <c r="F540" s="2"/>
    </row>
    <row r="541" spans="3:6" x14ac:dyDescent="0.3">
      <c r="C541" s="2"/>
      <c r="E541" s="2"/>
      <c r="F541" s="2"/>
    </row>
    <row r="542" spans="3:6" x14ac:dyDescent="0.3">
      <c r="C542" s="2"/>
      <c r="E542" s="2"/>
      <c r="F542" s="2"/>
    </row>
    <row r="543" spans="3:6" x14ac:dyDescent="0.3">
      <c r="C543" s="2"/>
      <c r="E543" s="2"/>
      <c r="F543" s="2"/>
    </row>
    <row r="544" spans="3:6" x14ac:dyDescent="0.3">
      <c r="C544" s="2"/>
      <c r="E544" s="2"/>
      <c r="F544" s="2"/>
    </row>
    <row r="545" spans="3:6" x14ac:dyDescent="0.3">
      <c r="C545" s="2"/>
      <c r="E545" s="2"/>
      <c r="F545" s="2"/>
    </row>
    <row r="546" spans="3:6" x14ac:dyDescent="0.3">
      <c r="C546" s="2"/>
      <c r="E546" s="2"/>
      <c r="F546" s="2"/>
    </row>
    <row r="547" spans="3:6" x14ac:dyDescent="0.3">
      <c r="C547" s="2"/>
      <c r="E547" s="2"/>
      <c r="F547" s="2"/>
    </row>
    <row r="548" spans="3:6" x14ac:dyDescent="0.3">
      <c r="C548" s="2"/>
      <c r="E548" s="2"/>
      <c r="F548" s="2"/>
    </row>
    <row r="549" spans="3:6" x14ac:dyDescent="0.3">
      <c r="C549" s="2"/>
      <c r="E549" s="2"/>
      <c r="F549" s="2"/>
    </row>
    <row r="550" spans="3:6" x14ac:dyDescent="0.3">
      <c r="C550" s="2"/>
      <c r="E550" s="2"/>
      <c r="F550" s="2"/>
    </row>
    <row r="551" spans="3:6" x14ac:dyDescent="0.3">
      <c r="C551" s="2"/>
      <c r="E551" s="2"/>
      <c r="F551" s="2"/>
    </row>
    <row r="552" spans="3:6" x14ac:dyDescent="0.3">
      <c r="C552" s="2"/>
      <c r="E552" s="2"/>
      <c r="F552" s="2"/>
    </row>
    <row r="553" spans="3:6" x14ac:dyDescent="0.3">
      <c r="C553" s="2"/>
      <c r="E553" s="2"/>
      <c r="F553" s="2"/>
    </row>
    <row r="554" spans="3:6" x14ac:dyDescent="0.3">
      <c r="C554" s="2"/>
      <c r="E554" s="2"/>
      <c r="F554" s="2"/>
    </row>
    <row r="555" spans="3:6" x14ac:dyDescent="0.3">
      <c r="C555" s="2"/>
      <c r="E555" s="2"/>
      <c r="F555" s="2"/>
    </row>
    <row r="556" spans="3:6" x14ac:dyDescent="0.3">
      <c r="C556" s="2"/>
      <c r="E556" s="2"/>
      <c r="F556" s="2"/>
    </row>
    <row r="557" spans="3:6" x14ac:dyDescent="0.3">
      <c r="C557" s="2"/>
      <c r="E557" s="2"/>
      <c r="F557" s="2"/>
    </row>
    <row r="558" spans="3:6" x14ac:dyDescent="0.3">
      <c r="C558" s="2"/>
      <c r="E558" s="2"/>
      <c r="F558" s="2"/>
    </row>
    <row r="559" spans="3:6" x14ac:dyDescent="0.3">
      <c r="C559" s="2"/>
      <c r="E559" s="2"/>
      <c r="F559" s="2"/>
    </row>
    <row r="560" spans="3:6" x14ac:dyDescent="0.3">
      <c r="C560" s="2"/>
      <c r="E560" s="2"/>
      <c r="F560" s="2"/>
    </row>
    <row r="561" spans="3:6" x14ac:dyDescent="0.3">
      <c r="C561" s="2"/>
      <c r="E561" s="2"/>
      <c r="F561" s="2"/>
    </row>
    <row r="562" spans="3:6" x14ac:dyDescent="0.3">
      <c r="C562" s="2"/>
      <c r="E562" s="2"/>
      <c r="F562" s="2"/>
    </row>
    <row r="563" spans="3:6" x14ac:dyDescent="0.3">
      <c r="C563" s="2"/>
      <c r="E563" s="2"/>
      <c r="F563" s="2"/>
    </row>
    <row r="564" spans="3:6" x14ac:dyDescent="0.3">
      <c r="C564" s="2"/>
      <c r="E564" s="2"/>
      <c r="F564" s="2"/>
    </row>
    <row r="565" spans="3:6" x14ac:dyDescent="0.3">
      <c r="C565" s="2"/>
      <c r="E565" s="2"/>
      <c r="F565" s="2"/>
    </row>
    <row r="566" spans="3:6" x14ac:dyDescent="0.3">
      <c r="C566" s="2"/>
      <c r="E566" s="2"/>
      <c r="F566" s="2"/>
    </row>
    <row r="567" spans="3:6" x14ac:dyDescent="0.3">
      <c r="C567" s="2"/>
      <c r="E567" s="2"/>
      <c r="F567" s="2"/>
    </row>
    <row r="568" spans="3:6" x14ac:dyDescent="0.3">
      <c r="C568" s="2"/>
      <c r="E568" s="2"/>
      <c r="F568" s="2"/>
    </row>
    <row r="569" spans="3:6" x14ac:dyDescent="0.3">
      <c r="C569" s="2"/>
      <c r="E569" s="2"/>
      <c r="F569" s="2"/>
    </row>
    <row r="570" spans="3:6" x14ac:dyDescent="0.3">
      <c r="C570" s="2"/>
      <c r="E570" s="2"/>
      <c r="F570" s="2"/>
    </row>
    <row r="571" spans="3:6" x14ac:dyDescent="0.3">
      <c r="C571" s="2"/>
      <c r="E571" s="2"/>
      <c r="F571" s="2"/>
    </row>
    <row r="572" spans="3:6" x14ac:dyDescent="0.3">
      <c r="C572" s="2"/>
      <c r="E572" s="2"/>
      <c r="F572" s="2"/>
    </row>
    <row r="573" spans="3:6" x14ac:dyDescent="0.3">
      <c r="C573" s="2"/>
      <c r="E573" s="2"/>
      <c r="F573" s="2"/>
    </row>
    <row r="574" spans="3:6" x14ac:dyDescent="0.3">
      <c r="C574" s="2"/>
      <c r="E574" s="2"/>
      <c r="F574" s="2"/>
    </row>
    <row r="575" spans="3:6" x14ac:dyDescent="0.3">
      <c r="C575" s="2"/>
      <c r="E575" s="2"/>
      <c r="F575" s="2"/>
    </row>
    <row r="576" spans="3:6" x14ac:dyDescent="0.3">
      <c r="C576" s="2"/>
      <c r="E576" s="2"/>
      <c r="F576" s="2"/>
    </row>
    <row r="577" spans="3:6" x14ac:dyDescent="0.3">
      <c r="C577" s="2"/>
      <c r="E577" s="2"/>
      <c r="F577" s="2"/>
    </row>
    <row r="578" spans="3:6" x14ac:dyDescent="0.3">
      <c r="C578" s="2"/>
      <c r="E578" s="2"/>
      <c r="F578" s="2"/>
    </row>
    <row r="579" spans="3:6" x14ac:dyDescent="0.3">
      <c r="C579" s="2"/>
      <c r="E579" s="2"/>
      <c r="F579" s="2"/>
    </row>
    <row r="580" spans="3:6" x14ac:dyDescent="0.3">
      <c r="C580" s="2"/>
      <c r="E580" s="2"/>
      <c r="F580" s="2"/>
    </row>
    <row r="581" spans="3:6" x14ac:dyDescent="0.3">
      <c r="C581" s="2"/>
      <c r="E581" s="2"/>
      <c r="F581" s="2"/>
    </row>
    <row r="582" spans="3:6" x14ac:dyDescent="0.3">
      <c r="C582" s="2"/>
      <c r="E582" s="2"/>
      <c r="F582" s="2"/>
    </row>
    <row r="583" spans="3:6" x14ac:dyDescent="0.3">
      <c r="C583" s="2"/>
      <c r="E583" s="2"/>
      <c r="F583" s="2"/>
    </row>
    <row r="584" spans="3:6" x14ac:dyDescent="0.3">
      <c r="C584" s="2"/>
      <c r="E584" s="2"/>
      <c r="F584" s="2"/>
    </row>
    <row r="585" spans="3:6" x14ac:dyDescent="0.3">
      <c r="C585" s="2"/>
      <c r="E585" s="2"/>
      <c r="F585" s="2"/>
    </row>
    <row r="586" spans="3:6" x14ac:dyDescent="0.3">
      <c r="C586" s="2"/>
      <c r="E586" s="2"/>
      <c r="F586" s="2"/>
    </row>
    <row r="587" spans="3:6" x14ac:dyDescent="0.3">
      <c r="C587" s="2"/>
      <c r="E587" s="2"/>
      <c r="F587" s="2"/>
    </row>
    <row r="588" spans="3:6" x14ac:dyDescent="0.3">
      <c r="C588" s="2"/>
      <c r="E588" s="2"/>
      <c r="F588" s="2"/>
    </row>
    <row r="589" spans="3:6" x14ac:dyDescent="0.3">
      <c r="C589" s="2"/>
      <c r="E589" s="2"/>
      <c r="F589" s="2"/>
    </row>
    <row r="590" spans="3:6" x14ac:dyDescent="0.3">
      <c r="C590" s="2"/>
      <c r="E590" s="2"/>
      <c r="F590" s="2"/>
    </row>
    <row r="591" spans="3:6" x14ac:dyDescent="0.3">
      <c r="C591" s="2"/>
      <c r="E591" s="2"/>
      <c r="F591" s="2"/>
    </row>
    <row r="592" spans="3:6" x14ac:dyDescent="0.3">
      <c r="C592" s="2"/>
      <c r="E592" s="2"/>
      <c r="F592" s="2"/>
    </row>
    <row r="593" spans="3:6" x14ac:dyDescent="0.3">
      <c r="C593" s="2"/>
      <c r="E593" s="2"/>
      <c r="F593" s="2"/>
    </row>
    <row r="594" spans="3:6" x14ac:dyDescent="0.3">
      <c r="C594" s="2"/>
      <c r="E594" s="2"/>
      <c r="F594" s="2"/>
    </row>
    <row r="595" spans="3:6" x14ac:dyDescent="0.3">
      <c r="C595" s="2"/>
      <c r="E595" s="2"/>
      <c r="F595" s="2"/>
    </row>
    <row r="596" spans="3:6" x14ac:dyDescent="0.3">
      <c r="C596" s="2"/>
      <c r="E596" s="2"/>
      <c r="F596" s="2"/>
    </row>
    <row r="597" spans="3:6" x14ac:dyDescent="0.3">
      <c r="C597" s="2"/>
      <c r="E597" s="2"/>
      <c r="F597" s="2"/>
    </row>
    <row r="598" spans="3:6" x14ac:dyDescent="0.3">
      <c r="C598" s="2"/>
      <c r="E598" s="2"/>
      <c r="F598" s="2"/>
    </row>
    <row r="599" spans="3:6" x14ac:dyDescent="0.3">
      <c r="C599" s="2"/>
      <c r="E599" s="2"/>
      <c r="F599" s="2"/>
    </row>
    <row r="600" spans="3:6" x14ac:dyDescent="0.3">
      <c r="C600" s="2"/>
      <c r="E600" s="2"/>
      <c r="F600" s="2"/>
    </row>
    <row r="601" spans="3:6" x14ac:dyDescent="0.3">
      <c r="C601" s="2"/>
      <c r="E601" s="2"/>
      <c r="F601" s="2"/>
    </row>
    <row r="602" spans="3:6" x14ac:dyDescent="0.3">
      <c r="C602" s="2"/>
      <c r="E602" s="2"/>
      <c r="F602" s="2"/>
    </row>
    <row r="603" spans="3:6" x14ac:dyDescent="0.3">
      <c r="C603" s="2"/>
      <c r="E603" s="2"/>
      <c r="F603" s="2"/>
    </row>
    <row r="604" spans="3:6" x14ac:dyDescent="0.3">
      <c r="C604" s="2"/>
      <c r="E604" s="2"/>
      <c r="F604" s="2"/>
    </row>
    <row r="605" spans="3:6" x14ac:dyDescent="0.3">
      <c r="C605" s="2"/>
      <c r="E605" s="2"/>
      <c r="F605" s="2"/>
    </row>
    <row r="606" spans="3:6" x14ac:dyDescent="0.3">
      <c r="C606" s="2"/>
      <c r="E606" s="2"/>
      <c r="F606" s="2"/>
    </row>
    <row r="607" spans="3:6" x14ac:dyDescent="0.3">
      <c r="C607" s="2"/>
      <c r="E607" s="2"/>
      <c r="F607" s="2"/>
    </row>
    <row r="608" spans="3:6" x14ac:dyDescent="0.3">
      <c r="C608" s="2"/>
      <c r="E608" s="2"/>
      <c r="F608" s="2"/>
    </row>
    <row r="609" spans="3:6" x14ac:dyDescent="0.3">
      <c r="C609" s="2"/>
      <c r="E609" s="2"/>
      <c r="F609" s="2"/>
    </row>
    <row r="610" spans="3:6" x14ac:dyDescent="0.3">
      <c r="C610" s="2"/>
      <c r="E610" s="2"/>
      <c r="F610" s="2"/>
    </row>
    <row r="611" spans="3:6" x14ac:dyDescent="0.3">
      <c r="C611" s="2"/>
      <c r="E611" s="2"/>
      <c r="F611" s="2"/>
    </row>
    <row r="612" spans="3:6" x14ac:dyDescent="0.3">
      <c r="C612" s="2"/>
      <c r="E612" s="2"/>
      <c r="F612" s="2"/>
    </row>
    <row r="613" spans="3:6" x14ac:dyDescent="0.3">
      <c r="C613" s="2"/>
      <c r="E613" s="2"/>
      <c r="F613" s="2"/>
    </row>
    <row r="614" spans="3:6" x14ac:dyDescent="0.3">
      <c r="C614" s="2"/>
      <c r="E614" s="2"/>
      <c r="F614" s="2"/>
    </row>
    <row r="615" spans="3:6" x14ac:dyDescent="0.3">
      <c r="C615" s="2"/>
      <c r="E615" s="2"/>
      <c r="F615" s="2"/>
    </row>
    <row r="616" spans="3:6" x14ac:dyDescent="0.3">
      <c r="C616" s="2"/>
      <c r="E616" s="2"/>
      <c r="F616" s="2"/>
    </row>
    <row r="617" spans="3:6" x14ac:dyDescent="0.3">
      <c r="C617" s="2"/>
      <c r="E617" s="2"/>
      <c r="F617" s="2"/>
    </row>
    <row r="618" spans="3:6" x14ac:dyDescent="0.3">
      <c r="C618" s="2"/>
      <c r="E618" s="2"/>
      <c r="F618" s="2"/>
    </row>
    <row r="619" spans="3:6" x14ac:dyDescent="0.3">
      <c r="C619" s="2"/>
      <c r="E619" s="2"/>
      <c r="F619" s="2"/>
    </row>
    <row r="620" spans="3:6" x14ac:dyDescent="0.3">
      <c r="C620" s="2"/>
      <c r="E620" s="2"/>
      <c r="F620" s="2"/>
    </row>
    <row r="621" spans="3:6" x14ac:dyDescent="0.3">
      <c r="C621" s="2"/>
      <c r="E621" s="2"/>
      <c r="F621" s="2"/>
    </row>
    <row r="622" spans="3:6" x14ac:dyDescent="0.3">
      <c r="C622" s="2"/>
      <c r="E622" s="2"/>
      <c r="F622" s="2"/>
    </row>
    <row r="623" spans="3:6" x14ac:dyDescent="0.3">
      <c r="C623" s="2"/>
      <c r="E623" s="2"/>
      <c r="F623" s="2"/>
    </row>
    <row r="624" spans="3:6" x14ac:dyDescent="0.3">
      <c r="C624" s="2"/>
      <c r="E624" s="2"/>
      <c r="F624" s="2"/>
    </row>
    <row r="625" spans="3:6" x14ac:dyDescent="0.3">
      <c r="C625" s="2"/>
      <c r="E625" s="2"/>
      <c r="F625" s="2"/>
    </row>
    <row r="626" spans="3:6" x14ac:dyDescent="0.3">
      <c r="C626" s="2"/>
      <c r="E626" s="2"/>
      <c r="F626" s="2"/>
    </row>
    <row r="627" spans="3:6" x14ac:dyDescent="0.3">
      <c r="C627" s="2"/>
      <c r="E627" s="2"/>
      <c r="F627" s="2"/>
    </row>
    <row r="628" spans="3:6" x14ac:dyDescent="0.3">
      <c r="C628" s="2"/>
      <c r="E628" s="2"/>
      <c r="F628" s="2"/>
    </row>
    <row r="629" spans="3:6" x14ac:dyDescent="0.3">
      <c r="C629" s="2"/>
      <c r="E629" s="2"/>
      <c r="F629" s="2"/>
    </row>
    <row r="630" spans="3:6" x14ac:dyDescent="0.3">
      <c r="C630" s="2"/>
      <c r="E630" s="2"/>
      <c r="F630" s="2"/>
    </row>
    <row r="631" spans="3:6" x14ac:dyDescent="0.3">
      <c r="C631" s="2"/>
      <c r="E631" s="2"/>
      <c r="F631" s="2"/>
    </row>
    <row r="632" spans="3:6" x14ac:dyDescent="0.3">
      <c r="C632" s="2"/>
      <c r="E632" s="2"/>
      <c r="F632" s="2"/>
    </row>
    <row r="633" spans="3:6" x14ac:dyDescent="0.3">
      <c r="C633" s="2"/>
      <c r="E633" s="2"/>
      <c r="F633" s="2"/>
    </row>
    <row r="634" spans="3:6" x14ac:dyDescent="0.3">
      <c r="C634" s="2"/>
      <c r="E634" s="2"/>
      <c r="F634" s="2"/>
    </row>
    <row r="635" spans="3:6" x14ac:dyDescent="0.3">
      <c r="C635" s="2"/>
      <c r="E635" s="2"/>
      <c r="F635" s="2"/>
    </row>
    <row r="636" spans="3:6" x14ac:dyDescent="0.3">
      <c r="C636" s="2"/>
      <c r="E636" s="2"/>
      <c r="F636" s="2"/>
    </row>
    <row r="637" spans="3:6" x14ac:dyDescent="0.3">
      <c r="C637" s="2"/>
      <c r="E637" s="2"/>
      <c r="F637" s="2"/>
    </row>
    <row r="638" spans="3:6" x14ac:dyDescent="0.3">
      <c r="C638" s="2"/>
      <c r="E638" s="2"/>
      <c r="F638" s="2"/>
    </row>
    <row r="639" spans="3:6" x14ac:dyDescent="0.3">
      <c r="C639" s="2"/>
      <c r="E639" s="2"/>
      <c r="F639" s="2"/>
    </row>
    <row r="640" spans="3:6" x14ac:dyDescent="0.3">
      <c r="C640" s="2"/>
      <c r="E640" s="2"/>
      <c r="F640" s="2"/>
    </row>
    <row r="641" spans="3:6" x14ac:dyDescent="0.3">
      <c r="C641" s="2"/>
      <c r="E641" s="2"/>
      <c r="F641" s="2"/>
    </row>
    <row r="642" spans="3:6" x14ac:dyDescent="0.3">
      <c r="C642" s="2"/>
      <c r="E642" s="2"/>
      <c r="F642" s="2"/>
    </row>
    <row r="643" spans="3:6" x14ac:dyDescent="0.3">
      <c r="C643" s="2"/>
      <c r="E643" s="2"/>
      <c r="F643" s="2"/>
    </row>
    <row r="644" spans="3:6" x14ac:dyDescent="0.3">
      <c r="C644" s="2"/>
      <c r="E644" s="2"/>
      <c r="F644" s="2"/>
    </row>
    <row r="645" spans="3:6" x14ac:dyDescent="0.3">
      <c r="C645" s="2"/>
      <c r="E645" s="2"/>
      <c r="F645" s="2"/>
    </row>
    <row r="646" spans="3:6" x14ac:dyDescent="0.3">
      <c r="C646" s="2"/>
      <c r="E646" s="2"/>
      <c r="F646" s="2"/>
    </row>
    <row r="647" spans="3:6" x14ac:dyDescent="0.3">
      <c r="C647" s="2"/>
      <c r="E647" s="2"/>
      <c r="F647" s="2"/>
    </row>
    <row r="648" spans="3:6" x14ac:dyDescent="0.3">
      <c r="C648" s="2"/>
      <c r="E648" s="2"/>
      <c r="F648" s="2"/>
    </row>
    <row r="649" spans="3:6" x14ac:dyDescent="0.3">
      <c r="C649" s="2"/>
      <c r="E649" s="2"/>
      <c r="F649" s="2"/>
    </row>
    <row r="650" spans="3:6" x14ac:dyDescent="0.3">
      <c r="C650" s="2"/>
      <c r="E650" s="2"/>
      <c r="F650" s="2"/>
    </row>
    <row r="651" spans="3:6" x14ac:dyDescent="0.3">
      <c r="C651" s="2"/>
      <c r="E651" s="2"/>
      <c r="F651" s="2"/>
    </row>
    <row r="652" spans="3:6" x14ac:dyDescent="0.3">
      <c r="C652" s="2"/>
      <c r="E652" s="2"/>
      <c r="F652" s="2"/>
    </row>
    <row r="653" spans="3:6" x14ac:dyDescent="0.3">
      <c r="C653" s="2"/>
      <c r="E653" s="2"/>
      <c r="F653" s="2"/>
    </row>
    <row r="654" spans="3:6" x14ac:dyDescent="0.3">
      <c r="C654" s="2"/>
      <c r="E654" s="2"/>
      <c r="F654" s="2"/>
    </row>
    <row r="655" spans="3:6" x14ac:dyDescent="0.3">
      <c r="C655" s="2"/>
      <c r="E655" s="2"/>
      <c r="F655" s="2"/>
    </row>
    <row r="656" spans="3:6" x14ac:dyDescent="0.3">
      <c r="C656" s="2"/>
      <c r="E656" s="2"/>
      <c r="F656" s="2"/>
    </row>
    <row r="657" spans="3:6" x14ac:dyDescent="0.3">
      <c r="C657" s="2"/>
      <c r="E657" s="2"/>
      <c r="F657" s="2"/>
    </row>
    <row r="658" spans="3:6" x14ac:dyDescent="0.3">
      <c r="C658" s="2"/>
      <c r="E658" s="2"/>
      <c r="F658" s="2"/>
    </row>
    <row r="659" spans="3:6" x14ac:dyDescent="0.3">
      <c r="C659" s="2"/>
      <c r="E659" s="2"/>
      <c r="F659" s="2"/>
    </row>
    <row r="660" spans="3:6" x14ac:dyDescent="0.3">
      <c r="C660" s="2"/>
      <c r="E660" s="2"/>
      <c r="F660" s="2"/>
    </row>
    <row r="661" spans="3:6" x14ac:dyDescent="0.3">
      <c r="C661" s="2"/>
      <c r="E661" s="2"/>
      <c r="F661" s="2"/>
    </row>
    <row r="662" spans="3:6" x14ac:dyDescent="0.3">
      <c r="C662" s="2"/>
      <c r="E662" s="2"/>
      <c r="F662" s="2"/>
    </row>
    <row r="663" spans="3:6" x14ac:dyDescent="0.3">
      <c r="C663" s="2"/>
      <c r="E663" s="2"/>
      <c r="F663" s="2"/>
    </row>
    <row r="664" spans="3:6" x14ac:dyDescent="0.3">
      <c r="C664" s="2"/>
      <c r="E664" s="2"/>
      <c r="F664" s="2"/>
    </row>
    <row r="665" spans="3:6" x14ac:dyDescent="0.3">
      <c r="C665" s="2"/>
      <c r="E665" s="2"/>
      <c r="F665" s="2"/>
    </row>
    <row r="666" spans="3:6" x14ac:dyDescent="0.3">
      <c r="C666" s="2"/>
      <c r="E666" s="2"/>
      <c r="F666" s="2"/>
    </row>
    <row r="667" spans="3:6" x14ac:dyDescent="0.3">
      <c r="C667" s="2"/>
      <c r="E667" s="2"/>
      <c r="F667" s="2"/>
    </row>
    <row r="668" spans="3:6" x14ac:dyDescent="0.3">
      <c r="C668" s="2"/>
      <c r="E668" s="2"/>
      <c r="F668" s="2"/>
    </row>
    <row r="669" spans="3:6" x14ac:dyDescent="0.3">
      <c r="C669" s="2"/>
      <c r="E669" s="2"/>
      <c r="F669" s="2"/>
    </row>
    <row r="670" spans="3:6" x14ac:dyDescent="0.3">
      <c r="C670" s="2"/>
      <c r="E670" s="2"/>
      <c r="F670" s="2"/>
    </row>
    <row r="671" spans="3:6" x14ac:dyDescent="0.3">
      <c r="C671" s="2"/>
      <c r="E671" s="2"/>
      <c r="F671" s="2"/>
    </row>
    <row r="672" spans="3:6" x14ac:dyDescent="0.3">
      <c r="C672" s="2"/>
      <c r="E672" s="2"/>
      <c r="F672" s="2"/>
    </row>
    <row r="673" spans="3:6" x14ac:dyDescent="0.3">
      <c r="C673" s="2"/>
      <c r="E673" s="2"/>
      <c r="F673" s="2"/>
    </row>
    <row r="674" spans="3:6" x14ac:dyDescent="0.3">
      <c r="C674" s="2"/>
      <c r="E674" s="2"/>
      <c r="F674" s="2"/>
    </row>
    <row r="675" spans="3:6" x14ac:dyDescent="0.3">
      <c r="C675" s="2"/>
      <c r="E675" s="2"/>
      <c r="F675" s="2"/>
    </row>
    <row r="676" spans="3:6" x14ac:dyDescent="0.3">
      <c r="C676" s="2"/>
      <c r="E676" s="2"/>
      <c r="F676" s="2"/>
    </row>
    <row r="677" spans="3:6" x14ac:dyDescent="0.3">
      <c r="C677" s="2"/>
      <c r="E677" s="2"/>
      <c r="F677" s="2"/>
    </row>
    <row r="678" spans="3:6" x14ac:dyDescent="0.3">
      <c r="C678" s="2"/>
      <c r="E678" s="2"/>
      <c r="F678" s="2"/>
    </row>
    <row r="679" spans="3:6" x14ac:dyDescent="0.3">
      <c r="C679" s="2"/>
      <c r="E679" s="2"/>
      <c r="F679" s="2"/>
    </row>
    <row r="680" spans="3:6" x14ac:dyDescent="0.3">
      <c r="C680" s="2"/>
      <c r="E680" s="2"/>
      <c r="F680" s="2"/>
    </row>
    <row r="681" spans="3:6" x14ac:dyDescent="0.3">
      <c r="C681" s="2"/>
      <c r="E681" s="2"/>
      <c r="F681" s="2"/>
    </row>
    <row r="682" spans="3:6" x14ac:dyDescent="0.3">
      <c r="C682" s="2"/>
      <c r="E682" s="2"/>
      <c r="F682" s="2"/>
    </row>
    <row r="683" spans="3:6" x14ac:dyDescent="0.3">
      <c r="C683" s="2"/>
      <c r="E683" s="2"/>
      <c r="F683" s="2"/>
    </row>
    <row r="684" spans="3:6" x14ac:dyDescent="0.3">
      <c r="C684" s="2"/>
      <c r="E684" s="2"/>
      <c r="F684" s="2"/>
    </row>
    <row r="685" spans="3:6" x14ac:dyDescent="0.3">
      <c r="C685" s="2"/>
      <c r="E685" s="2"/>
      <c r="F685" s="2"/>
    </row>
    <row r="686" spans="3:6" x14ac:dyDescent="0.3">
      <c r="C686" s="2"/>
      <c r="E686" s="2"/>
      <c r="F686" s="2"/>
    </row>
    <row r="687" spans="3:6" x14ac:dyDescent="0.3">
      <c r="C687" s="2"/>
      <c r="E687" s="2"/>
      <c r="F687" s="2"/>
    </row>
    <row r="688" spans="3:6" x14ac:dyDescent="0.3">
      <c r="C688" s="2"/>
      <c r="E688" s="2"/>
      <c r="F688" s="2"/>
    </row>
    <row r="689" spans="3:6" x14ac:dyDescent="0.3">
      <c r="C689" s="2"/>
      <c r="E689" s="2"/>
      <c r="F689" s="2"/>
    </row>
    <row r="690" spans="3:6" x14ac:dyDescent="0.3">
      <c r="C690" s="2"/>
      <c r="E690" s="2"/>
      <c r="F690" s="2"/>
    </row>
    <row r="691" spans="3:6" x14ac:dyDescent="0.3">
      <c r="C691" s="2"/>
      <c r="E691" s="2"/>
      <c r="F691" s="2"/>
    </row>
    <row r="692" spans="3:6" x14ac:dyDescent="0.3">
      <c r="C692" s="2"/>
      <c r="E692" s="2"/>
      <c r="F692" s="2"/>
    </row>
    <row r="693" spans="3:6" x14ac:dyDescent="0.3">
      <c r="C693" s="2"/>
      <c r="E693" s="2"/>
      <c r="F693" s="2"/>
    </row>
    <row r="694" spans="3:6" x14ac:dyDescent="0.3">
      <c r="C694" s="2"/>
      <c r="E694" s="2"/>
      <c r="F694" s="2"/>
    </row>
    <row r="695" spans="3:6" x14ac:dyDescent="0.3">
      <c r="C695" s="2"/>
      <c r="E695" s="2"/>
      <c r="F695" s="2"/>
    </row>
    <row r="696" spans="3:6" x14ac:dyDescent="0.3">
      <c r="C696" s="2"/>
      <c r="E696" s="2"/>
      <c r="F696" s="2"/>
    </row>
    <row r="697" spans="3:6" x14ac:dyDescent="0.3">
      <c r="C697" s="2"/>
      <c r="E697" s="2"/>
      <c r="F697" s="2"/>
    </row>
    <row r="698" spans="3:6" x14ac:dyDescent="0.3">
      <c r="C698" s="2"/>
      <c r="E698" s="2"/>
      <c r="F698" s="2"/>
    </row>
    <row r="699" spans="3:6" x14ac:dyDescent="0.3">
      <c r="C699" s="2"/>
      <c r="E699" s="2"/>
      <c r="F699" s="2"/>
    </row>
    <row r="700" spans="3:6" x14ac:dyDescent="0.3">
      <c r="C700" s="2"/>
      <c r="E700" s="2"/>
      <c r="F700" s="2"/>
    </row>
    <row r="701" spans="3:6" x14ac:dyDescent="0.3">
      <c r="C701" s="2"/>
      <c r="E701" s="2"/>
      <c r="F701" s="2"/>
    </row>
    <row r="702" spans="3:6" x14ac:dyDescent="0.3">
      <c r="C702" s="2"/>
      <c r="E702" s="2"/>
      <c r="F702" s="2"/>
    </row>
    <row r="703" spans="3:6" x14ac:dyDescent="0.3">
      <c r="C703" s="2"/>
      <c r="E703" s="2"/>
      <c r="F703" s="2"/>
    </row>
    <row r="704" spans="3:6" x14ac:dyDescent="0.3">
      <c r="C704" s="2"/>
      <c r="E704" s="2"/>
      <c r="F704" s="2"/>
    </row>
    <row r="705" spans="3:6" x14ac:dyDescent="0.3">
      <c r="C705" s="2"/>
      <c r="E705" s="2"/>
      <c r="F705" s="2"/>
    </row>
    <row r="706" spans="3:6" x14ac:dyDescent="0.3">
      <c r="C706" s="2"/>
      <c r="E706" s="2"/>
      <c r="F706" s="2"/>
    </row>
    <row r="707" spans="3:6" x14ac:dyDescent="0.3">
      <c r="C707" s="2"/>
      <c r="E707" s="2"/>
      <c r="F707" s="2"/>
    </row>
    <row r="708" spans="3:6" x14ac:dyDescent="0.3">
      <c r="C708" s="2"/>
      <c r="E708" s="2"/>
      <c r="F708" s="2"/>
    </row>
    <row r="709" spans="3:6" x14ac:dyDescent="0.3">
      <c r="C709" s="2"/>
      <c r="E709" s="2"/>
      <c r="F709" s="2"/>
    </row>
    <row r="710" spans="3:6" x14ac:dyDescent="0.3">
      <c r="C710" s="2"/>
      <c r="E710" s="2"/>
      <c r="F710" s="2"/>
    </row>
    <row r="711" spans="3:6" x14ac:dyDescent="0.3">
      <c r="C711" s="2"/>
      <c r="E711" s="2"/>
      <c r="F711" s="2"/>
    </row>
    <row r="712" spans="3:6" x14ac:dyDescent="0.3">
      <c r="C712" s="2"/>
      <c r="E712" s="2"/>
      <c r="F712" s="2"/>
    </row>
    <row r="713" spans="3:6" x14ac:dyDescent="0.3">
      <c r="C713" s="2"/>
      <c r="E713" s="2"/>
      <c r="F713" s="2"/>
    </row>
    <row r="714" spans="3:6" x14ac:dyDescent="0.3">
      <c r="C714" s="2"/>
      <c r="E714" s="2"/>
      <c r="F714" s="2"/>
    </row>
    <row r="715" spans="3:6" x14ac:dyDescent="0.3">
      <c r="C715" s="2"/>
      <c r="E715" s="2"/>
      <c r="F715" s="2"/>
    </row>
    <row r="716" spans="3:6" x14ac:dyDescent="0.3">
      <c r="C716" s="2"/>
      <c r="E716" s="2"/>
      <c r="F716" s="2"/>
    </row>
    <row r="717" spans="3:6" x14ac:dyDescent="0.3">
      <c r="C717" s="2"/>
      <c r="E717" s="2"/>
      <c r="F717" s="2"/>
    </row>
    <row r="718" spans="3:6" x14ac:dyDescent="0.3">
      <c r="C718" s="2"/>
      <c r="E718" s="2"/>
      <c r="F718" s="2"/>
    </row>
    <row r="719" spans="3:6" x14ac:dyDescent="0.3">
      <c r="C719" s="2"/>
      <c r="E719" s="2"/>
      <c r="F719" s="2"/>
    </row>
    <row r="720" spans="3:6" x14ac:dyDescent="0.3">
      <c r="C720" s="2"/>
      <c r="E720" s="2"/>
      <c r="F720" s="2"/>
    </row>
    <row r="721" spans="3:6" x14ac:dyDescent="0.3">
      <c r="C721" s="2"/>
      <c r="E721" s="2"/>
      <c r="F721" s="2"/>
    </row>
    <row r="722" spans="3:6" x14ac:dyDescent="0.3">
      <c r="C722" s="2"/>
      <c r="E722" s="2"/>
      <c r="F722" s="2"/>
    </row>
    <row r="723" spans="3:6" x14ac:dyDescent="0.3">
      <c r="C723" s="2"/>
      <c r="E723" s="2"/>
      <c r="F723" s="2"/>
    </row>
    <row r="724" spans="3:6" x14ac:dyDescent="0.3">
      <c r="C724" s="2"/>
      <c r="E724" s="2"/>
      <c r="F724" s="2"/>
    </row>
    <row r="725" spans="3:6" x14ac:dyDescent="0.3">
      <c r="C725" s="2"/>
      <c r="E725" s="2"/>
      <c r="F725" s="2"/>
    </row>
    <row r="726" spans="3:6" x14ac:dyDescent="0.3">
      <c r="C726" s="2"/>
      <c r="E726" s="2"/>
      <c r="F726" s="2"/>
    </row>
    <row r="727" spans="3:6" x14ac:dyDescent="0.3">
      <c r="C727" s="2"/>
      <c r="E727" s="2"/>
      <c r="F727" s="2"/>
    </row>
    <row r="728" spans="3:6" x14ac:dyDescent="0.3">
      <c r="C728" s="2"/>
      <c r="E728" s="2"/>
      <c r="F728" s="2"/>
    </row>
    <row r="729" spans="3:6" x14ac:dyDescent="0.3">
      <c r="C729" s="2"/>
      <c r="E729" s="2"/>
      <c r="F729" s="2"/>
    </row>
    <row r="730" spans="3:6" x14ac:dyDescent="0.3">
      <c r="C730" s="2"/>
      <c r="E730" s="2"/>
      <c r="F730" s="2"/>
    </row>
    <row r="731" spans="3:6" x14ac:dyDescent="0.3">
      <c r="C731" s="2"/>
      <c r="E731" s="2"/>
      <c r="F731" s="2"/>
    </row>
    <row r="732" spans="3:6" x14ac:dyDescent="0.3">
      <c r="C732" s="2"/>
      <c r="E732" s="2"/>
      <c r="F732" s="2"/>
    </row>
    <row r="733" spans="3:6" x14ac:dyDescent="0.3">
      <c r="C733" s="2"/>
      <c r="E733" s="2"/>
      <c r="F733" s="2"/>
    </row>
    <row r="734" spans="3:6" x14ac:dyDescent="0.3">
      <c r="C734" s="2"/>
      <c r="E734" s="2"/>
      <c r="F734" s="2"/>
    </row>
    <row r="735" spans="3:6" x14ac:dyDescent="0.3">
      <c r="C735" s="2"/>
      <c r="E735" s="2"/>
      <c r="F735" s="2"/>
    </row>
    <row r="736" spans="3:6" x14ac:dyDescent="0.3">
      <c r="C736" s="2"/>
      <c r="E736" s="2"/>
      <c r="F736" s="2"/>
    </row>
    <row r="737" spans="3:6" x14ac:dyDescent="0.3">
      <c r="C737" s="2"/>
      <c r="E737" s="2"/>
      <c r="F737" s="2"/>
    </row>
    <row r="738" spans="3:6" x14ac:dyDescent="0.3">
      <c r="C738" s="2"/>
      <c r="E738" s="2"/>
      <c r="F738" s="2"/>
    </row>
    <row r="739" spans="3:6" x14ac:dyDescent="0.3">
      <c r="C739" s="2"/>
      <c r="E739" s="2"/>
      <c r="F739" s="2"/>
    </row>
    <row r="740" spans="3:6" x14ac:dyDescent="0.3">
      <c r="C740" s="2"/>
      <c r="E740" s="2"/>
      <c r="F740" s="2"/>
    </row>
    <row r="741" spans="3:6" x14ac:dyDescent="0.3">
      <c r="C741" s="2"/>
      <c r="E741" s="2"/>
      <c r="F741" s="2"/>
    </row>
    <row r="742" spans="3:6" x14ac:dyDescent="0.3">
      <c r="C742" s="2"/>
      <c r="E742" s="2"/>
      <c r="F742" s="2"/>
    </row>
    <row r="743" spans="3:6" x14ac:dyDescent="0.3">
      <c r="C743" s="2"/>
      <c r="E743" s="2"/>
      <c r="F743" s="2"/>
    </row>
    <row r="744" spans="3:6" x14ac:dyDescent="0.3">
      <c r="C744" s="2"/>
      <c r="E744" s="2"/>
      <c r="F744" s="2"/>
    </row>
    <row r="745" spans="3:6" x14ac:dyDescent="0.3">
      <c r="C745" s="2"/>
      <c r="E745" s="2"/>
      <c r="F745" s="2"/>
    </row>
    <row r="746" spans="3:6" x14ac:dyDescent="0.3">
      <c r="C746" s="2"/>
      <c r="E746" s="2"/>
      <c r="F746" s="2"/>
    </row>
    <row r="747" spans="3:6" x14ac:dyDescent="0.3">
      <c r="C747" s="2"/>
      <c r="E747" s="2"/>
      <c r="F747" s="2"/>
    </row>
    <row r="748" spans="3:6" x14ac:dyDescent="0.3">
      <c r="C748" s="2"/>
      <c r="E748" s="2"/>
      <c r="F748" s="2"/>
    </row>
    <row r="749" spans="3:6" x14ac:dyDescent="0.3">
      <c r="C749" s="2"/>
      <c r="E749" s="2"/>
      <c r="F749" s="2"/>
    </row>
    <row r="750" spans="3:6" x14ac:dyDescent="0.3">
      <c r="C750" s="2"/>
      <c r="E750" s="2"/>
      <c r="F750" s="2"/>
    </row>
    <row r="751" spans="3:6" x14ac:dyDescent="0.3">
      <c r="C751" s="2"/>
      <c r="E751" s="2"/>
      <c r="F751" s="2"/>
    </row>
    <row r="752" spans="3:6" x14ac:dyDescent="0.3">
      <c r="C752" s="2"/>
      <c r="E752" s="2"/>
      <c r="F752" s="2"/>
    </row>
    <row r="753" spans="3:6" x14ac:dyDescent="0.3">
      <c r="C753" s="2"/>
      <c r="E753" s="2"/>
      <c r="F753" s="2"/>
    </row>
    <row r="754" spans="3:6" x14ac:dyDescent="0.3">
      <c r="C754" s="2"/>
      <c r="E754" s="2"/>
      <c r="F754" s="2"/>
    </row>
    <row r="755" spans="3:6" x14ac:dyDescent="0.3">
      <c r="C755" s="2"/>
      <c r="E755" s="2"/>
      <c r="F755" s="2"/>
    </row>
    <row r="756" spans="3:6" x14ac:dyDescent="0.3">
      <c r="C756" s="2"/>
      <c r="E756" s="2"/>
      <c r="F756" s="2"/>
    </row>
    <row r="757" spans="3:6" x14ac:dyDescent="0.3">
      <c r="C757" s="2"/>
      <c r="E757" s="2"/>
      <c r="F757" s="2"/>
    </row>
    <row r="758" spans="3:6" x14ac:dyDescent="0.3">
      <c r="C758" s="2"/>
      <c r="E758" s="2"/>
      <c r="F758" s="2"/>
    </row>
    <row r="759" spans="3:6" x14ac:dyDescent="0.3">
      <c r="C759" s="2"/>
      <c r="E759" s="2"/>
      <c r="F759" s="2"/>
    </row>
    <row r="760" spans="3:6" x14ac:dyDescent="0.3">
      <c r="C760" s="2"/>
      <c r="E760" s="2"/>
      <c r="F760" s="2"/>
    </row>
    <row r="761" spans="3:6" x14ac:dyDescent="0.3">
      <c r="C761" s="2"/>
      <c r="E761" s="2"/>
      <c r="F761" s="2"/>
    </row>
    <row r="762" spans="3:6" x14ac:dyDescent="0.3">
      <c r="C762" s="2"/>
      <c r="E762" s="2"/>
      <c r="F762" s="2"/>
    </row>
    <row r="763" spans="3:6" x14ac:dyDescent="0.3">
      <c r="C763" s="2"/>
      <c r="E763" s="2"/>
      <c r="F763" s="2"/>
    </row>
    <row r="764" spans="3:6" x14ac:dyDescent="0.3">
      <c r="C764" s="2"/>
      <c r="E764" s="2"/>
      <c r="F764" s="2"/>
    </row>
    <row r="765" spans="3:6" x14ac:dyDescent="0.3">
      <c r="C765" s="2"/>
      <c r="E765" s="2"/>
      <c r="F765" s="2"/>
    </row>
    <row r="766" spans="3:6" x14ac:dyDescent="0.3">
      <c r="C766" s="2"/>
      <c r="E766" s="2"/>
      <c r="F766" s="2"/>
    </row>
    <row r="767" spans="3:6" x14ac:dyDescent="0.3">
      <c r="C767" s="2"/>
      <c r="E767" s="2"/>
      <c r="F767" s="2"/>
    </row>
    <row r="768" spans="3:6" x14ac:dyDescent="0.3">
      <c r="C768" s="2"/>
      <c r="E768" s="2"/>
      <c r="F768" s="2"/>
    </row>
    <row r="769" spans="3:6" x14ac:dyDescent="0.3">
      <c r="C769" s="2"/>
      <c r="E769" s="2"/>
      <c r="F769" s="2"/>
    </row>
    <row r="770" spans="3:6" x14ac:dyDescent="0.3">
      <c r="C770" s="2"/>
      <c r="E770" s="2"/>
      <c r="F770" s="2"/>
    </row>
    <row r="771" spans="3:6" x14ac:dyDescent="0.3">
      <c r="C771" s="2"/>
      <c r="E771" s="2"/>
      <c r="F771" s="2"/>
    </row>
    <row r="772" spans="3:6" x14ac:dyDescent="0.3">
      <c r="C772" s="2"/>
      <c r="E772" s="2"/>
      <c r="F772" s="2"/>
    </row>
    <row r="773" spans="3:6" x14ac:dyDescent="0.3">
      <c r="C773" s="2"/>
      <c r="E773" s="2"/>
      <c r="F773" s="2"/>
    </row>
    <row r="774" spans="3:6" x14ac:dyDescent="0.3">
      <c r="C774" s="2"/>
      <c r="E774" s="2"/>
      <c r="F774" s="2"/>
    </row>
    <row r="775" spans="3:6" x14ac:dyDescent="0.3">
      <c r="C775" s="2"/>
      <c r="E775" s="2"/>
      <c r="F775" s="2"/>
    </row>
    <row r="776" spans="3:6" x14ac:dyDescent="0.3">
      <c r="C776" s="2"/>
      <c r="E776" s="2"/>
      <c r="F776" s="2"/>
    </row>
    <row r="777" spans="3:6" x14ac:dyDescent="0.3">
      <c r="C777" s="2"/>
      <c r="E777" s="2"/>
      <c r="F777" s="2"/>
    </row>
    <row r="778" spans="3:6" x14ac:dyDescent="0.3">
      <c r="C778" s="2"/>
      <c r="E778" s="2"/>
      <c r="F778" s="2"/>
    </row>
    <row r="779" spans="3:6" x14ac:dyDescent="0.3">
      <c r="C779" s="2"/>
      <c r="E779" s="2"/>
      <c r="F779" s="2"/>
    </row>
    <row r="780" spans="3:6" x14ac:dyDescent="0.3">
      <c r="C780" s="2"/>
      <c r="E780" s="2"/>
      <c r="F780" s="2"/>
    </row>
    <row r="781" spans="3:6" x14ac:dyDescent="0.3">
      <c r="C781" s="2"/>
      <c r="E781" s="2"/>
      <c r="F781" s="2"/>
    </row>
    <row r="782" spans="3:6" x14ac:dyDescent="0.3">
      <c r="C782" s="2"/>
      <c r="E782" s="2"/>
      <c r="F782" s="2"/>
    </row>
    <row r="783" spans="3:6" x14ac:dyDescent="0.3">
      <c r="C783" s="2"/>
      <c r="E783" s="2"/>
      <c r="F783" s="2"/>
    </row>
    <row r="784" spans="3:6" x14ac:dyDescent="0.3">
      <c r="C784" s="2"/>
      <c r="E784" s="2"/>
      <c r="F784" s="2"/>
    </row>
    <row r="785" spans="3:6" x14ac:dyDescent="0.3">
      <c r="C785" s="2"/>
      <c r="E785" s="2"/>
      <c r="F785" s="2"/>
    </row>
    <row r="786" spans="3:6" x14ac:dyDescent="0.3">
      <c r="C786" s="2"/>
      <c r="E786" s="2"/>
      <c r="F786" s="2"/>
    </row>
    <row r="787" spans="3:6" x14ac:dyDescent="0.3">
      <c r="C787" s="2"/>
      <c r="E787" s="2"/>
      <c r="F787" s="2"/>
    </row>
    <row r="788" spans="3:6" x14ac:dyDescent="0.3">
      <c r="C788" s="2"/>
      <c r="E788" s="2"/>
      <c r="F788" s="2"/>
    </row>
    <row r="789" spans="3:6" x14ac:dyDescent="0.3">
      <c r="C789" s="2"/>
      <c r="E789" s="2"/>
      <c r="F789" s="2"/>
    </row>
    <row r="790" spans="3:6" x14ac:dyDescent="0.3">
      <c r="C790" s="2"/>
      <c r="E790" s="2"/>
      <c r="F790" s="2"/>
    </row>
    <row r="791" spans="3:6" x14ac:dyDescent="0.3">
      <c r="C791" s="2"/>
      <c r="E791" s="2"/>
      <c r="F791" s="2"/>
    </row>
    <row r="792" spans="3:6" x14ac:dyDescent="0.3">
      <c r="C792" s="2"/>
      <c r="E792" s="2"/>
      <c r="F792" s="2"/>
    </row>
    <row r="793" spans="3:6" x14ac:dyDescent="0.3">
      <c r="C793" s="2"/>
      <c r="E793" s="2"/>
      <c r="F793" s="2"/>
    </row>
    <row r="794" spans="3:6" x14ac:dyDescent="0.3">
      <c r="C794" s="2"/>
      <c r="E794" s="2"/>
      <c r="F794" s="2"/>
    </row>
    <row r="795" spans="3:6" x14ac:dyDescent="0.3">
      <c r="C795" s="2"/>
      <c r="E795" s="2"/>
      <c r="F795" s="2"/>
    </row>
    <row r="796" spans="3:6" x14ac:dyDescent="0.3">
      <c r="C796" s="2"/>
      <c r="E796" s="2"/>
      <c r="F796" s="2"/>
    </row>
    <row r="797" spans="3:6" x14ac:dyDescent="0.3">
      <c r="C797" s="2"/>
      <c r="E797" s="2"/>
      <c r="F797" s="2"/>
    </row>
    <row r="798" spans="3:6" x14ac:dyDescent="0.3">
      <c r="C798" s="2"/>
      <c r="E798" s="2"/>
      <c r="F798" s="2"/>
    </row>
    <row r="799" spans="3:6" x14ac:dyDescent="0.3">
      <c r="C799" s="2"/>
      <c r="E799" s="2"/>
      <c r="F799" s="2"/>
    </row>
    <row r="800" spans="3:6" x14ac:dyDescent="0.3">
      <c r="C800" s="2"/>
      <c r="E800" s="2"/>
      <c r="F800" s="2"/>
    </row>
    <row r="801" spans="3:6" x14ac:dyDescent="0.3">
      <c r="C801" s="2"/>
      <c r="E801" s="2"/>
      <c r="F801" s="2"/>
    </row>
    <row r="802" spans="3:6" x14ac:dyDescent="0.3">
      <c r="C802" s="2"/>
      <c r="E802" s="2"/>
      <c r="F802" s="2"/>
    </row>
    <row r="803" spans="3:6" x14ac:dyDescent="0.3">
      <c r="C803" s="2"/>
      <c r="E803" s="2"/>
      <c r="F803" s="2"/>
    </row>
    <row r="804" spans="3:6" x14ac:dyDescent="0.3">
      <c r="C804" s="2"/>
      <c r="E804" s="2"/>
      <c r="F804" s="2"/>
    </row>
    <row r="805" spans="3:6" x14ac:dyDescent="0.3">
      <c r="C805" s="2"/>
      <c r="E805" s="2"/>
      <c r="F805" s="2"/>
    </row>
    <row r="806" spans="3:6" x14ac:dyDescent="0.3">
      <c r="C806" s="2"/>
      <c r="E806" s="2"/>
      <c r="F806" s="2"/>
    </row>
    <row r="807" spans="3:6" x14ac:dyDescent="0.3">
      <c r="C807" s="2"/>
      <c r="E807" s="2"/>
      <c r="F807" s="2"/>
    </row>
    <row r="808" spans="3:6" x14ac:dyDescent="0.3">
      <c r="C808" s="2"/>
      <c r="E808" s="2"/>
      <c r="F808" s="2"/>
    </row>
    <row r="809" spans="3:6" x14ac:dyDescent="0.3">
      <c r="C809" s="2"/>
      <c r="E809" s="2"/>
      <c r="F809" s="2"/>
    </row>
    <row r="810" spans="3:6" x14ac:dyDescent="0.3">
      <c r="C810" s="2"/>
      <c r="E810" s="2"/>
      <c r="F810" s="2"/>
    </row>
    <row r="811" spans="3:6" x14ac:dyDescent="0.3">
      <c r="C811" s="2"/>
      <c r="E811" s="2"/>
      <c r="F811" s="2"/>
    </row>
    <row r="812" spans="3:6" x14ac:dyDescent="0.3">
      <c r="C812" s="2"/>
      <c r="E812" s="2"/>
      <c r="F812" s="2"/>
    </row>
    <row r="813" spans="3:6" x14ac:dyDescent="0.3">
      <c r="C813" s="2"/>
      <c r="E813" s="2"/>
      <c r="F813" s="2"/>
    </row>
    <row r="814" spans="3:6" x14ac:dyDescent="0.3">
      <c r="C814" s="2"/>
      <c r="E814" s="2"/>
      <c r="F814" s="2"/>
    </row>
    <row r="815" spans="3:6" x14ac:dyDescent="0.3">
      <c r="C815" s="2"/>
      <c r="E815" s="2"/>
      <c r="F815" s="2"/>
    </row>
    <row r="816" spans="3:6" x14ac:dyDescent="0.3">
      <c r="C816" s="2"/>
      <c r="E816" s="2"/>
      <c r="F816" s="2"/>
    </row>
    <row r="817" spans="3:6" x14ac:dyDescent="0.3">
      <c r="C817" s="2"/>
      <c r="E817" s="2"/>
      <c r="F817" s="2"/>
    </row>
    <row r="818" spans="3:6" x14ac:dyDescent="0.3">
      <c r="C818" s="2"/>
      <c r="E818" s="2"/>
      <c r="F818" s="2"/>
    </row>
    <row r="819" spans="3:6" x14ac:dyDescent="0.3">
      <c r="C819" s="2"/>
      <c r="E819" s="2"/>
      <c r="F819" s="2"/>
    </row>
    <row r="820" spans="3:6" x14ac:dyDescent="0.3">
      <c r="C820" s="2"/>
      <c r="E820" s="2"/>
      <c r="F820" s="2"/>
    </row>
    <row r="821" spans="3:6" x14ac:dyDescent="0.3">
      <c r="C821" s="2"/>
      <c r="E821" s="2"/>
      <c r="F821" s="2"/>
    </row>
    <row r="822" spans="3:6" x14ac:dyDescent="0.3">
      <c r="C822" s="2"/>
      <c r="E822" s="2"/>
      <c r="F822" s="2"/>
    </row>
    <row r="823" spans="3:6" x14ac:dyDescent="0.3">
      <c r="C823" s="2"/>
      <c r="E823" s="2"/>
      <c r="F823" s="2"/>
    </row>
    <row r="824" spans="3:6" x14ac:dyDescent="0.3">
      <c r="C824" s="2"/>
      <c r="E824" s="2"/>
      <c r="F824" s="2"/>
    </row>
    <row r="825" spans="3:6" x14ac:dyDescent="0.3">
      <c r="C825" s="2"/>
      <c r="E825" s="2"/>
      <c r="F825" s="2"/>
    </row>
    <row r="826" spans="3:6" x14ac:dyDescent="0.3">
      <c r="C826" s="2"/>
      <c r="E826" s="2"/>
      <c r="F826" s="2"/>
    </row>
    <row r="827" spans="3:6" x14ac:dyDescent="0.3">
      <c r="C827" s="2"/>
      <c r="E827" s="2"/>
      <c r="F827" s="2"/>
    </row>
    <row r="828" spans="3:6" x14ac:dyDescent="0.3">
      <c r="C828" s="2"/>
      <c r="E828" s="2"/>
      <c r="F828" s="2"/>
    </row>
    <row r="829" spans="3:6" x14ac:dyDescent="0.3">
      <c r="C829" s="2"/>
      <c r="E829" s="2"/>
      <c r="F829" s="2"/>
    </row>
    <row r="830" spans="3:6" x14ac:dyDescent="0.3">
      <c r="C830" s="2"/>
      <c r="E830" s="2"/>
      <c r="F830" s="2"/>
    </row>
    <row r="831" spans="3:6" x14ac:dyDescent="0.3">
      <c r="C831" s="2"/>
      <c r="E831" s="2"/>
      <c r="F831" s="2"/>
    </row>
    <row r="832" spans="3:6" x14ac:dyDescent="0.3">
      <c r="C832" s="2"/>
      <c r="E832" s="2"/>
      <c r="F832" s="2"/>
    </row>
    <row r="833" spans="3:6" x14ac:dyDescent="0.3">
      <c r="C833" s="2"/>
      <c r="E833" s="2"/>
      <c r="F833" s="2"/>
    </row>
    <row r="834" spans="3:6" x14ac:dyDescent="0.3">
      <c r="C834" s="2"/>
      <c r="E834" s="2"/>
      <c r="F834" s="2"/>
    </row>
    <row r="835" spans="3:6" x14ac:dyDescent="0.3">
      <c r="C835" s="2"/>
      <c r="E835" s="2"/>
      <c r="F835" s="2"/>
    </row>
    <row r="836" spans="3:6" x14ac:dyDescent="0.3">
      <c r="C836" s="2"/>
      <c r="E836" s="2"/>
      <c r="F836" s="2"/>
    </row>
    <row r="837" spans="3:6" x14ac:dyDescent="0.3">
      <c r="C837" s="2"/>
      <c r="E837" s="2"/>
      <c r="F837" s="2"/>
    </row>
    <row r="838" spans="3:6" x14ac:dyDescent="0.3">
      <c r="C838" s="2"/>
      <c r="E838" s="2"/>
      <c r="F838" s="2"/>
    </row>
    <row r="839" spans="3:6" x14ac:dyDescent="0.3">
      <c r="C839" s="2"/>
      <c r="E839" s="2"/>
      <c r="F839" s="2"/>
    </row>
    <row r="840" spans="3:6" x14ac:dyDescent="0.3">
      <c r="C840" s="2"/>
      <c r="E840" s="2"/>
      <c r="F840" s="2"/>
    </row>
    <row r="841" spans="3:6" x14ac:dyDescent="0.3">
      <c r="C841" s="2"/>
      <c r="E841" s="2"/>
      <c r="F841" s="2"/>
    </row>
    <row r="842" spans="3:6" x14ac:dyDescent="0.3">
      <c r="C842" s="2"/>
      <c r="E842" s="2"/>
      <c r="F842" s="2"/>
    </row>
    <row r="843" spans="3:6" x14ac:dyDescent="0.3">
      <c r="C843" s="2"/>
      <c r="E843" s="2"/>
      <c r="F843" s="2"/>
    </row>
    <row r="844" spans="3:6" x14ac:dyDescent="0.3">
      <c r="C844" s="2"/>
      <c r="E844" s="2"/>
      <c r="F844" s="2"/>
    </row>
    <row r="845" spans="3:6" x14ac:dyDescent="0.3">
      <c r="C845" s="2"/>
      <c r="E845" s="2"/>
      <c r="F845" s="2"/>
    </row>
    <row r="846" spans="3:6" x14ac:dyDescent="0.3">
      <c r="C846" s="2"/>
      <c r="E846" s="2"/>
      <c r="F846" s="2"/>
    </row>
    <row r="847" spans="3:6" x14ac:dyDescent="0.3">
      <c r="C847" s="2"/>
      <c r="E847" s="2"/>
      <c r="F847" s="2"/>
    </row>
    <row r="848" spans="3:6" x14ac:dyDescent="0.3">
      <c r="C848" s="2"/>
      <c r="E848" s="2"/>
      <c r="F848" s="2"/>
    </row>
    <row r="849" spans="3:6" x14ac:dyDescent="0.3">
      <c r="C849" s="2"/>
      <c r="E849" s="2"/>
      <c r="F849" s="2"/>
    </row>
    <row r="850" spans="3:6" x14ac:dyDescent="0.3">
      <c r="C850" s="2"/>
      <c r="E850" s="2"/>
      <c r="F850" s="2"/>
    </row>
    <row r="851" spans="3:6" x14ac:dyDescent="0.3">
      <c r="C851" s="2"/>
      <c r="E851" s="2"/>
      <c r="F851" s="2"/>
    </row>
    <row r="852" spans="3:6" x14ac:dyDescent="0.3">
      <c r="C852" s="2"/>
      <c r="E852" s="2"/>
      <c r="F852" s="2"/>
    </row>
    <row r="853" spans="3:6" x14ac:dyDescent="0.3">
      <c r="C853" s="2"/>
      <c r="E853" s="2"/>
      <c r="F853" s="2"/>
    </row>
    <row r="854" spans="3:6" x14ac:dyDescent="0.3">
      <c r="C854" s="2"/>
      <c r="E854" s="2"/>
      <c r="F854" s="2"/>
    </row>
    <row r="855" spans="3:6" x14ac:dyDescent="0.3">
      <c r="C855" s="2"/>
      <c r="E855" s="2"/>
      <c r="F855" s="2"/>
    </row>
    <row r="856" spans="3:6" x14ac:dyDescent="0.3">
      <c r="C856" s="2"/>
      <c r="E856" s="2"/>
      <c r="F856" s="2"/>
    </row>
    <row r="857" spans="3:6" x14ac:dyDescent="0.3">
      <c r="C857" s="2"/>
      <c r="E857" s="2"/>
      <c r="F857" s="2"/>
    </row>
    <row r="858" spans="3:6" x14ac:dyDescent="0.3">
      <c r="C858" s="2"/>
      <c r="E858" s="2"/>
      <c r="F858" s="2"/>
    </row>
    <row r="859" spans="3:6" x14ac:dyDescent="0.3">
      <c r="C859" s="2"/>
      <c r="E859" s="2"/>
      <c r="F859" s="2"/>
    </row>
    <row r="860" spans="3:6" x14ac:dyDescent="0.3">
      <c r="C860" s="2"/>
      <c r="E860" s="2"/>
      <c r="F860" s="2"/>
    </row>
    <row r="861" spans="3:6" x14ac:dyDescent="0.3">
      <c r="C861" s="2"/>
      <c r="E861" s="2"/>
      <c r="F861" s="2"/>
    </row>
    <row r="862" spans="3:6" x14ac:dyDescent="0.3">
      <c r="C862" s="2"/>
      <c r="E862" s="2"/>
      <c r="F862" s="2"/>
    </row>
    <row r="863" spans="3:6" x14ac:dyDescent="0.3">
      <c r="C863" s="2"/>
      <c r="E863" s="2"/>
      <c r="F863" s="2"/>
    </row>
    <row r="864" spans="3:6" x14ac:dyDescent="0.3">
      <c r="C864" s="2"/>
      <c r="E864" s="2"/>
      <c r="F864" s="2"/>
    </row>
    <row r="865" spans="3:6" x14ac:dyDescent="0.3">
      <c r="C865" s="2"/>
      <c r="E865" s="2"/>
      <c r="F865" s="2"/>
    </row>
    <row r="866" spans="3:6" x14ac:dyDescent="0.3">
      <c r="C866" s="2"/>
      <c r="E866" s="2"/>
      <c r="F866" s="2"/>
    </row>
    <row r="867" spans="3:6" x14ac:dyDescent="0.3">
      <c r="C867" s="2"/>
      <c r="E867" s="2"/>
      <c r="F867" s="2"/>
    </row>
    <row r="868" spans="3:6" x14ac:dyDescent="0.3">
      <c r="C868" s="2"/>
      <c r="E868" s="2"/>
      <c r="F868" s="2"/>
    </row>
    <row r="869" spans="3:6" x14ac:dyDescent="0.3">
      <c r="C869" s="2"/>
      <c r="E869" s="2"/>
      <c r="F869" s="2"/>
    </row>
    <row r="870" spans="3:6" x14ac:dyDescent="0.3">
      <c r="C870" s="2"/>
      <c r="E870" s="2"/>
      <c r="F870" s="2"/>
    </row>
    <row r="871" spans="3:6" x14ac:dyDescent="0.3">
      <c r="C871" s="2"/>
      <c r="E871" s="2"/>
      <c r="F871" s="2"/>
    </row>
    <row r="872" spans="3:6" x14ac:dyDescent="0.3">
      <c r="C872" s="2"/>
      <c r="E872" s="2"/>
      <c r="F872" s="2"/>
    </row>
    <row r="873" spans="3:6" x14ac:dyDescent="0.3">
      <c r="C873" s="2"/>
      <c r="E873" s="2"/>
      <c r="F873" s="2"/>
    </row>
    <row r="874" spans="3:6" x14ac:dyDescent="0.3">
      <c r="C874" s="2"/>
      <c r="E874" s="2"/>
      <c r="F874" s="2"/>
    </row>
    <row r="875" spans="3:6" x14ac:dyDescent="0.3">
      <c r="C875" s="2"/>
      <c r="E875" s="2"/>
      <c r="F875" s="2"/>
    </row>
    <row r="876" spans="3:6" x14ac:dyDescent="0.3">
      <c r="C876" s="2"/>
      <c r="E876" s="2"/>
      <c r="F876" s="2"/>
    </row>
    <row r="877" spans="3:6" x14ac:dyDescent="0.3">
      <c r="C877" s="2"/>
      <c r="E877" s="2"/>
      <c r="F877" s="2"/>
    </row>
    <row r="878" spans="3:6" x14ac:dyDescent="0.3">
      <c r="C878" s="2"/>
      <c r="E878" s="2"/>
      <c r="F878" s="2"/>
    </row>
    <row r="879" spans="3:6" x14ac:dyDescent="0.3">
      <c r="C879" s="2"/>
      <c r="E879" s="2"/>
      <c r="F879" s="2"/>
    </row>
    <row r="880" spans="3:6" x14ac:dyDescent="0.3">
      <c r="C880" s="2"/>
      <c r="E880" s="2"/>
      <c r="F880" s="2"/>
    </row>
    <row r="881" spans="3:6" x14ac:dyDescent="0.3">
      <c r="C881" s="2"/>
      <c r="E881" s="2"/>
      <c r="F881" s="2"/>
    </row>
    <row r="882" spans="3:6" x14ac:dyDescent="0.3">
      <c r="C882" s="2"/>
      <c r="E882" s="2"/>
      <c r="F882" s="2"/>
    </row>
    <row r="883" spans="3:6" x14ac:dyDescent="0.3">
      <c r="C883" s="2"/>
      <c r="E883" s="2"/>
      <c r="F883" s="2"/>
    </row>
    <row r="884" spans="3:6" x14ac:dyDescent="0.3">
      <c r="C884" s="2"/>
      <c r="E884" s="2"/>
      <c r="F884" s="2"/>
    </row>
    <row r="885" spans="3:6" x14ac:dyDescent="0.3">
      <c r="C885" s="2"/>
      <c r="E885" s="2"/>
      <c r="F885" s="2"/>
    </row>
    <row r="886" spans="3:6" x14ac:dyDescent="0.3">
      <c r="C886" s="2"/>
      <c r="E886" s="2"/>
      <c r="F886" s="2"/>
    </row>
    <row r="887" spans="3:6" x14ac:dyDescent="0.3">
      <c r="C887" s="2"/>
      <c r="E887" s="2"/>
      <c r="F887" s="2"/>
    </row>
    <row r="888" spans="3:6" x14ac:dyDescent="0.3">
      <c r="C888" s="2"/>
      <c r="E888" s="2"/>
      <c r="F888" s="2"/>
    </row>
    <row r="889" spans="3:6" x14ac:dyDescent="0.3">
      <c r="C889" s="2"/>
      <c r="E889" s="2"/>
      <c r="F889" s="2"/>
    </row>
    <row r="890" spans="3:6" x14ac:dyDescent="0.3">
      <c r="C890" s="2"/>
      <c r="E890" s="2"/>
      <c r="F890" s="2"/>
    </row>
    <row r="891" spans="3:6" x14ac:dyDescent="0.3">
      <c r="C891" s="2"/>
      <c r="E891" s="2"/>
      <c r="F891" s="2"/>
    </row>
    <row r="892" spans="3:6" x14ac:dyDescent="0.3">
      <c r="C892" s="2"/>
      <c r="E892" s="2"/>
      <c r="F892" s="2"/>
    </row>
    <row r="893" spans="3:6" x14ac:dyDescent="0.3">
      <c r="C893" s="2"/>
      <c r="E893" s="2"/>
      <c r="F893" s="2"/>
    </row>
    <row r="894" spans="3:6" x14ac:dyDescent="0.3">
      <c r="C894" s="2"/>
      <c r="E894" s="2"/>
      <c r="F894" s="2"/>
    </row>
    <row r="895" spans="3:6" x14ac:dyDescent="0.3">
      <c r="C895" s="2"/>
      <c r="E895" s="2"/>
      <c r="F895" s="2"/>
    </row>
    <row r="896" spans="3:6" x14ac:dyDescent="0.3">
      <c r="C896" s="2"/>
      <c r="E896" s="2"/>
      <c r="F896" s="2"/>
    </row>
    <row r="897" spans="3:6" x14ac:dyDescent="0.3">
      <c r="C897" s="2"/>
      <c r="E897" s="2"/>
      <c r="F897" s="2"/>
    </row>
    <row r="898" spans="3:6" x14ac:dyDescent="0.3">
      <c r="C898" s="2"/>
      <c r="E898" s="2"/>
      <c r="F898" s="2"/>
    </row>
    <row r="899" spans="3:6" x14ac:dyDescent="0.3">
      <c r="C899" s="2"/>
      <c r="E899" s="2"/>
      <c r="F899" s="2"/>
    </row>
    <row r="900" spans="3:6" x14ac:dyDescent="0.3">
      <c r="C900" s="2"/>
      <c r="E900" s="2"/>
      <c r="F900" s="2"/>
    </row>
    <row r="901" spans="3:6" x14ac:dyDescent="0.3">
      <c r="C901" s="2"/>
      <c r="E901" s="2"/>
      <c r="F901" s="2"/>
    </row>
    <row r="902" spans="3:6" x14ac:dyDescent="0.3">
      <c r="C902" s="2"/>
      <c r="E902" s="2"/>
      <c r="F902" s="2"/>
    </row>
    <row r="903" spans="3:6" x14ac:dyDescent="0.3">
      <c r="C903" s="2"/>
      <c r="E903" s="2"/>
      <c r="F903" s="2"/>
    </row>
    <row r="904" spans="3:6" x14ac:dyDescent="0.3">
      <c r="C904" s="2"/>
      <c r="E904" s="2"/>
      <c r="F904" s="2"/>
    </row>
    <row r="905" spans="3:6" x14ac:dyDescent="0.3">
      <c r="C905" s="2"/>
      <c r="E905" s="2"/>
      <c r="F905" s="2"/>
    </row>
    <row r="906" spans="3:6" x14ac:dyDescent="0.3">
      <c r="C906" s="2"/>
      <c r="E906" s="2"/>
      <c r="F906" s="2"/>
    </row>
    <row r="907" spans="3:6" x14ac:dyDescent="0.3">
      <c r="C907" s="2"/>
      <c r="E907" s="2"/>
      <c r="F907" s="2"/>
    </row>
    <row r="908" spans="3:6" x14ac:dyDescent="0.3">
      <c r="C908" s="2"/>
      <c r="E908" s="2"/>
      <c r="F908" s="2"/>
    </row>
    <row r="909" spans="3:6" x14ac:dyDescent="0.3">
      <c r="C909" s="2"/>
      <c r="E909" s="2"/>
      <c r="F909" s="2"/>
    </row>
    <row r="910" spans="3:6" x14ac:dyDescent="0.3">
      <c r="C910" s="2"/>
      <c r="E910" s="2"/>
      <c r="F910" s="2"/>
    </row>
    <row r="911" spans="3:6" x14ac:dyDescent="0.3">
      <c r="C911" s="2"/>
      <c r="E911" s="2"/>
      <c r="F911" s="2"/>
    </row>
    <row r="912" spans="3:6" x14ac:dyDescent="0.3">
      <c r="C912" s="2"/>
      <c r="E912" s="2"/>
      <c r="F912" s="2"/>
    </row>
    <row r="913" spans="3:6" x14ac:dyDescent="0.3">
      <c r="C913" s="2"/>
      <c r="E913" s="2"/>
      <c r="F913" s="2"/>
    </row>
    <row r="914" spans="3:6" x14ac:dyDescent="0.3">
      <c r="C914" s="2"/>
      <c r="E914" s="2"/>
      <c r="F914" s="2"/>
    </row>
    <row r="915" spans="3:6" x14ac:dyDescent="0.3">
      <c r="C915" s="2"/>
      <c r="E915" s="2"/>
      <c r="F915" s="2"/>
    </row>
    <row r="916" spans="3:6" x14ac:dyDescent="0.3">
      <c r="C916" s="2"/>
      <c r="E916" s="2"/>
      <c r="F916" s="2"/>
    </row>
    <row r="917" spans="3:6" x14ac:dyDescent="0.3">
      <c r="C917" s="2"/>
      <c r="E917" s="2"/>
      <c r="F917" s="2"/>
    </row>
    <row r="918" spans="3:6" x14ac:dyDescent="0.3">
      <c r="C918" s="2"/>
      <c r="E918" s="2"/>
      <c r="F918" s="2"/>
    </row>
    <row r="919" spans="3:6" x14ac:dyDescent="0.3">
      <c r="C919" s="2"/>
      <c r="E919" s="2"/>
      <c r="F919" s="2"/>
    </row>
    <row r="920" spans="3:6" x14ac:dyDescent="0.3">
      <c r="C920" s="2"/>
      <c r="E920" s="2"/>
      <c r="F920" s="2"/>
    </row>
    <row r="921" spans="3:6" x14ac:dyDescent="0.3">
      <c r="C921" s="2"/>
      <c r="E921" s="2"/>
      <c r="F921" s="2"/>
    </row>
    <row r="922" spans="3:6" x14ac:dyDescent="0.3">
      <c r="C922" s="2"/>
      <c r="E922" s="2"/>
      <c r="F922" s="2"/>
    </row>
    <row r="923" spans="3:6" x14ac:dyDescent="0.3">
      <c r="C923" s="2"/>
      <c r="E923" s="2"/>
      <c r="F923" s="2"/>
    </row>
    <row r="924" spans="3:6" x14ac:dyDescent="0.3">
      <c r="C924" s="2"/>
      <c r="E924" s="2"/>
      <c r="F924" s="2"/>
    </row>
    <row r="925" spans="3:6" x14ac:dyDescent="0.3">
      <c r="C925" s="2"/>
      <c r="E925" s="2"/>
      <c r="F925" s="2"/>
    </row>
    <row r="926" spans="3:6" x14ac:dyDescent="0.3">
      <c r="C926" s="2"/>
      <c r="E926" s="2"/>
      <c r="F926" s="2"/>
    </row>
    <row r="927" spans="3:6" x14ac:dyDescent="0.3">
      <c r="C927" s="2"/>
      <c r="E927" s="2"/>
      <c r="F927" s="2"/>
    </row>
    <row r="928" spans="3:6" x14ac:dyDescent="0.3">
      <c r="C928" s="2"/>
      <c r="E928" s="2"/>
      <c r="F928" s="2"/>
    </row>
    <row r="929" spans="3:6" x14ac:dyDescent="0.3">
      <c r="C929" s="2"/>
      <c r="E929" s="2"/>
      <c r="F929" s="2"/>
    </row>
    <row r="930" spans="3:6" x14ac:dyDescent="0.3">
      <c r="C930" s="2"/>
      <c r="E930" s="2"/>
      <c r="F930" s="2"/>
    </row>
    <row r="931" spans="3:6" x14ac:dyDescent="0.3">
      <c r="C931" s="2"/>
      <c r="E931" s="2"/>
      <c r="F931" s="2"/>
    </row>
    <row r="932" spans="3:6" x14ac:dyDescent="0.3">
      <c r="C932" s="2"/>
      <c r="E932" s="2"/>
      <c r="F932" s="2"/>
    </row>
    <row r="933" spans="3:6" x14ac:dyDescent="0.3">
      <c r="C933" s="2"/>
      <c r="E933" s="2"/>
      <c r="F933" s="2"/>
    </row>
    <row r="934" spans="3:6" x14ac:dyDescent="0.3">
      <c r="C934" s="2"/>
      <c r="E934" s="2"/>
      <c r="F934" s="2"/>
    </row>
    <row r="935" spans="3:6" x14ac:dyDescent="0.3">
      <c r="C935" s="2"/>
      <c r="E935" s="2"/>
      <c r="F935" s="2"/>
    </row>
    <row r="936" spans="3:6" x14ac:dyDescent="0.3">
      <c r="C936" s="2"/>
      <c r="E936" s="2"/>
      <c r="F936" s="2"/>
    </row>
    <row r="937" spans="3:6" x14ac:dyDescent="0.3">
      <c r="C937" s="2"/>
      <c r="E937" s="2"/>
      <c r="F937" s="2"/>
    </row>
    <row r="938" spans="3:6" x14ac:dyDescent="0.3">
      <c r="C938" s="2"/>
      <c r="E938" s="2"/>
      <c r="F938" s="2"/>
    </row>
    <row r="939" spans="3:6" x14ac:dyDescent="0.3">
      <c r="C939" s="2"/>
      <c r="E939" s="2"/>
      <c r="F939" s="2"/>
    </row>
    <row r="940" spans="3:6" x14ac:dyDescent="0.3">
      <c r="C940" s="2"/>
      <c r="E940" s="2"/>
      <c r="F940" s="2"/>
    </row>
    <row r="941" spans="3:6" x14ac:dyDescent="0.3">
      <c r="C941" s="2"/>
      <c r="E941" s="2"/>
      <c r="F941" s="2"/>
    </row>
    <row r="942" spans="3:6" x14ac:dyDescent="0.3">
      <c r="C942" s="2"/>
      <c r="E942" s="2"/>
      <c r="F942" s="2"/>
    </row>
    <row r="943" spans="3:6" x14ac:dyDescent="0.3">
      <c r="C943" s="2"/>
      <c r="E943" s="2"/>
      <c r="F943" s="2"/>
    </row>
    <row r="944" spans="3:6" x14ac:dyDescent="0.3">
      <c r="C944" s="2"/>
      <c r="E944" s="2"/>
      <c r="F944" s="2"/>
    </row>
    <row r="945" spans="3:6" x14ac:dyDescent="0.3">
      <c r="C945" s="2"/>
      <c r="E945" s="2"/>
      <c r="F945" s="2"/>
    </row>
    <row r="946" spans="3:6" x14ac:dyDescent="0.3">
      <c r="C946" s="2"/>
      <c r="E946" s="2"/>
      <c r="F946" s="2"/>
    </row>
    <row r="947" spans="3:6" x14ac:dyDescent="0.3">
      <c r="C947" s="2"/>
      <c r="E947" s="2"/>
      <c r="F947" s="2"/>
    </row>
    <row r="948" spans="3:6" x14ac:dyDescent="0.3">
      <c r="C948" s="2"/>
      <c r="E948" s="2"/>
      <c r="F948" s="2"/>
    </row>
    <row r="949" spans="3:6" x14ac:dyDescent="0.3">
      <c r="C949" s="2"/>
      <c r="E949" s="2"/>
      <c r="F949" s="2"/>
    </row>
    <row r="950" spans="3:6" x14ac:dyDescent="0.3">
      <c r="C950" s="2"/>
      <c r="E950" s="2"/>
      <c r="F950" s="2"/>
    </row>
    <row r="951" spans="3:6" x14ac:dyDescent="0.3">
      <c r="C951" s="2"/>
      <c r="E951" s="2"/>
      <c r="F951" s="2"/>
    </row>
    <row r="952" spans="3:6" x14ac:dyDescent="0.3">
      <c r="C952" s="2"/>
      <c r="E952" s="2"/>
      <c r="F952" s="2"/>
    </row>
    <row r="953" spans="3:6" x14ac:dyDescent="0.3">
      <c r="C953" s="2"/>
      <c r="E953" s="2"/>
      <c r="F953" s="2"/>
    </row>
    <row r="954" spans="3:6" x14ac:dyDescent="0.3">
      <c r="C954" s="2"/>
      <c r="E954" s="2"/>
      <c r="F954" s="2"/>
    </row>
    <row r="955" spans="3:6" x14ac:dyDescent="0.3">
      <c r="C955" s="2"/>
      <c r="E955" s="2"/>
      <c r="F955" s="2"/>
    </row>
    <row r="956" spans="3:6" x14ac:dyDescent="0.3">
      <c r="C956" s="2"/>
      <c r="E956" s="2"/>
      <c r="F956" s="2"/>
    </row>
    <row r="957" spans="3:6" x14ac:dyDescent="0.3">
      <c r="C957" s="2"/>
      <c r="E957" s="2"/>
      <c r="F957" s="2"/>
    </row>
    <row r="958" spans="3:6" x14ac:dyDescent="0.3">
      <c r="C958" s="2"/>
      <c r="E958" s="2"/>
      <c r="F958" s="2"/>
    </row>
    <row r="959" spans="3:6" x14ac:dyDescent="0.3">
      <c r="C959" s="2"/>
      <c r="E959" s="2"/>
      <c r="F959" s="2"/>
    </row>
    <row r="960" spans="3:6" x14ac:dyDescent="0.3">
      <c r="C960" s="2"/>
      <c r="E960" s="2"/>
      <c r="F960" s="2"/>
    </row>
    <row r="961" spans="3:6" x14ac:dyDescent="0.3">
      <c r="C961" s="2"/>
      <c r="E961" s="2"/>
      <c r="F961" s="2"/>
    </row>
    <row r="962" spans="3:6" x14ac:dyDescent="0.3">
      <c r="C962" s="2"/>
      <c r="E962" s="2"/>
      <c r="F962" s="2"/>
    </row>
    <row r="963" spans="3:6" x14ac:dyDescent="0.3">
      <c r="C963" s="2"/>
      <c r="E963" s="2"/>
      <c r="F963" s="2"/>
    </row>
    <row r="964" spans="3:6" x14ac:dyDescent="0.3">
      <c r="C964" s="2"/>
      <c r="E964" s="2"/>
      <c r="F964" s="2"/>
    </row>
    <row r="965" spans="3:6" x14ac:dyDescent="0.3">
      <c r="C965" s="2"/>
      <c r="E965" s="2"/>
      <c r="F965" s="2"/>
    </row>
    <row r="966" spans="3:6" x14ac:dyDescent="0.3">
      <c r="C966" s="2"/>
      <c r="E966" s="2"/>
      <c r="F966" s="2"/>
    </row>
    <row r="967" spans="3:6" x14ac:dyDescent="0.3">
      <c r="C967" s="2"/>
      <c r="E967" s="2"/>
      <c r="F967" s="2"/>
    </row>
    <row r="968" spans="3:6" x14ac:dyDescent="0.3">
      <c r="C968" s="2"/>
      <c r="E968" s="2"/>
      <c r="F968" s="2"/>
    </row>
    <row r="969" spans="3:6" x14ac:dyDescent="0.3">
      <c r="C969" s="2"/>
      <c r="E969" s="2"/>
      <c r="F969" s="2"/>
    </row>
    <row r="970" spans="3:6" x14ac:dyDescent="0.3">
      <c r="C970" s="2"/>
      <c r="E970" s="2"/>
      <c r="F970" s="2"/>
    </row>
    <row r="971" spans="3:6" x14ac:dyDescent="0.3">
      <c r="C971" s="2"/>
      <c r="E971" s="2"/>
      <c r="F971" s="2"/>
    </row>
    <row r="972" spans="3:6" x14ac:dyDescent="0.3">
      <c r="C972" s="2"/>
      <c r="E972" s="2"/>
      <c r="F972" s="2"/>
    </row>
    <row r="973" spans="3:6" x14ac:dyDescent="0.3">
      <c r="C973" s="2"/>
      <c r="E973" s="2"/>
      <c r="F973" s="2"/>
    </row>
    <row r="974" spans="3:6" x14ac:dyDescent="0.3">
      <c r="C974" s="2"/>
      <c r="E974" s="2"/>
      <c r="F974" s="2"/>
    </row>
    <row r="975" spans="3:6" x14ac:dyDescent="0.3">
      <c r="C975" s="2"/>
      <c r="E975" s="2"/>
      <c r="F975" s="2"/>
    </row>
    <row r="976" spans="3:6" x14ac:dyDescent="0.3">
      <c r="C976" s="2"/>
      <c r="E976" s="2"/>
      <c r="F976" s="2"/>
    </row>
    <row r="977" spans="3:6" x14ac:dyDescent="0.3">
      <c r="C977" s="2"/>
      <c r="E977" s="2"/>
      <c r="F977" s="2"/>
    </row>
    <row r="978" spans="3:6" x14ac:dyDescent="0.3">
      <c r="C978" s="2"/>
      <c r="E978" s="2"/>
      <c r="F978" s="2"/>
    </row>
    <row r="979" spans="3:6" x14ac:dyDescent="0.3">
      <c r="C979" s="2"/>
      <c r="E979" s="2"/>
      <c r="F979" s="2"/>
    </row>
    <row r="980" spans="3:6" x14ac:dyDescent="0.3">
      <c r="C980" s="2"/>
      <c r="E980" s="2"/>
      <c r="F980" s="2"/>
    </row>
    <row r="981" spans="3:6" x14ac:dyDescent="0.3">
      <c r="C981" s="2"/>
      <c r="E981" s="2"/>
      <c r="F981" s="2"/>
    </row>
    <row r="982" spans="3:6" x14ac:dyDescent="0.3">
      <c r="C982" s="2"/>
      <c r="E982" s="2"/>
      <c r="F982" s="2"/>
    </row>
    <row r="983" spans="3:6" x14ac:dyDescent="0.3">
      <c r="C983" s="2"/>
      <c r="E983" s="2"/>
      <c r="F983" s="2"/>
    </row>
    <row r="984" spans="3:6" x14ac:dyDescent="0.3">
      <c r="C984" s="2"/>
      <c r="E984" s="2"/>
      <c r="F984" s="2"/>
    </row>
    <row r="985" spans="3:6" x14ac:dyDescent="0.3">
      <c r="C985" s="2"/>
      <c r="E985" s="2"/>
      <c r="F985" s="2"/>
    </row>
    <row r="986" spans="3:6" x14ac:dyDescent="0.3">
      <c r="C986" s="2"/>
      <c r="E986" s="2"/>
      <c r="F986" s="2"/>
    </row>
    <row r="987" spans="3:6" x14ac:dyDescent="0.3">
      <c r="C987" s="2"/>
      <c r="E987" s="2"/>
      <c r="F987" s="2"/>
    </row>
    <row r="988" spans="3:6" x14ac:dyDescent="0.3">
      <c r="C988" s="2"/>
      <c r="E988" s="2"/>
      <c r="F988" s="2"/>
    </row>
    <row r="989" spans="3:6" x14ac:dyDescent="0.3">
      <c r="C989" s="2"/>
      <c r="E989" s="2"/>
      <c r="F989" s="2"/>
    </row>
    <row r="990" spans="3:6" x14ac:dyDescent="0.3">
      <c r="C990" s="2"/>
      <c r="E990" s="2"/>
      <c r="F990" s="2"/>
    </row>
    <row r="991" spans="3:6" x14ac:dyDescent="0.3">
      <c r="C991" s="2"/>
      <c r="E991" s="2"/>
      <c r="F991" s="2"/>
    </row>
    <row r="992" spans="3:6" x14ac:dyDescent="0.3">
      <c r="C992" s="2"/>
      <c r="E992" s="2"/>
      <c r="F992" s="2"/>
    </row>
    <row r="993" spans="3:6" x14ac:dyDescent="0.3">
      <c r="C993" s="2"/>
      <c r="E993" s="2"/>
      <c r="F993" s="2"/>
    </row>
    <row r="994" spans="3:6" x14ac:dyDescent="0.3">
      <c r="C994" s="2"/>
      <c r="E994" s="2"/>
      <c r="F994" s="2"/>
    </row>
    <row r="995" spans="3:6" x14ac:dyDescent="0.3">
      <c r="C995" s="2"/>
      <c r="E995" s="2"/>
      <c r="F995" s="2"/>
    </row>
    <row r="996" spans="3:6" x14ac:dyDescent="0.3">
      <c r="C996" s="2"/>
      <c r="E996" s="2"/>
      <c r="F996" s="2"/>
    </row>
    <row r="997" spans="3:6" x14ac:dyDescent="0.3">
      <c r="C997" s="2"/>
      <c r="E997" s="2"/>
      <c r="F997" s="2"/>
    </row>
    <row r="998" spans="3:6" x14ac:dyDescent="0.3">
      <c r="C998" s="2"/>
      <c r="E998" s="2"/>
      <c r="F998" s="2"/>
    </row>
    <row r="999" spans="3:6" x14ac:dyDescent="0.3">
      <c r="C999" s="2"/>
      <c r="E999" s="2"/>
      <c r="F999" s="2"/>
    </row>
    <row r="1000" spans="3:6" x14ac:dyDescent="0.3">
      <c r="C1000" s="2"/>
      <c r="E1000" s="2"/>
      <c r="F1000" s="2"/>
    </row>
  </sheetData>
  <sheetProtection algorithmName="SHA-512" hashValue="13n1iT7dxb7dHKTvvjekoNfhWhvFY/Q5x3Wm728OIH1rtx9bokE8OoddR3AmbDeGzQKuVjhQkU1kPtY9REBFkA==" saltValue="PPhcjABwbTxxPRJbzF4M8g==" spinCount="100000" sheet="1" objects="1" scenarios="1"/>
  <pageMargins left="0.7" right="0.7" top="0.75" bottom="0.75" header="0.3" footer="0.3"/>
  <pageSetup paperSize="9" orientation="portrait" r:id="rId1"/>
  <ignoredErrors>
    <ignoredError sqref="A6" formula="1"/>
  </ignoredErrors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39A8A-5CC9-418D-8E4B-30564D52E7AF}">
  <sheetPr codeName="Sheet7">
    <tabColor theme="7" tint="0.79998168889431442"/>
    <pageSetUpPr fitToPage="1"/>
  </sheetPr>
  <dimension ref="C1:N13"/>
  <sheetViews>
    <sheetView showGridLines="0" showRowColHeaders="0" zoomScale="120" zoomScaleNormal="120" workbookViewId="0">
      <selection activeCell="D2" sqref="D2:E2"/>
    </sheetView>
  </sheetViews>
  <sheetFormatPr defaultRowHeight="14.4" x14ac:dyDescent="0.3"/>
  <cols>
    <col min="1" max="2" width="5.77734375" style="3" customWidth="1"/>
    <col min="3" max="3" width="0.88671875" style="21" customWidth="1"/>
    <col min="4" max="4" width="15.77734375" style="21" customWidth="1"/>
    <col min="5" max="5" width="6.77734375" style="21" customWidth="1"/>
    <col min="6" max="6" width="5.77734375" style="3" customWidth="1"/>
    <col min="7" max="7" width="22.77734375" style="3" customWidth="1"/>
    <col min="8" max="8" width="20.77734375" style="3" customWidth="1"/>
    <col min="9" max="9" width="6.77734375" style="3" customWidth="1"/>
    <col min="10" max="11" width="18.77734375" style="3" customWidth="1"/>
    <col min="12" max="12" width="5.77734375" style="3" customWidth="1"/>
    <col min="13" max="13" width="22.77734375" style="3" customWidth="1"/>
    <col min="14" max="14" width="0.88671875" style="3" customWidth="1"/>
    <col min="15" max="16384" width="8.88671875" style="3"/>
  </cols>
  <sheetData>
    <row r="1" spans="3:14" ht="4.95" customHeight="1" x14ac:dyDescent="0.3">
      <c r="C1" s="72"/>
      <c r="D1" s="72"/>
      <c r="E1" s="72"/>
      <c r="F1" s="66"/>
      <c r="G1" s="66"/>
      <c r="H1" s="66"/>
      <c r="I1" s="66"/>
      <c r="J1" s="66"/>
      <c r="K1" s="66"/>
      <c r="L1" s="66"/>
      <c r="M1" s="66"/>
      <c r="N1" s="66"/>
    </row>
    <row r="2" spans="3:14" ht="19.95" customHeight="1" x14ac:dyDescent="0.3">
      <c r="C2" s="72"/>
      <c r="D2" s="303" t="s">
        <v>28</v>
      </c>
      <c r="E2" s="304"/>
      <c r="F2" s="155"/>
      <c r="G2" s="209" t="s">
        <v>1</v>
      </c>
      <c r="H2" s="210">
        <f>IF(Data3!A12=Data3!A13, Data3!A3*100+Data3!Q1*10+Data3!R2, Data3!A1*10^5+ Data3!A2*10^4+Data3!A3*100+Data3!Q1*10+Data3!R2)</f>
        <v>241254</v>
      </c>
      <c r="I2" s="154"/>
      <c r="J2" s="66"/>
      <c r="K2" s="97"/>
      <c r="L2" s="97"/>
      <c r="M2" s="97"/>
      <c r="N2" s="66"/>
    </row>
    <row r="3" spans="3:14" ht="7.05" customHeight="1" x14ac:dyDescent="0.3">
      <c r="C3" s="72"/>
      <c r="D3" s="72"/>
      <c r="E3" s="72"/>
      <c r="F3" s="66"/>
      <c r="G3" s="249"/>
      <c r="H3" s="98"/>
      <c r="I3" s="99"/>
      <c r="J3" s="100"/>
      <c r="K3" s="101"/>
      <c r="L3" s="97"/>
      <c r="M3" s="97"/>
      <c r="N3" s="66"/>
    </row>
    <row r="4" spans="3:14" ht="22.8" customHeight="1" x14ac:dyDescent="0.3">
      <c r="C4" s="72"/>
      <c r="D4" s="177" t="s">
        <v>22</v>
      </c>
      <c r="E4" s="176">
        <v>0</v>
      </c>
      <c r="F4" s="102"/>
      <c r="G4" s="250" t="s">
        <v>11</v>
      </c>
      <c r="H4" s="187">
        <f>IF(Data3!A12=Data3!A13, "N/A", Data3!A5)</f>
        <v>0.02</v>
      </c>
      <c r="I4" s="103"/>
      <c r="J4" s="250" t="s">
        <v>15</v>
      </c>
      <c r="K4" s="190">
        <f>0.5*POWER(0.2969*(Data3!A7/0.2)*(Data3!Q1/6),2)</f>
        <v>1.101870125E-2</v>
      </c>
      <c r="L4" s="104"/>
      <c r="M4" s="93"/>
      <c r="N4" s="66"/>
    </row>
    <row r="5" spans="3:14" ht="4.95" customHeight="1" x14ac:dyDescent="0.3">
      <c r="C5" s="72"/>
      <c r="D5" s="105"/>
      <c r="E5" s="105"/>
      <c r="F5" s="66"/>
      <c r="G5" s="251"/>
      <c r="H5" s="107"/>
      <c r="I5" s="66"/>
      <c r="J5" s="256"/>
      <c r="K5" s="108"/>
      <c r="L5" s="77"/>
      <c r="M5" s="62"/>
      <c r="N5" s="66"/>
    </row>
    <row r="6" spans="3:14" ht="22.8" customHeight="1" x14ac:dyDescent="0.3">
      <c r="C6" s="72"/>
      <c r="D6" s="231" t="s">
        <v>16</v>
      </c>
      <c r="E6" s="176">
        <v>1</v>
      </c>
      <c r="F6" s="102"/>
      <c r="G6" s="250" t="s">
        <v>5</v>
      </c>
      <c r="H6" s="187">
        <f>IF(Data3!A12=Data3!A13, "N/A", Data3!A6)</f>
        <v>0.4</v>
      </c>
      <c r="I6" s="103"/>
      <c r="J6" s="257" t="s">
        <v>25</v>
      </c>
      <c r="K6" s="245">
        <f>DEGREES(2*ATAN(Data3!$X$1*(H8/0.2)))</f>
        <v>21.405314988403294</v>
      </c>
      <c r="L6" s="104"/>
      <c r="M6" s="62"/>
      <c r="N6" s="66"/>
    </row>
    <row r="7" spans="3:14" ht="4.95" customHeight="1" x14ac:dyDescent="0.3">
      <c r="C7" s="72"/>
      <c r="D7" s="248"/>
      <c r="E7" s="72"/>
      <c r="F7" s="66"/>
      <c r="G7" s="252"/>
      <c r="H7" s="107"/>
      <c r="I7" s="66"/>
      <c r="J7" s="255"/>
      <c r="K7" s="254"/>
      <c r="L7" s="77"/>
      <c r="M7" s="62"/>
      <c r="N7" s="66"/>
    </row>
    <row r="8" spans="3:14" ht="22.8" customHeight="1" x14ac:dyDescent="0.3">
      <c r="C8" s="72"/>
      <c r="D8" s="115"/>
      <c r="E8" s="116"/>
      <c r="F8" s="253"/>
      <c r="G8" s="250" t="s">
        <v>7</v>
      </c>
      <c r="H8" s="187">
        <f>Data3!A7</f>
        <v>0.12</v>
      </c>
      <c r="I8" s="109"/>
      <c r="J8" s="292" t="s">
        <v>14</v>
      </c>
      <c r="K8" s="302"/>
      <c r="L8" s="77"/>
      <c r="M8" s="62"/>
      <c r="N8" s="66"/>
    </row>
    <row r="9" spans="3:14" ht="4.95" customHeight="1" x14ac:dyDescent="0.3">
      <c r="C9" s="72"/>
      <c r="D9" s="72"/>
      <c r="E9" s="72"/>
      <c r="F9" s="66"/>
      <c r="G9" s="106"/>
      <c r="H9" s="107"/>
      <c r="I9" s="110"/>
      <c r="J9" s="78"/>
      <c r="K9" s="79"/>
      <c r="L9" s="66"/>
      <c r="M9" s="62"/>
      <c r="N9" s="66"/>
    </row>
    <row r="10" spans="3:14" ht="22.8" customHeight="1" x14ac:dyDescent="0.3">
      <c r="C10" s="72"/>
      <c r="D10" s="72"/>
      <c r="E10" s="72"/>
      <c r="F10" s="111"/>
      <c r="G10" s="188" t="s">
        <v>10</v>
      </c>
      <c r="H10" s="250">
        <f>Data3!$Q$1</f>
        <v>5</v>
      </c>
      <c r="I10" s="66"/>
      <c r="J10" s="66"/>
      <c r="K10" s="66"/>
      <c r="L10" s="66"/>
      <c r="M10" s="63"/>
      <c r="N10" s="80"/>
    </row>
    <row r="11" spans="3:14" ht="4.95" customHeight="1" x14ac:dyDescent="0.3">
      <c r="C11" s="72"/>
      <c r="D11" s="72"/>
      <c r="E11" s="72"/>
      <c r="F11" s="66"/>
      <c r="G11" s="112"/>
      <c r="H11" s="113"/>
      <c r="I11" s="66"/>
      <c r="J11" s="66"/>
      <c r="K11" s="66"/>
      <c r="L11" s="66"/>
      <c r="M11" s="114"/>
      <c r="N11" s="66"/>
    </row>
    <row r="12" spans="3:14" ht="22.8" customHeight="1" x14ac:dyDescent="0.3">
      <c r="C12" s="72"/>
      <c r="D12" s="72"/>
      <c r="E12" s="72"/>
      <c r="F12" s="111"/>
      <c r="G12" s="189" t="s">
        <v>6</v>
      </c>
      <c r="H12" s="187">
        <f>Data3!R1</f>
        <v>0.4</v>
      </c>
      <c r="I12" s="66"/>
      <c r="J12" s="66"/>
      <c r="K12" s="66"/>
      <c r="L12" s="66"/>
      <c r="M12" s="66"/>
      <c r="N12" s="66"/>
    </row>
    <row r="13" spans="3:14" ht="4.95" customHeight="1" x14ac:dyDescent="0.3">
      <c r="C13" s="72"/>
      <c r="D13" s="72"/>
      <c r="E13" s="72"/>
      <c r="F13" s="66"/>
      <c r="G13" s="66"/>
      <c r="H13" s="66"/>
      <c r="I13" s="66"/>
      <c r="J13" s="66"/>
      <c r="K13" s="66"/>
      <c r="L13" s="66"/>
      <c r="M13" s="66"/>
      <c r="N13" s="66"/>
    </row>
  </sheetData>
  <sheetProtection algorithmName="SHA-512" hashValue="QXULKRv4nZMKpu7IdSgwr7kN0EE7IWFRrlC6KaXB3JHAjdy8UJ+lllm7c5JKS9DCebuAKeLTx5DiBxMIrNYjgQ==" saltValue="tsa7CDQPxAxXIKQXUKACyw==" spinCount="100000" sheet="1" objects="1" scenarios="1" selectLockedCells="1"/>
  <mergeCells count="2">
    <mergeCell ref="J8:K8"/>
    <mergeCell ref="D2:E2"/>
  </mergeCells>
  <pageMargins left="0.25" right="0.25" top="0.75" bottom="0.75" header="0.3" footer="0.3"/>
  <pageSetup paperSize="9" scale="7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Spinner 1">
              <controlPr defaultSize="0" print="0" autoPict="0">
                <anchor moveWithCells="1">
                  <from>
                    <xdr:col>8</xdr:col>
                    <xdr:colOff>0</xdr:colOff>
                    <xdr:row>6</xdr:row>
                    <xdr:rowOff>60960</xdr:rowOff>
                  </from>
                  <to>
                    <xdr:col>8</xdr:col>
                    <xdr:colOff>144780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Spinner 2">
              <controlPr defaultSize="0" print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8</xdr:col>
                    <xdr:colOff>144780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6" name="Spinner 3">
              <controlPr defaultSize="0" print="0" autoPict="0">
                <anchor moveWithCells="1">
                  <from>
                    <xdr:col>7</xdr:col>
                    <xdr:colOff>1424940</xdr:colOff>
                    <xdr:row>2</xdr:row>
                    <xdr:rowOff>83820</xdr:rowOff>
                  </from>
                  <to>
                    <xdr:col>8</xdr:col>
                    <xdr:colOff>144780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7" name="Spinner 7">
              <controlPr defaultSize="0" print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8</xdr:col>
                    <xdr:colOff>144780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8" name="Spinner 9">
              <controlPr defaultSize="0" print="0" autoPict="0">
                <anchor moveWithCells="1">
                  <from>
                    <xdr:col>7</xdr:col>
                    <xdr:colOff>1424940</xdr:colOff>
                    <xdr:row>10</xdr:row>
                    <xdr:rowOff>60960</xdr:rowOff>
                  </from>
                  <to>
                    <xdr:col>8</xdr:col>
                    <xdr:colOff>144780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7" r:id="rId9" name="Check Box 21">
              <controlPr defaultSize="0" autoFill="0" autoLine="0" autoPict="0">
                <anchor moveWithCells="1">
                  <from>
                    <xdr:col>12</xdr:col>
                    <xdr:colOff>99060</xdr:colOff>
                    <xdr:row>4</xdr:row>
                    <xdr:rowOff>60960</xdr:rowOff>
                  </from>
                  <to>
                    <xdr:col>12</xdr:col>
                    <xdr:colOff>1485900</xdr:colOff>
                    <xdr:row>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8" r:id="rId10" name="Check Box 22">
              <controlPr defaultSize="0" autoFill="0" autoLine="0" autoPict="0">
                <anchor moveWithCells="1">
                  <from>
                    <xdr:col>12</xdr:col>
                    <xdr:colOff>99060</xdr:colOff>
                    <xdr:row>5</xdr:row>
                    <xdr:rowOff>274320</xdr:rowOff>
                  </from>
                  <to>
                    <xdr:col>13</xdr:col>
                    <xdr:colOff>0</xdr:colOff>
                    <xdr:row>7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9" r:id="rId11" name="Check Box 23">
              <controlPr defaultSize="0" autoFill="0" autoLine="0" autoPict="0">
                <anchor moveWithCells="1">
                  <from>
                    <xdr:col>12</xdr:col>
                    <xdr:colOff>99060</xdr:colOff>
                    <xdr:row>7</xdr:row>
                    <xdr:rowOff>213360</xdr:rowOff>
                  </from>
                  <to>
                    <xdr:col>12</xdr:col>
                    <xdr:colOff>1463040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0" r:id="rId12" name="Check Box 24">
              <controlPr defaultSize="0" autoFill="0" autoLine="0" autoPict="0">
                <anchor moveWithCells="1">
                  <from>
                    <xdr:col>12</xdr:col>
                    <xdr:colOff>99060</xdr:colOff>
                    <xdr:row>3</xdr:row>
                    <xdr:rowOff>144780</xdr:rowOff>
                  </from>
                  <to>
                    <xdr:col>12</xdr:col>
                    <xdr:colOff>1264920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1" r:id="rId13" name="Check Box 25">
              <controlPr defaultSize="0" autoFill="0" autoLine="0" autoPict="0" macro="[0]!n4m_axes.ToggleAxesAndGridlinesKeepingFormat">
                <anchor moveWithCells="1">
                  <from>
                    <xdr:col>3</xdr:col>
                    <xdr:colOff>99060</xdr:colOff>
                    <xdr:row>7</xdr:row>
                    <xdr:rowOff>38100</xdr:rowOff>
                  </from>
                  <to>
                    <xdr:col>4</xdr:col>
                    <xdr:colOff>381000</xdr:colOff>
                    <xdr:row>7</xdr:row>
                    <xdr:rowOff>251460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25CAA7C-6B08-4F58-8BB6-678541B0BDD8}">
          <x14:formula1>
            <xm:f>Data3!$A$13:$A$14</xm:f>
          </x14:formula1>
          <xm:sqref>D2:E2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62ABB-BE48-439D-A1A9-D6A5EE465AB0}">
  <sheetPr codeName="Sheet14">
    <tabColor theme="7" tint="0.79998168889431442"/>
  </sheetPr>
  <dimension ref="A1:B103"/>
  <sheetViews>
    <sheetView showGridLines="0" showRowColHeaders="0" workbookViewId="0">
      <selection activeCell="J29" sqref="J29"/>
    </sheetView>
  </sheetViews>
  <sheetFormatPr defaultRowHeight="14.4" x14ac:dyDescent="0.3"/>
  <cols>
    <col min="1" max="2" width="12.77734375" style="35" customWidth="1"/>
    <col min="3" max="16384" width="8.88671875" style="3"/>
  </cols>
  <sheetData>
    <row r="1" spans="1:2" ht="19.95" customHeight="1" x14ac:dyDescent="0.3">
      <c r="A1" s="305">
        <f>'naca_4-digit_mod_plot'!H2</f>
        <v>241254</v>
      </c>
      <c r="B1" s="305"/>
    </row>
    <row r="2" spans="1:2" ht="15" x14ac:dyDescent="0.35">
      <c r="A2" s="191">
        <f>IFERROR(ROUND(Data3!N1*Data3!$A$10, 5-INT(LOG10(ABS(Data3!N1*Data3!$A$10)))), 0)</f>
        <v>1</v>
      </c>
      <c r="B2" s="191">
        <f>IFERROR(ROUND(Data3!O1*Data3!$A$10, 5-INT(LOG10(ABS(Data3!O1*Data3!$A$10)))), 0)</f>
        <v>0</v>
      </c>
    </row>
    <row r="3" spans="1:2" ht="15" x14ac:dyDescent="0.35">
      <c r="A3" s="191">
        <f>IFERROR(ROUND(Data3!N2*Data3!$A$10, 5-INT(LOG10(ABS(Data3!N2*Data3!$A$10)))), 0)</f>
        <v>0.99910500000000002</v>
      </c>
      <c r="B3" s="191">
        <f>IFERROR(ROUND(Data3!O2*Data3!$A$10, 5-INT(LOG10(ABS(Data3!O2*Data3!$A$10)))), 0)</f>
        <v>1.449E-3</v>
      </c>
    </row>
    <row r="4" spans="1:2" ht="15" x14ac:dyDescent="0.35">
      <c r="A4" s="191">
        <f>IFERROR(ROUND(Data3!N3*Data3!$A$10, 5-INT(LOG10(ABS(Data3!N3*Data3!$A$10)))), 0)</f>
        <v>0.99618600000000002</v>
      </c>
      <c r="B4" s="191">
        <f>IFERROR(ROUND(Data3!O3*Data3!$A$10, 5-INT(LOG10(ABS(Data3!O3*Data3!$A$10)))), 0)</f>
        <v>2.2007200000000002E-3</v>
      </c>
    </row>
    <row r="5" spans="1:2" ht="15" x14ac:dyDescent="0.35">
      <c r="A5" s="191">
        <f>IFERROR(ROUND(Data3!N4*Data3!$A$10, 5-INT(LOG10(ABS(Data3!N4*Data3!$A$10)))), 0)</f>
        <v>0.99133099999999996</v>
      </c>
      <c r="B5" s="191">
        <f>IFERROR(ROUND(Data3!O4*Data3!$A$10, 5-INT(LOG10(ABS(Data3!O4*Data3!$A$10)))), 0)</f>
        <v>3.4427699999999999E-3</v>
      </c>
    </row>
    <row r="6" spans="1:2" ht="15" x14ac:dyDescent="0.35">
      <c r="A6" s="191">
        <f>IFERROR(ROUND(Data3!N5*Data3!$A$10, 5-INT(LOG10(ABS(Data3!N5*Data3!$A$10)))), 0)</f>
        <v>0.98455899999999996</v>
      </c>
      <c r="B6" s="191">
        <f>IFERROR(ROUND(Data3!O5*Data3!$A$10, 5-INT(LOG10(ABS(Data3!O5*Data3!$A$10)))), 0)</f>
        <v>5.1590999999999998E-3</v>
      </c>
    </row>
    <row r="7" spans="1:2" ht="15" x14ac:dyDescent="0.35">
      <c r="A7" s="191">
        <f>IFERROR(ROUND(Data3!N6*Data3!$A$10, 5-INT(LOG10(ABS(Data3!N6*Data3!$A$10)))), 0)</f>
        <v>0.97589499999999996</v>
      </c>
      <c r="B7" s="191">
        <f>IFERROR(ROUND(Data3!O6*Data3!$A$10, 5-INT(LOG10(ABS(Data3!O6*Data3!$A$10)))), 0)</f>
        <v>7.3275099999999998E-3</v>
      </c>
    </row>
    <row r="8" spans="1:2" ht="15" x14ac:dyDescent="0.35">
      <c r="A8" s="191">
        <f>IFERROR(ROUND(Data3!N7*Data3!$A$10, 5-INT(LOG10(ABS(Data3!N7*Data3!$A$10)))), 0)</f>
        <v>0.965368</v>
      </c>
      <c r="B8" s="191">
        <f>IFERROR(ROUND(Data3!O7*Data3!$A$10, 5-INT(LOG10(ABS(Data3!O7*Data3!$A$10)))), 0)</f>
        <v>9.9199300000000004E-3</v>
      </c>
    </row>
    <row r="9" spans="1:2" ht="15" x14ac:dyDescent="0.35">
      <c r="A9" s="191">
        <f>IFERROR(ROUND(Data3!N8*Data3!$A$10, 5-INT(LOG10(ABS(Data3!N8*Data3!$A$10)))), 0)</f>
        <v>0.95301800000000003</v>
      </c>
      <c r="B9" s="191">
        <f>IFERROR(ROUND(Data3!O8*Data3!$A$10, 5-INT(LOG10(ABS(Data3!O8*Data3!$A$10)))), 0)</f>
        <v>1.2902800000000001E-2</v>
      </c>
    </row>
    <row r="10" spans="1:2" ht="15" x14ac:dyDescent="0.35">
      <c r="A10" s="191">
        <f>IFERROR(ROUND(Data3!N9*Data3!$A$10, 5-INT(LOG10(ABS(Data3!N9*Data3!$A$10)))), 0)</f>
        <v>0.93889</v>
      </c>
      <c r="B10" s="191">
        <f>IFERROR(ROUND(Data3!O9*Data3!$A$10, 5-INT(LOG10(ABS(Data3!O9*Data3!$A$10)))), 0)</f>
        <v>1.6237499999999998E-2</v>
      </c>
    </row>
    <row r="11" spans="1:2" ht="15" x14ac:dyDescent="0.35">
      <c r="A11" s="191">
        <f>IFERROR(ROUND(Data3!N10*Data3!$A$10, 5-INT(LOG10(ABS(Data3!N10*Data3!$A$10)))), 0)</f>
        <v>0.92303599999999997</v>
      </c>
      <c r="B11" s="191">
        <f>IFERROR(ROUND(Data3!O10*Data3!$A$10, 5-INT(LOG10(ABS(Data3!O10*Data3!$A$10)))), 0)</f>
        <v>1.98809E-2</v>
      </c>
    </row>
    <row r="12" spans="1:2" ht="15" x14ac:dyDescent="0.35">
      <c r="A12" s="191">
        <f>IFERROR(ROUND(Data3!N11*Data3!$A$10, 5-INT(LOG10(ABS(Data3!N11*Data3!$A$10)))), 0)</f>
        <v>0.90551300000000001</v>
      </c>
      <c r="B12" s="191">
        <f>IFERROR(ROUND(Data3!O11*Data3!$A$10, 5-INT(LOG10(ABS(Data3!O11*Data3!$A$10)))), 0)</f>
        <v>2.37857E-2</v>
      </c>
    </row>
    <row r="13" spans="1:2" ht="15" x14ac:dyDescent="0.35">
      <c r="A13" s="191">
        <f>IFERROR(ROUND(Data3!N12*Data3!$A$10, 5-INT(LOG10(ABS(Data3!N12*Data3!$A$10)))), 0)</f>
        <v>0.88638799999999995</v>
      </c>
      <c r="B13" s="191">
        <f>IFERROR(ROUND(Data3!O12*Data3!$A$10, 5-INT(LOG10(ABS(Data3!O12*Data3!$A$10)))), 0)</f>
        <v>2.7901499999999999E-2</v>
      </c>
    </row>
    <row r="14" spans="1:2" ht="15" x14ac:dyDescent="0.35">
      <c r="A14" s="191">
        <f>IFERROR(ROUND(Data3!N13*Data3!$A$10, 5-INT(LOG10(ABS(Data3!N13*Data3!$A$10)))), 0)</f>
        <v>0.86573100000000003</v>
      </c>
      <c r="B14" s="191">
        <f>IFERROR(ROUND(Data3!O13*Data3!$A$10, 5-INT(LOG10(ABS(Data3!O13*Data3!$A$10)))), 0)</f>
        <v>3.2175000000000002E-2</v>
      </c>
    </row>
    <row r="15" spans="1:2" ht="15" x14ac:dyDescent="0.35">
      <c r="A15" s="191">
        <f>IFERROR(ROUND(Data3!N14*Data3!$A$10, 5-INT(LOG10(ABS(Data3!N14*Data3!$A$10)))), 0)</f>
        <v>0.84362099999999995</v>
      </c>
      <c r="B15" s="191">
        <f>IFERROR(ROUND(Data3!O14*Data3!$A$10, 5-INT(LOG10(ABS(Data3!O14*Data3!$A$10)))), 0)</f>
        <v>3.6551100000000003E-2</v>
      </c>
    </row>
    <row r="16" spans="1:2" ht="15" x14ac:dyDescent="0.35">
      <c r="A16" s="191">
        <f>IFERROR(ROUND(Data3!N15*Data3!$A$10, 5-INT(LOG10(ABS(Data3!N15*Data3!$A$10)))), 0)</f>
        <v>0.82014100000000001</v>
      </c>
      <c r="B16" s="191">
        <f>IFERROR(ROUND(Data3!O15*Data3!$A$10, 5-INT(LOG10(ABS(Data3!O15*Data3!$A$10)))), 0)</f>
        <v>4.0973200000000001E-2</v>
      </c>
    </row>
    <row r="17" spans="1:2" ht="15" x14ac:dyDescent="0.35">
      <c r="A17" s="191">
        <f>IFERROR(ROUND(Data3!N16*Data3!$A$10, 5-INT(LOG10(ABS(Data3!N16*Data3!$A$10)))), 0)</f>
        <v>0.795381</v>
      </c>
      <c r="B17" s="191">
        <f>IFERROR(ROUND(Data3!O16*Data3!$A$10, 5-INT(LOG10(ABS(Data3!O16*Data3!$A$10)))), 0)</f>
        <v>4.53847E-2</v>
      </c>
    </row>
    <row r="18" spans="1:2" ht="15" x14ac:dyDescent="0.35">
      <c r="A18" s="191">
        <f>IFERROR(ROUND(Data3!N17*Data3!$A$10, 5-INT(LOG10(ABS(Data3!N17*Data3!$A$10)))), 0)</f>
        <v>0.76943600000000001</v>
      </c>
      <c r="B18" s="191">
        <f>IFERROR(ROUND(Data3!O17*Data3!$A$10, 5-INT(LOG10(ABS(Data3!O17*Data3!$A$10)))), 0)</f>
        <v>4.9729200000000001E-2</v>
      </c>
    </row>
    <row r="19" spans="1:2" ht="15" x14ac:dyDescent="0.35">
      <c r="A19" s="191">
        <f>IFERROR(ROUND(Data3!N18*Data3!$A$10, 5-INT(LOG10(ABS(Data3!N18*Data3!$A$10)))), 0)</f>
        <v>0.74240700000000004</v>
      </c>
      <c r="B19" s="191">
        <f>IFERROR(ROUND(Data3!O18*Data3!$A$10, 5-INT(LOG10(ABS(Data3!O18*Data3!$A$10)))), 0)</f>
        <v>5.3951300000000001E-2</v>
      </c>
    </row>
    <row r="20" spans="1:2" ht="15" x14ac:dyDescent="0.35">
      <c r="A20" s="191">
        <f>IFERROR(ROUND(Data3!N19*Data3!$A$10, 5-INT(LOG10(ABS(Data3!N19*Data3!$A$10)))), 0)</f>
        <v>0.71440000000000003</v>
      </c>
      <c r="B20" s="191">
        <f>IFERROR(ROUND(Data3!O19*Data3!$A$10, 5-INT(LOG10(ABS(Data3!O19*Data3!$A$10)))), 0)</f>
        <v>5.7998000000000001E-2</v>
      </c>
    </row>
    <row r="21" spans="1:2" ht="15" x14ac:dyDescent="0.35">
      <c r="A21" s="191">
        <f>IFERROR(ROUND(Data3!N20*Data3!$A$10, 5-INT(LOG10(ABS(Data3!N20*Data3!$A$10)))), 0)</f>
        <v>0.68552400000000002</v>
      </c>
      <c r="B21" s="191">
        <f>IFERROR(ROUND(Data3!O20*Data3!$A$10, 5-INT(LOG10(ABS(Data3!O20*Data3!$A$10)))), 0)</f>
        <v>6.18188E-2</v>
      </c>
    </row>
    <row r="22" spans="1:2" ht="15" x14ac:dyDescent="0.35">
      <c r="A22" s="191">
        <f>IFERROR(ROUND(Data3!N21*Data3!$A$10, 5-INT(LOG10(ABS(Data3!N21*Data3!$A$10)))), 0)</f>
        <v>0.65589299999999995</v>
      </c>
      <c r="B22" s="191">
        <f>IFERROR(ROUND(Data3!O21*Data3!$A$10, 5-INT(LOG10(ABS(Data3!O21*Data3!$A$10)))), 0)</f>
        <v>6.5366800000000003E-2</v>
      </c>
    </row>
    <row r="23" spans="1:2" ht="15" x14ac:dyDescent="0.35">
      <c r="A23" s="191">
        <f>IFERROR(ROUND(Data3!N22*Data3!$A$10, 5-INT(LOG10(ABS(Data3!N22*Data3!$A$10)))), 0)</f>
        <v>0.62562600000000002</v>
      </c>
      <c r="B23" s="191">
        <f>IFERROR(ROUND(Data3!O22*Data3!$A$10, 5-INT(LOG10(ABS(Data3!O22*Data3!$A$10)))), 0)</f>
        <v>6.8599599999999997E-2</v>
      </c>
    </row>
    <row r="24" spans="1:2" ht="15" x14ac:dyDescent="0.35">
      <c r="A24" s="191">
        <f>IFERROR(ROUND(Data3!N23*Data3!$A$10, 5-INT(LOG10(ABS(Data3!N23*Data3!$A$10)))), 0)</f>
        <v>0.59484300000000001</v>
      </c>
      <c r="B24" s="191">
        <f>IFERROR(ROUND(Data3!O23*Data3!$A$10, 5-INT(LOG10(ABS(Data3!O23*Data3!$A$10)))), 0)</f>
        <v>7.1479399999999998E-2</v>
      </c>
    </row>
    <row r="25" spans="1:2" ht="15" x14ac:dyDescent="0.35">
      <c r="A25" s="191">
        <f>IFERROR(ROUND(Data3!N24*Data3!$A$10, 5-INT(LOG10(ABS(Data3!N24*Data3!$A$10)))), 0)</f>
        <v>0.56366899999999998</v>
      </c>
      <c r="B25" s="191">
        <f>IFERROR(ROUND(Data3!O24*Data3!$A$10, 5-INT(LOG10(ABS(Data3!O24*Data3!$A$10)))), 0)</f>
        <v>7.3973999999999998E-2</v>
      </c>
    </row>
    <row r="26" spans="1:2" ht="15" x14ac:dyDescent="0.35">
      <c r="A26" s="191">
        <f>IFERROR(ROUND(Data3!N25*Data3!$A$10, 5-INT(LOG10(ABS(Data3!N25*Data3!$A$10)))), 0)</f>
        <v>0.53222800000000003</v>
      </c>
      <c r="B26" s="191">
        <f>IFERROR(ROUND(Data3!O25*Data3!$A$10, 5-INT(LOG10(ABS(Data3!O25*Data3!$A$10)))), 0)</f>
        <v>7.6057600000000003E-2</v>
      </c>
    </row>
    <row r="27" spans="1:2" ht="15" x14ac:dyDescent="0.35">
      <c r="A27" s="191">
        <f>IFERROR(ROUND(Data3!N26*Data3!$A$10, 5-INT(LOG10(ABS(Data3!N26*Data3!$A$10)))), 0)</f>
        <v>0.50064699999999995</v>
      </c>
      <c r="B27" s="191">
        <f>IFERROR(ROUND(Data3!O26*Data3!$A$10, 5-INT(LOG10(ABS(Data3!O26*Data3!$A$10)))), 0)</f>
        <v>7.7710299999999996E-2</v>
      </c>
    </row>
    <row r="28" spans="1:2" ht="15" x14ac:dyDescent="0.35">
      <c r="A28" s="191">
        <f>IFERROR(ROUND(Data3!N27*Data3!$A$10, 5-INT(LOG10(ABS(Data3!N27*Data3!$A$10)))), 0)</f>
        <v>0.46905599999999997</v>
      </c>
      <c r="B28" s="191">
        <f>IFERROR(ROUND(Data3!O27*Data3!$A$10, 5-INT(LOG10(ABS(Data3!O27*Data3!$A$10)))), 0)</f>
        <v>7.8919400000000001E-2</v>
      </c>
    </row>
    <row r="29" spans="1:2" ht="15" x14ac:dyDescent="0.35">
      <c r="A29" s="191">
        <f>IFERROR(ROUND(Data3!N28*Data3!$A$10, 5-INT(LOG10(ABS(Data3!N28*Data3!$A$10)))), 0)</f>
        <v>0.437581</v>
      </c>
      <c r="B29" s="191">
        <f>IFERROR(ROUND(Data3!O28*Data3!$A$10, 5-INT(LOG10(ABS(Data3!O28*Data3!$A$10)))), 0)</f>
        <v>7.9679200000000006E-2</v>
      </c>
    </row>
    <row r="30" spans="1:2" ht="15" x14ac:dyDescent="0.35">
      <c r="A30" s="191">
        <f>IFERROR(ROUND(Data3!N29*Data3!$A$10, 5-INT(LOG10(ABS(Data3!N29*Data3!$A$10)))), 0)</f>
        <v>0.40635100000000002</v>
      </c>
      <c r="B30" s="191">
        <f>IFERROR(ROUND(Data3!O29*Data3!$A$10, 5-INT(LOG10(ABS(Data3!O29*Data3!$A$10)))), 0)</f>
        <v>7.9990800000000001E-2</v>
      </c>
    </row>
    <row r="31" spans="1:2" ht="15" x14ac:dyDescent="0.35">
      <c r="A31" s="191">
        <f>IFERROR(ROUND(Data3!N30*Data3!$A$10, 5-INT(LOG10(ABS(Data3!N30*Data3!$A$10)))), 0)</f>
        <v>0.37529099999999999</v>
      </c>
      <c r="B31" s="191">
        <f>IFERROR(ROUND(Data3!O30*Data3!$A$10, 5-INT(LOG10(ABS(Data3!O30*Data3!$A$10)))), 0)</f>
        <v>7.98204E-2</v>
      </c>
    </row>
    <row r="32" spans="1:2" ht="15" x14ac:dyDescent="0.35">
      <c r="A32" s="191">
        <f>IFERROR(ROUND(Data3!N31*Data3!$A$10, 5-INT(LOG10(ABS(Data3!N31*Data3!$A$10)))), 0)</f>
        <v>0.34468100000000002</v>
      </c>
      <c r="B32" s="191">
        <f>IFERROR(ROUND(Data3!O31*Data3!$A$10, 5-INT(LOG10(ABS(Data3!O31*Data3!$A$10)))), 0)</f>
        <v>7.9094999999999999E-2</v>
      </c>
    </row>
    <row r="33" spans="1:2" ht="15" x14ac:dyDescent="0.35">
      <c r="A33" s="191">
        <f>IFERROR(ROUND(Data3!N32*Data3!$A$10, 5-INT(LOG10(ABS(Data3!N32*Data3!$A$10)))), 0)</f>
        <v>0.31470399999999998</v>
      </c>
      <c r="B33" s="191">
        <f>IFERROR(ROUND(Data3!O32*Data3!$A$10, 5-INT(LOG10(ABS(Data3!O32*Data3!$A$10)))), 0)</f>
        <v>7.7834E-2</v>
      </c>
    </row>
    <row r="34" spans="1:2" ht="15" x14ac:dyDescent="0.35">
      <c r="A34" s="191">
        <f>IFERROR(ROUND(Data3!N33*Data3!$A$10, 5-INT(LOG10(ABS(Data3!N33*Data3!$A$10)))), 0)</f>
        <v>0.28548299999999999</v>
      </c>
      <c r="B34" s="191">
        <f>IFERROR(ROUND(Data3!O33*Data3!$A$10, 5-INT(LOG10(ABS(Data3!O33*Data3!$A$10)))), 0)</f>
        <v>7.6064900000000005E-2</v>
      </c>
    </row>
    <row r="35" spans="1:2" ht="15" x14ac:dyDescent="0.35">
      <c r="A35" s="191">
        <f>IFERROR(ROUND(Data3!N34*Data3!$A$10, 5-INT(LOG10(ABS(Data3!N34*Data3!$A$10)))), 0)</f>
        <v>0.25713999999999998</v>
      </c>
      <c r="B35" s="191">
        <f>IFERROR(ROUND(Data3!O34*Data3!$A$10, 5-INT(LOG10(ABS(Data3!O34*Data3!$A$10)))), 0)</f>
        <v>7.3819599999999999E-2</v>
      </c>
    </row>
    <row r="36" spans="1:2" ht="15" x14ac:dyDescent="0.35">
      <c r="A36" s="191">
        <f>IFERROR(ROUND(Data3!N35*Data3!$A$10, 5-INT(LOG10(ABS(Data3!N35*Data3!$A$10)))), 0)</f>
        <v>0.229792</v>
      </c>
      <c r="B36" s="191">
        <f>IFERROR(ROUND(Data3!O35*Data3!$A$10, 5-INT(LOG10(ABS(Data3!O35*Data3!$A$10)))), 0)</f>
        <v>7.1133399999999999E-2</v>
      </c>
    </row>
    <row r="37" spans="1:2" ht="15" x14ac:dyDescent="0.35">
      <c r="A37" s="191">
        <f>IFERROR(ROUND(Data3!N36*Data3!$A$10, 5-INT(LOG10(ABS(Data3!N36*Data3!$A$10)))), 0)</f>
        <v>0.20355100000000001</v>
      </c>
      <c r="B37" s="191">
        <f>IFERROR(ROUND(Data3!O36*Data3!$A$10, 5-INT(LOG10(ABS(Data3!O36*Data3!$A$10)))), 0)</f>
        <v>6.8044800000000003E-2</v>
      </c>
    </row>
    <row r="38" spans="1:2" ht="15" x14ac:dyDescent="0.35">
      <c r="A38" s="191">
        <f>IFERROR(ROUND(Data3!N37*Data3!$A$10, 5-INT(LOG10(ABS(Data3!N37*Data3!$A$10)))), 0)</f>
        <v>0.17852299999999999</v>
      </c>
      <c r="B38" s="191">
        <f>IFERROR(ROUND(Data3!O37*Data3!$A$10, 5-INT(LOG10(ABS(Data3!O37*Data3!$A$10)))), 0)</f>
        <v>6.4593999999999999E-2</v>
      </c>
    </row>
    <row r="39" spans="1:2" ht="15" x14ac:dyDescent="0.35">
      <c r="A39" s="191">
        <f>IFERROR(ROUND(Data3!N38*Data3!$A$10, 5-INT(LOG10(ABS(Data3!N38*Data3!$A$10)))), 0)</f>
        <v>0.154809</v>
      </c>
      <c r="B39" s="191">
        <f>IFERROR(ROUND(Data3!O38*Data3!$A$10, 5-INT(LOG10(ABS(Data3!O38*Data3!$A$10)))), 0)</f>
        <v>6.0822800000000003E-2</v>
      </c>
    </row>
    <row r="40" spans="1:2" ht="15" x14ac:dyDescent="0.35">
      <c r="A40" s="191">
        <f>IFERROR(ROUND(Data3!N39*Data3!$A$10, 5-INT(LOG10(ABS(Data3!N39*Data3!$A$10)))), 0)</f>
        <v>0.13250600000000001</v>
      </c>
      <c r="B40" s="191">
        <f>IFERROR(ROUND(Data3!O39*Data3!$A$10, 5-INT(LOG10(ABS(Data3!O39*Data3!$A$10)))), 0)</f>
        <v>5.6773299999999999E-2</v>
      </c>
    </row>
    <row r="41" spans="1:2" ht="15" x14ac:dyDescent="0.35">
      <c r="A41" s="191">
        <f>IFERROR(ROUND(Data3!N40*Data3!$A$10, 5-INT(LOG10(ABS(Data3!N40*Data3!$A$10)))), 0)</f>
        <v>0.11170099999999999</v>
      </c>
      <c r="B41" s="191">
        <f>IFERROR(ROUND(Data3!O40*Data3!$A$10, 5-INT(LOG10(ABS(Data3!O40*Data3!$A$10)))), 0)</f>
        <v>5.2487699999999998E-2</v>
      </c>
    </row>
    <row r="42" spans="1:2" ht="15" x14ac:dyDescent="0.35">
      <c r="A42" s="191">
        <f>IFERROR(ROUND(Data3!N41*Data3!$A$10, 5-INT(LOG10(ABS(Data3!N41*Data3!$A$10)))), 0)</f>
        <v>9.2477000000000004E-2</v>
      </c>
      <c r="B42" s="191">
        <f>IFERROR(ROUND(Data3!O41*Data3!$A$10, 5-INT(LOG10(ABS(Data3!O41*Data3!$A$10)))), 0)</f>
        <v>4.80072E-2</v>
      </c>
    </row>
    <row r="43" spans="1:2" ht="15" x14ac:dyDescent="0.35">
      <c r="A43" s="191">
        <f>IFERROR(ROUND(Data3!N42*Data3!$A$10, 5-INT(LOG10(ABS(Data3!N42*Data3!$A$10)))), 0)</f>
        <v>7.4908699999999995E-2</v>
      </c>
      <c r="B43" s="191">
        <f>IFERROR(ROUND(Data3!O42*Data3!$A$10, 5-INT(LOG10(ABS(Data3!O42*Data3!$A$10)))), 0)</f>
        <v>4.3371800000000002E-2</v>
      </c>
    </row>
    <row r="44" spans="1:2" ht="15" x14ac:dyDescent="0.35">
      <c r="A44" s="191">
        <f>IFERROR(ROUND(Data3!N43*Data3!$A$10, 5-INT(LOG10(ABS(Data3!N43*Data3!$A$10)))), 0)</f>
        <v>5.9064199999999997E-2</v>
      </c>
      <c r="B44" s="191">
        <f>IFERROR(ROUND(Data3!O43*Data3!$A$10, 5-INT(LOG10(ABS(Data3!O43*Data3!$A$10)))), 0)</f>
        <v>3.8619599999999997E-2</v>
      </c>
    </row>
    <row r="45" spans="1:2" ht="15" x14ac:dyDescent="0.35">
      <c r="A45" s="191">
        <f>IFERROR(ROUND(Data3!N44*Data3!$A$10, 5-INT(LOG10(ABS(Data3!N44*Data3!$A$10)))), 0)</f>
        <v>4.5004099999999998E-2</v>
      </c>
      <c r="B45" s="191">
        <f>IFERROR(ROUND(Data3!O44*Data3!$A$10, 5-INT(LOG10(ABS(Data3!O44*Data3!$A$10)))), 0)</f>
        <v>3.3786099999999999E-2</v>
      </c>
    </row>
    <row r="46" spans="1:2" ht="15" x14ac:dyDescent="0.35">
      <c r="A46" s="191">
        <f>IFERROR(ROUND(Data3!N45*Data3!$A$10, 5-INT(LOG10(ABS(Data3!N45*Data3!$A$10)))), 0)</f>
        <v>3.2781299999999999E-2</v>
      </c>
      <c r="B46" s="191">
        <f>IFERROR(ROUND(Data3!O45*Data3!$A$10, 5-INT(LOG10(ABS(Data3!O45*Data3!$A$10)))), 0)</f>
        <v>2.8904200000000001E-2</v>
      </c>
    </row>
    <row r="47" spans="1:2" ht="15" x14ac:dyDescent="0.35">
      <c r="A47" s="191">
        <f>IFERROR(ROUND(Data3!N46*Data3!$A$10, 5-INT(LOG10(ABS(Data3!N46*Data3!$A$10)))), 0)</f>
        <v>2.2440999999999999E-2</v>
      </c>
      <c r="B47" s="191">
        <f>IFERROR(ROUND(Data3!O46*Data3!$A$10, 5-INT(LOG10(ABS(Data3!O46*Data3!$A$10)))), 0)</f>
        <v>2.40036E-2</v>
      </c>
    </row>
    <row r="48" spans="1:2" ht="15" x14ac:dyDescent="0.35">
      <c r="A48" s="191">
        <f>IFERROR(ROUND(Data3!N47*Data3!$A$10, 5-INT(LOG10(ABS(Data3!N47*Data3!$A$10)))), 0)</f>
        <v>1.4020400000000001E-2</v>
      </c>
      <c r="B48" s="191">
        <f>IFERROR(ROUND(Data3!O47*Data3!$A$10, 5-INT(LOG10(ABS(Data3!O47*Data3!$A$10)))), 0)</f>
        <v>1.91103E-2</v>
      </c>
    </row>
    <row r="49" spans="1:2" ht="15" x14ac:dyDescent="0.35">
      <c r="A49" s="191">
        <f>IFERROR(ROUND(Data3!N48*Data3!$A$10, 5-INT(LOG10(ABS(Data3!N48*Data3!$A$10)))), 0)</f>
        <v>7.5488700000000001E-3</v>
      </c>
      <c r="B49" s="191">
        <f>IFERROR(ROUND(Data3!O48*Data3!$A$10, 5-INT(LOG10(ABS(Data3!O48*Data3!$A$10)))), 0)</f>
        <v>1.42469E-2</v>
      </c>
    </row>
    <row r="50" spans="1:2" ht="15" x14ac:dyDescent="0.35">
      <c r="A50" s="191">
        <f>IFERROR(ROUND(Data3!N49*Data3!$A$10, 5-INT(LOG10(ABS(Data3!N49*Data3!$A$10)))), 0)</f>
        <v>3.0476100000000001E-3</v>
      </c>
      <c r="B50" s="191">
        <f>IFERROR(ROUND(Data3!O49*Data3!$A$10, 5-INT(LOG10(ABS(Data3!O49*Data3!$A$10)))), 0)</f>
        <v>9.4317700000000008E-3</v>
      </c>
    </row>
    <row r="51" spans="1:2" ht="15" x14ac:dyDescent="0.35">
      <c r="A51" s="191">
        <f>IFERROR(ROUND(Data3!N50*Data3!$A$10, 5-INT(LOG10(ABS(Data3!N50*Data3!$A$10)))), 0)</f>
        <v>5.2968000000000004E-4</v>
      </c>
      <c r="B51" s="191">
        <f>IFERROR(ROUND(Data3!O50*Data3!$A$10, 5-INT(LOG10(ABS(Data3!O50*Data3!$A$10)))), 0)</f>
        <v>4.6794000000000002E-3</v>
      </c>
    </row>
    <row r="52" spans="1:2" ht="15" x14ac:dyDescent="0.35">
      <c r="A52" s="191">
        <f>IFERROR(ROUND(Data3!N51*Data3!$A$10, 5-INT(LOG10(ABS(Data3!N51*Data3!$A$10)))), 0)</f>
        <v>0</v>
      </c>
      <c r="B52" s="191">
        <f>IFERROR(ROUND(Data3!O51*Data3!$A$10, 5-INT(LOG10(ABS(Data3!O51*Data3!$A$10)))), 0)</f>
        <v>0</v>
      </c>
    </row>
    <row r="53" spans="1:2" ht="15" x14ac:dyDescent="0.35">
      <c r="A53" s="191">
        <f>IFERROR(ROUND(Data3!N52*Data3!$A$10, 5-INT(LOG10(ABS(Data3!N52*Data3!$A$10)))), 0)</f>
        <v>0</v>
      </c>
      <c r="B53" s="191">
        <f>IFERROR(ROUND(Data3!O52*Data3!$A$10, 5-INT(LOG10(ABS(Data3!O52*Data3!$A$10)))), 0)</f>
        <v>0</v>
      </c>
    </row>
    <row r="54" spans="1:2" ht="15" x14ac:dyDescent="0.35">
      <c r="A54" s="191">
        <f>IFERROR(ROUND(Data3!N53*Data3!$A$10, 5-INT(LOG10(ABS(Data3!N53*Data3!$A$10)))), 0)</f>
        <v>1.44359E-3</v>
      </c>
      <c r="B54" s="191">
        <f>IFERROR(ROUND(Data3!O53*Data3!$A$10, 5-INT(LOG10(ABS(Data3!O53*Data3!$A$10)))), 0)</f>
        <v>-4.4823099999999998E-3</v>
      </c>
    </row>
    <row r="55" spans="1:2" ht="15" x14ac:dyDescent="0.35">
      <c r="A55" s="191">
        <f>IFERROR(ROUND(Data3!N54*Data3!$A$10, 5-INT(LOG10(ABS(Data3!N54*Data3!$A$10)))), 0)</f>
        <v>4.8376799999999996E-3</v>
      </c>
      <c r="B55" s="191">
        <f>IFERROR(ROUND(Data3!O54*Data3!$A$10, 5-INT(LOG10(ABS(Data3!O54*Data3!$A$10)))), 0)</f>
        <v>-8.6471299999999994E-3</v>
      </c>
    </row>
    <row r="56" spans="1:2" ht="15" x14ac:dyDescent="0.35">
      <c r="A56" s="191">
        <f>IFERROR(ROUND(Data3!N55*Data3!$A$10, 5-INT(LOG10(ABS(Data3!N55*Data3!$A$10)))), 0)</f>
        <v>1.01639E-2</v>
      </c>
      <c r="B56" s="191">
        <f>IFERROR(ROUND(Data3!O55*Data3!$A$10, 5-INT(LOG10(ABS(Data3!O55*Data3!$A$10)))), 0)</f>
        <v>-1.24952E-2</v>
      </c>
    </row>
    <row r="57" spans="1:2" ht="15" x14ac:dyDescent="0.35">
      <c r="A57" s="191">
        <f>IFERROR(ROUND(Data3!N56*Data3!$A$10, 5-INT(LOG10(ABS(Data3!N56*Data3!$A$10)))), 0)</f>
        <v>1.7396399999999999E-2</v>
      </c>
      <c r="B57" s="191">
        <f>IFERROR(ROUND(Data3!O56*Data3!$A$10, 5-INT(LOG10(ABS(Data3!O56*Data3!$A$10)))), 0)</f>
        <v>-1.6030300000000001E-2</v>
      </c>
    </row>
    <row r="58" spans="1:2" ht="15" x14ac:dyDescent="0.35">
      <c r="A58" s="191">
        <f>IFERROR(ROUND(Data3!N57*Data3!$A$10, 5-INT(LOG10(ABS(Data3!N57*Data3!$A$10)))), 0)</f>
        <v>2.6502499999999998E-2</v>
      </c>
      <c r="B58" s="191">
        <f>IFERROR(ROUND(Data3!O57*Data3!$A$10, 5-INT(LOG10(ABS(Data3!O57*Data3!$A$10)))), 0)</f>
        <v>-1.9258899999999999E-2</v>
      </c>
    </row>
    <row r="59" spans="1:2" ht="15" x14ac:dyDescent="0.35">
      <c r="A59" s="191">
        <f>IFERROR(ROUND(Data3!N58*Data3!$A$10, 5-INT(LOG10(ABS(Data3!N58*Data3!$A$10)))), 0)</f>
        <v>3.7442200000000002E-2</v>
      </c>
      <c r="B59" s="191">
        <f>IFERROR(ROUND(Data3!O58*Data3!$A$10, 5-INT(LOG10(ABS(Data3!O58*Data3!$A$10)))), 0)</f>
        <v>-2.2190100000000001E-2</v>
      </c>
    </row>
    <row r="60" spans="1:2" ht="15" x14ac:dyDescent="0.35">
      <c r="A60" s="191">
        <f>IFERROR(ROUND(Data3!N59*Data3!$A$10, 5-INT(LOG10(ABS(Data3!N59*Data3!$A$10)))), 0)</f>
        <v>5.01688E-2</v>
      </c>
      <c r="B60" s="191">
        <f>IFERROR(ROUND(Data3!O59*Data3!$A$10, 5-INT(LOG10(ABS(Data3!O59*Data3!$A$10)))), 0)</f>
        <v>-2.48349E-2</v>
      </c>
    </row>
    <row r="61" spans="1:2" ht="15" x14ac:dyDescent="0.35">
      <c r="A61" s="191">
        <f>IFERROR(ROUND(Data3!N60*Data3!$A$10, 5-INT(LOG10(ABS(Data3!N60*Data3!$A$10)))), 0)</f>
        <v>6.4629099999999995E-2</v>
      </c>
      <c r="B61" s="191">
        <f>IFERROR(ROUND(Data3!O60*Data3!$A$10, 5-INT(LOG10(ABS(Data3!O60*Data3!$A$10)))), 0)</f>
        <v>-2.7206500000000002E-2</v>
      </c>
    </row>
    <row r="62" spans="1:2" ht="15" x14ac:dyDescent="0.35">
      <c r="A62" s="191">
        <f>IFERROR(ROUND(Data3!N61*Data3!$A$10, 5-INT(LOG10(ABS(Data3!N61*Data3!$A$10)))), 0)</f>
        <v>8.0763299999999996E-2</v>
      </c>
      <c r="B62" s="191">
        <f>IFERROR(ROUND(Data3!O61*Data3!$A$10, 5-INT(LOG10(ABS(Data3!O61*Data3!$A$10)))), 0)</f>
        <v>-2.93192E-2</v>
      </c>
    </row>
    <row r="63" spans="1:2" ht="15" x14ac:dyDescent="0.35">
      <c r="A63" s="191">
        <f>IFERROR(ROUND(Data3!N62*Data3!$A$10, 5-INT(LOG10(ABS(Data3!N62*Data3!$A$10)))), 0)</f>
        <v>9.8505999999999996E-2</v>
      </c>
      <c r="B63" s="191">
        <f>IFERROR(ROUND(Data3!O62*Data3!$A$10, 5-INT(LOG10(ABS(Data3!O62*Data3!$A$10)))), 0)</f>
        <v>-3.11886E-2</v>
      </c>
    </row>
    <row r="64" spans="1:2" ht="15" x14ac:dyDescent="0.35">
      <c r="A64" s="191">
        <f>IFERROR(ROUND(Data3!N63*Data3!$A$10, 5-INT(LOG10(ABS(Data3!N63*Data3!$A$10)))), 0)</f>
        <v>0.117786</v>
      </c>
      <c r="B64" s="191">
        <f>IFERROR(ROUND(Data3!O63*Data3!$A$10, 5-INT(LOG10(ABS(Data3!O63*Data3!$A$10)))), 0)</f>
        <v>-3.2830499999999999E-2</v>
      </c>
    </row>
    <row r="65" spans="1:2" ht="15" x14ac:dyDescent="0.35">
      <c r="A65" s="191">
        <f>IFERROR(ROUND(Data3!N64*Data3!$A$10, 5-INT(LOG10(ABS(Data3!N64*Data3!$A$10)))), 0)</f>
        <v>0.13852500000000001</v>
      </c>
      <c r="B65" s="191">
        <f>IFERROR(ROUND(Data3!O64*Data3!$A$10, 5-INT(LOG10(ABS(Data3!O64*Data3!$A$10)))), 0)</f>
        <v>-3.4261300000000001E-2</v>
      </c>
    </row>
    <row r="66" spans="1:2" ht="15" x14ac:dyDescent="0.35">
      <c r="A66" s="191">
        <f>IFERROR(ROUND(Data3!N65*Data3!$A$10, 5-INT(LOG10(ABS(Data3!N65*Data3!$A$10)))), 0)</f>
        <v>0.16064300000000001</v>
      </c>
      <c r="B66" s="191">
        <f>IFERROR(ROUND(Data3!O65*Data3!$A$10, 5-INT(LOG10(ABS(Data3!O65*Data3!$A$10)))), 0)</f>
        <v>-3.5496899999999998E-2</v>
      </c>
    </row>
    <row r="67" spans="1:2" ht="15" x14ac:dyDescent="0.35">
      <c r="A67" s="191">
        <f>IFERROR(ROUND(Data3!N66*Data3!$A$10, 5-INT(LOG10(ABS(Data3!N66*Data3!$A$10)))), 0)</f>
        <v>0.18405299999999999</v>
      </c>
      <c r="B67" s="191">
        <f>IFERROR(ROUND(Data3!O66*Data3!$A$10, 5-INT(LOG10(ABS(Data3!O66*Data3!$A$10)))), 0)</f>
        <v>-3.6552800000000003E-2</v>
      </c>
    </row>
    <row r="68" spans="1:2" ht="15" x14ac:dyDescent="0.35">
      <c r="A68" s="191">
        <f>IFERROR(ROUND(Data3!N67*Data3!$A$10, 5-INT(LOG10(ABS(Data3!N67*Data3!$A$10)))), 0)</f>
        <v>0.20866399999999999</v>
      </c>
      <c r="B68" s="191">
        <f>IFERROR(ROUND(Data3!O67*Data3!$A$10, 5-INT(LOG10(ABS(Data3!O67*Data3!$A$10)))), 0)</f>
        <v>-3.7443400000000002E-2</v>
      </c>
    </row>
    <row r="69" spans="1:2" ht="15" x14ac:dyDescent="0.35">
      <c r="A69" s="191">
        <f>IFERROR(ROUND(Data3!N68*Data3!$A$10, 5-INT(LOG10(ABS(Data3!N68*Data3!$A$10)))), 0)</f>
        <v>0.23438100000000001</v>
      </c>
      <c r="B69" s="191">
        <f>IFERROR(ROUND(Data3!O68*Data3!$A$10, 5-INT(LOG10(ABS(Data3!O68*Data3!$A$10)))), 0)</f>
        <v>-3.8182199999999999E-2</v>
      </c>
    </row>
    <row r="70" spans="1:2" ht="15" x14ac:dyDescent="0.35">
      <c r="A70" s="191">
        <f>IFERROR(ROUND(Data3!N69*Data3!$A$10, 5-INT(LOG10(ABS(Data3!N69*Data3!$A$10)))), 0)</f>
        <v>0.261106</v>
      </c>
      <c r="B70" s="191">
        <f>IFERROR(ROUND(Data3!O69*Data3!$A$10, 5-INT(LOG10(ABS(Data3!O69*Data3!$A$10)))), 0)</f>
        <v>-3.8781099999999999E-2</v>
      </c>
    </row>
    <row r="71" spans="1:2" ht="15" x14ac:dyDescent="0.35">
      <c r="A71" s="191">
        <f>IFERROR(ROUND(Data3!N70*Data3!$A$10, 5-INT(LOG10(ABS(Data3!N70*Data3!$A$10)))), 0)</f>
        <v>0.28873799999999999</v>
      </c>
      <c r="B71" s="191">
        <f>IFERROR(ROUND(Data3!O70*Data3!$A$10, 5-INT(LOG10(ABS(Data3!O70*Data3!$A$10)))), 0)</f>
        <v>-3.9250899999999998E-2</v>
      </c>
    </row>
    <row r="72" spans="1:2" ht="15" x14ac:dyDescent="0.35">
      <c r="A72" s="191">
        <f>IFERROR(ROUND(Data3!N71*Data3!$A$10, 5-INT(LOG10(ABS(Data3!N71*Data3!$A$10)))), 0)</f>
        <v>0.31717200000000001</v>
      </c>
      <c r="B72" s="191">
        <f>IFERROR(ROUND(Data3!O71*Data3!$A$10, 5-INT(LOG10(ABS(Data3!O71*Data3!$A$10)))), 0)</f>
        <v>-3.96006E-2</v>
      </c>
    </row>
    <row r="73" spans="1:2" ht="15" x14ac:dyDescent="0.35">
      <c r="A73" s="191">
        <f>IFERROR(ROUND(Data3!N72*Data3!$A$10, 5-INT(LOG10(ABS(Data3!N72*Data3!$A$10)))), 0)</f>
        <v>0.346302</v>
      </c>
      <c r="B73" s="191">
        <f>IFERROR(ROUND(Data3!O72*Data3!$A$10, 5-INT(LOG10(ABS(Data3!O72*Data3!$A$10)))), 0)</f>
        <v>-3.98378E-2</v>
      </c>
    </row>
    <row r="74" spans="1:2" ht="15" x14ac:dyDescent="0.35">
      <c r="A74" s="191">
        <f>IFERROR(ROUND(Data3!N73*Data3!$A$10, 5-INT(LOG10(ABS(Data3!N73*Data3!$A$10)))), 0)</f>
        <v>0.37602000000000002</v>
      </c>
      <c r="B74" s="191">
        <f>IFERROR(ROUND(Data3!O73*Data3!$A$10, 5-INT(LOG10(ABS(Data3!O73*Data3!$A$10)))), 0)</f>
        <v>-3.99686E-2</v>
      </c>
    </row>
    <row r="75" spans="1:2" ht="15" x14ac:dyDescent="0.35">
      <c r="A75" s="191">
        <f>IFERROR(ROUND(Data3!N74*Data3!$A$10, 5-INT(LOG10(ABS(Data3!N74*Data3!$A$10)))), 0)</f>
        <v>0.40626699999999999</v>
      </c>
      <c r="B75" s="191">
        <f>IFERROR(ROUND(Data3!O74*Data3!$A$10, 5-INT(LOG10(ABS(Data3!O74*Data3!$A$10)))), 0)</f>
        <v>-3.9995200000000002E-2</v>
      </c>
    </row>
    <row r="76" spans="1:2" ht="15" x14ac:dyDescent="0.35">
      <c r="A76" s="191">
        <f>IFERROR(ROUND(Data3!N75*Data3!$A$10, 5-INT(LOG10(ABS(Data3!N75*Data3!$A$10)))), 0)</f>
        <v>0.43708599999999997</v>
      </c>
      <c r="B76" s="191">
        <f>IFERROR(ROUND(Data3!O75*Data3!$A$10, 5-INT(LOG10(ABS(Data3!O75*Data3!$A$10)))), 0)</f>
        <v>-3.9834000000000001E-2</v>
      </c>
    </row>
    <row r="77" spans="1:2" ht="15" x14ac:dyDescent="0.35">
      <c r="A77" s="191">
        <f>IFERROR(ROUND(Data3!N76*Data3!$A$10, 5-INT(LOG10(ABS(Data3!N76*Data3!$A$10)))), 0)</f>
        <v>0.46815400000000001</v>
      </c>
      <c r="B77" s="191">
        <f>IFERROR(ROUND(Data3!O76*Data3!$A$10, 5-INT(LOG10(ABS(Data3!O76*Data3!$A$10)))), 0)</f>
        <v>-3.9442400000000002E-2</v>
      </c>
    </row>
    <row r="78" spans="1:2" ht="15" x14ac:dyDescent="0.35">
      <c r="A78" s="191">
        <f>IFERROR(ROUND(Data3!N77*Data3!$A$10, 5-INT(LOG10(ABS(Data3!N77*Data3!$A$10)))), 0)</f>
        <v>0.49935299999999999</v>
      </c>
      <c r="B78" s="191">
        <f>IFERROR(ROUND(Data3!O77*Data3!$A$10, 5-INT(LOG10(ABS(Data3!O77*Data3!$A$10)))), 0)</f>
        <v>-3.8821399999999999E-2</v>
      </c>
    </row>
    <row r="79" spans="1:2" ht="15" x14ac:dyDescent="0.35">
      <c r="A79" s="191">
        <f>IFERROR(ROUND(Data3!N78*Data3!$A$10, 5-INT(LOG10(ABS(Data3!N78*Data3!$A$10)))), 0)</f>
        <v>0.53056300000000001</v>
      </c>
      <c r="B79" s="191">
        <f>IFERROR(ROUND(Data3!O78*Data3!$A$10, 5-INT(LOG10(ABS(Data3!O78*Data3!$A$10)))), 0)</f>
        <v>-3.79759E-2</v>
      </c>
    </row>
    <row r="80" spans="1:2" ht="15" x14ac:dyDescent="0.35">
      <c r="A80" s="191">
        <f>IFERROR(ROUND(Data3!N79*Data3!$A$10, 5-INT(LOG10(ABS(Data3!N79*Data3!$A$10)))), 0)</f>
        <v>0.56166499999999997</v>
      </c>
      <c r="B80" s="191">
        <f>IFERROR(ROUND(Data3!O79*Data3!$A$10, 5-INT(LOG10(ABS(Data3!O79*Data3!$A$10)))), 0)</f>
        <v>-3.6914099999999998E-2</v>
      </c>
    </row>
    <row r="81" spans="1:2" ht="15" x14ac:dyDescent="0.35">
      <c r="A81" s="191">
        <f>IFERROR(ROUND(Data3!N80*Data3!$A$10, 5-INT(LOG10(ABS(Data3!N80*Data3!$A$10)))), 0)</f>
        <v>0.59253800000000001</v>
      </c>
      <c r="B81" s="191">
        <f>IFERROR(ROUND(Data3!O80*Data3!$A$10, 5-INT(LOG10(ABS(Data3!O80*Data3!$A$10)))), 0)</f>
        <v>-3.56478E-2</v>
      </c>
    </row>
    <row r="82" spans="1:2" ht="15" x14ac:dyDescent="0.35">
      <c r="A82" s="191">
        <f>IFERROR(ROUND(Data3!N81*Data3!$A$10, 5-INT(LOG10(ABS(Data3!N81*Data3!$A$10)))), 0)</f>
        <v>0.62306399999999995</v>
      </c>
      <c r="B82" s="191">
        <f>IFERROR(ROUND(Data3!O81*Data3!$A$10, 5-INT(LOG10(ABS(Data3!O81*Data3!$A$10)))), 0)</f>
        <v>-3.4191899999999997E-2</v>
      </c>
    </row>
    <row r="83" spans="1:2" ht="15" x14ac:dyDescent="0.35">
      <c r="A83" s="191">
        <f>IFERROR(ROUND(Data3!N82*Data3!$A$10, 5-INT(LOG10(ABS(Data3!N82*Data3!$A$10)))), 0)</f>
        <v>0.65312400000000004</v>
      </c>
      <c r="B83" s="191">
        <f>IFERROR(ROUND(Data3!O82*Data3!$A$10, 5-INT(LOG10(ABS(Data3!O82*Data3!$A$10)))), 0)</f>
        <v>-3.2564000000000003E-2</v>
      </c>
    </row>
    <row r="84" spans="1:2" ht="15" x14ac:dyDescent="0.35">
      <c r="A84" s="191">
        <f>IFERROR(ROUND(Data3!N83*Data3!$A$10, 5-INT(LOG10(ABS(Data3!N83*Data3!$A$10)))), 0)</f>
        <v>0.68260100000000001</v>
      </c>
      <c r="B84" s="191">
        <f>IFERROR(ROUND(Data3!O83*Data3!$A$10, 5-INT(LOG10(ABS(Data3!O83*Data3!$A$10)))), 0)</f>
        <v>-3.0784499999999999E-2</v>
      </c>
    </row>
    <row r="85" spans="1:2" ht="15" x14ac:dyDescent="0.35">
      <c r="A85" s="191">
        <f>IFERROR(ROUND(Data3!N84*Data3!$A$10, 5-INT(LOG10(ABS(Data3!N84*Data3!$A$10)))), 0)</f>
        <v>0.71138000000000001</v>
      </c>
      <c r="B85" s="191">
        <f>IFERROR(ROUND(Data3!O84*Data3!$A$10, 5-INT(LOG10(ABS(Data3!O84*Data3!$A$10)))), 0)</f>
        <v>-2.88758E-2</v>
      </c>
    </row>
    <row r="86" spans="1:2" ht="15" x14ac:dyDescent="0.35">
      <c r="A86" s="191">
        <f>IFERROR(ROUND(Data3!N85*Data3!$A$10, 5-INT(LOG10(ABS(Data3!N85*Data3!$A$10)))), 0)</f>
        <v>0.73934599999999995</v>
      </c>
      <c r="B86" s="191">
        <f>IFERROR(ROUND(Data3!O85*Data3!$A$10, 5-INT(LOG10(ABS(Data3!O85*Data3!$A$10)))), 0)</f>
        <v>-2.68621E-2</v>
      </c>
    </row>
    <row r="87" spans="1:2" ht="15" x14ac:dyDescent="0.35">
      <c r="A87" s="191">
        <f>IFERROR(ROUND(Data3!N86*Data3!$A$10, 5-INT(LOG10(ABS(Data3!N86*Data3!$A$10)))), 0)</f>
        <v>0.76639100000000004</v>
      </c>
      <c r="B87" s="191">
        <f>IFERROR(ROUND(Data3!O86*Data3!$A$10, 5-INT(LOG10(ABS(Data3!O86*Data3!$A$10)))), 0)</f>
        <v>-2.4769200000000002E-2</v>
      </c>
    </row>
    <row r="88" spans="1:2" ht="15" x14ac:dyDescent="0.35">
      <c r="A88" s="191">
        <f>IFERROR(ROUND(Data3!N87*Data3!$A$10, 5-INT(LOG10(ABS(Data3!N87*Data3!$A$10)))), 0)</f>
        <v>0.792404</v>
      </c>
      <c r="B88" s="191">
        <f>IFERROR(ROUND(Data3!O87*Data3!$A$10, 5-INT(LOG10(ABS(Data3!O87*Data3!$A$10)))), 0)</f>
        <v>-2.2623799999999999E-2</v>
      </c>
    </row>
    <row r="89" spans="1:2" ht="15" x14ac:dyDescent="0.35">
      <c r="A89" s="191">
        <f>IFERROR(ROUND(Data3!N88*Data3!$A$10, 5-INT(LOG10(ABS(Data3!N88*Data3!$A$10)))), 0)</f>
        <v>0.81728299999999998</v>
      </c>
      <c r="B89" s="191">
        <f>IFERROR(ROUND(Data3!O88*Data3!$A$10, 5-INT(LOG10(ABS(Data3!O88*Data3!$A$10)))), 0)</f>
        <v>-2.0453200000000001E-2</v>
      </c>
    </row>
    <row r="90" spans="1:2" ht="15" x14ac:dyDescent="0.35">
      <c r="A90" s="191">
        <f>IFERROR(ROUND(Data3!N89*Data3!$A$10, 5-INT(LOG10(ABS(Data3!N89*Data3!$A$10)))), 0)</f>
        <v>0.84092599999999995</v>
      </c>
      <c r="B90" s="191">
        <f>IFERROR(ROUND(Data3!O89*Data3!$A$10, 5-INT(LOG10(ABS(Data3!O89*Data3!$A$10)))), 0)</f>
        <v>-1.8284999999999999E-2</v>
      </c>
    </row>
    <row r="91" spans="1:2" ht="15" x14ac:dyDescent="0.35">
      <c r="A91" s="191">
        <f>IFERROR(ROUND(Data3!N90*Data3!$A$10, 5-INT(LOG10(ABS(Data3!N90*Data3!$A$10)))), 0)</f>
        <v>0.86323700000000003</v>
      </c>
      <c r="B91" s="191">
        <f>IFERROR(ROUND(Data3!O90*Data3!$A$10, 5-INT(LOG10(ABS(Data3!O90*Data3!$A$10)))), 0)</f>
        <v>-1.6146799999999999E-2</v>
      </c>
    </row>
    <row r="92" spans="1:2" ht="15" x14ac:dyDescent="0.35">
      <c r="A92" s="191">
        <f>IFERROR(ROUND(Data3!N91*Data3!$A$10, 5-INT(LOG10(ABS(Data3!N91*Data3!$A$10)))), 0)</f>
        <v>0.88412500000000005</v>
      </c>
      <c r="B92" s="191">
        <f>IFERROR(ROUND(Data3!O91*Data3!$A$10, 5-INT(LOG10(ABS(Data3!O91*Data3!$A$10)))), 0)</f>
        <v>-1.4065299999999999E-2</v>
      </c>
    </row>
    <row r="93" spans="1:2" ht="15" x14ac:dyDescent="0.35">
      <c r="A93" s="191">
        <f>IFERROR(ROUND(Data3!N92*Data3!$A$10, 5-INT(LOG10(ABS(Data3!N92*Data3!$A$10)))), 0)</f>
        <v>0.90350399999999997</v>
      </c>
      <c r="B93" s="191">
        <f>IFERROR(ROUND(Data3!O92*Data3!$A$10, 5-INT(LOG10(ABS(Data3!O92*Data3!$A$10)))), 0)</f>
        <v>-1.20667E-2</v>
      </c>
    </row>
    <row r="94" spans="1:2" ht="15" x14ac:dyDescent="0.35">
      <c r="A94" s="191">
        <f>IFERROR(ROUND(Data3!N93*Data3!$A$10, 5-INT(LOG10(ABS(Data3!N93*Data3!$A$10)))), 0)</f>
        <v>0.921292</v>
      </c>
      <c r="B94" s="191">
        <f>IFERROR(ROUND(Data3!O93*Data3!$A$10, 5-INT(LOG10(ABS(Data3!O93*Data3!$A$10)))), 0)</f>
        <v>-1.01759E-2</v>
      </c>
    </row>
    <row r="95" spans="1:2" ht="15" x14ac:dyDescent="0.35">
      <c r="A95" s="191">
        <f>IFERROR(ROUND(Data3!N94*Data3!$A$10, 5-INT(LOG10(ABS(Data3!N94*Data3!$A$10)))), 0)</f>
        <v>0.93741600000000003</v>
      </c>
      <c r="B95" s="191">
        <f>IFERROR(ROUND(Data3!O94*Data3!$A$10, 5-INT(LOG10(ABS(Data3!O94*Data3!$A$10)))), 0)</f>
        <v>-8.4162899999999999E-3</v>
      </c>
    </row>
    <row r="96" spans="1:2" ht="15" x14ac:dyDescent="0.35">
      <c r="A96" s="191">
        <f>IFERROR(ROUND(Data3!N95*Data3!$A$10, 5-INT(LOG10(ABS(Data3!N95*Data3!$A$10)))), 0)</f>
        <v>0.95180900000000002</v>
      </c>
      <c r="B96" s="191">
        <f>IFERROR(ROUND(Data3!O95*Data3!$A$10, 5-INT(LOG10(ABS(Data3!O95*Data3!$A$10)))), 0)</f>
        <v>-6.8095500000000002E-3</v>
      </c>
    </row>
    <row r="97" spans="1:2" ht="15" x14ac:dyDescent="0.35">
      <c r="A97" s="191">
        <f>IFERROR(ROUND(Data3!N96*Data3!$A$10, 5-INT(LOG10(ABS(Data3!N96*Data3!$A$10)))), 0)</f>
        <v>0.96440800000000004</v>
      </c>
      <c r="B97" s="191">
        <f>IFERROR(ROUND(Data3!O96*Data3!$A$10, 5-INT(LOG10(ABS(Data3!O96*Data3!$A$10)))), 0)</f>
        <v>-5.3753400000000002E-3</v>
      </c>
    </row>
    <row r="98" spans="1:2" ht="15" x14ac:dyDescent="0.35">
      <c r="A98" s="191">
        <f>IFERROR(ROUND(Data3!N97*Data3!$A$10, 5-INT(LOG10(ABS(Data3!N97*Data3!$A$10)))), 0)</f>
        <v>0.97516199999999997</v>
      </c>
      <c r="B98" s="191">
        <f>IFERROR(ROUND(Data3!O97*Data3!$A$10, 5-INT(LOG10(ABS(Data3!O97*Data3!$A$10)))), 0)</f>
        <v>-4.1311500000000001E-3</v>
      </c>
    </row>
    <row r="99" spans="1:2" ht="15" x14ac:dyDescent="0.35">
      <c r="A99" s="191">
        <f>IFERROR(ROUND(Data3!N98*Data3!$A$10, 5-INT(LOG10(ABS(Data3!N98*Data3!$A$10)))), 0)</f>
        <v>0.98402400000000001</v>
      </c>
      <c r="B99" s="191">
        <f>IFERROR(ROUND(Data3!O98*Data3!$A$10, 5-INT(LOG10(ABS(Data3!O98*Data3!$A$10)))), 0)</f>
        <v>-3.0920700000000001E-3</v>
      </c>
    </row>
    <row r="100" spans="1:2" ht="15" x14ac:dyDescent="0.35">
      <c r="A100" s="191">
        <f>IFERROR(ROUND(Data3!N99*Data3!$A$10, 5-INT(LOG10(ABS(Data3!N99*Data3!$A$10)))), 0)</f>
        <v>0.99095599999999995</v>
      </c>
      <c r="B100" s="191">
        <f>IFERROR(ROUND(Data3!O99*Data3!$A$10, 5-INT(LOG10(ABS(Data3!O99*Data3!$A$10)))), 0)</f>
        <v>-2.27064E-3</v>
      </c>
    </row>
    <row r="101" spans="1:2" ht="15" x14ac:dyDescent="0.35">
      <c r="A101" s="191">
        <f>IFERROR(ROUND(Data3!N100*Data3!$A$10, 5-INT(LOG10(ABS(Data3!N100*Data3!$A$10)))), 0)</f>
        <v>0.99592899999999995</v>
      </c>
      <c r="B101" s="191">
        <f>IFERROR(ROUND(Data3!O100*Data3!$A$10, 5-INT(LOG10(ABS(Data3!O100*Data3!$A$10)))), 0)</f>
        <v>-1.67676E-3</v>
      </c>
    </row>
    <row r="102" spans="1:2" ht="15" x14ac:dyDescent="0.35">
      <c r="A102" s="191">
        <f>IFERROR(ROUND(Data3!N101*Data3!$A$10, 5-INT(LOG10(ABS(Data3!N101*Data3!$A$10)))), 0)</f>
        <v>0.99892099999999995</v>
      </c>
      <c r="B102" s="191">
        <f>IFERROR(ROUND(Data3!O101*Data3!$A$10, 5-INT(LOG10(ABS(Data3!O101*Data3!$A$10)))), 0)</f>
        <v>-1.31756E-3</v>
      </c>
    </row>
    <row r="103" spans="1:2" ht="15" x14ac:dyDescent="0.35">
      <c r="A103" s="191">
        <f>IFERROR(ROUND(Data3!N102*Data3!$A$10, 5-INT(LOG10(ABS(Data3!N102*Data3!$A$10)))), 0)</f>
        <v>1</v>
      </c>
      <c r="B103" s="191">
        <f>IFERROR(ROUND(Data3!O102*Data3!$A$10, 5-INT(LOG10(ABS(Data3!O102*Data3!$A$10)))), 0)</f>
        <v>0</v>
      </c>
    </row>
  </sheetData>
  <sheetProtection algorithmName="SHA-512" hashValue="pOGmfYmVDmdNsx/dsVjKh17AxCaogUQaq7y/baYJRdTsIuNuXpDO+5kSLhQgBZQtASG0JxP3aDl/DhMnNMefjA==" saltValue="pbzVujFr/IVY8zP91Y7rgA==" spinCount="100000" sheet="1" objects="1" scenarios="1"/>
  <mergeCells count="1">
    <mergeCell ref="A1:B1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AA370-0EB6-4A4B-A334-1319030DF7CF}">
  <sheetPr codeName="Sheet8">
    <tabColor rgb="FFFAFDCF"/>
  </sheetPr>
  <dimension ref="A1:AK500"/>
  <sheetViews>
    <sheetView topLeftCell="F1" zoomScale="90" zoomScaleNormal="70" workbookViewId="0">
      <selection activeCell="S12" sqref="S12"/>
    </sheetView>
  </sheetViews>
  <sheetFormatPr defaultRowHeight="14.4" x14ac:dyDescent="0.3"/>
  <cols>
    <col min="1" max="1" width="8.88671875" style="3"/>
    <col min="2" max="6" width="8.88671875" style="7"/>
    <col min="7" max="7" width="9.21875" style="7" bestFit="1" customWidth="1"/>
    <col min="8" max="9" width="8.88671875" style="7"/>
    <col min="10" max="10" width="9.21875" style="7" bestFit="1" customWidth="1"/>
    <col min="11" max="11" width="8.88671875" style="7"/>
    <col min="12" max="17" width="9.77734375" style="7" customWidth="1"/>
    <col min="18" max="21" width="8.88671875" style="3"/>
    <col min="22" max="24" width="9.21875" style="3" bestFit="1" customWidth="1"/>
    <col min="25" max="26" width="8.88671875" style="3"/>
    <col min="27" max="28" width="9.21875" style="3" bestFit="1" customWidth="1"/>
    <col min="29" max="30" width="8.88671875" style="3"/>
    <col min="31" max="31" width="9.77734375" style="4" customWidth="1"/>
    <col min="32" max="32" width="9.77734375" style="7" customWidth="1"/>
    <col min="33" max="33" width="8.88671875" style="3"/>
    <col min="34" max="34" width="10.109375" style="3" customWidth="1"/>
    <col min="35" max="37" width="8.88671875" style="13"/>
    <col min="38" max="16384" width="8.88671875" style="3"/>
  </cols>
  <sheetData>
    <row r="1" spans="1:37" x14ac:dyDescent="0.3">
      <c r="A1" s="12">
        <v>2</v>
      </c>
      <c r="B1" s="7" cm="1">
        <f t="array" ref="B1:B51">0.5*(1-COS((_xlfn.SEQUENCE(51,1,50,-1)*PI())/50))</f>
        <v>1</v>
      </c>
      <c r="C1" s="7">
        <f>IF(B1&lt;$T$1, ($A$7/0.2)*($U$1*SQRT(B1)+$V$1*B1+$W$1*(B1^2)+$X$1*(B1^3)), ($A$7/0.2)*($Y$1+$Z$1*(1-B1)+$AA$1*((1-B1)^2)+$AB$1*((1-B1)^3)))</f>
        <v>1.1999999999999999E-3</v>
      </c>
      <c r="D1" s="7">
        <f t="shared" ref="D1:D32" si="0" xml:space="preserve"> IF(B1&lt;$A$10, ($A$12/6)*((B1^3)-3*$A$10*(B1^2)+($A$10^2)*(3-$A$10)*B1), (($A$12*($A$10^3))/6)*(1-B1))</f>
        <v>0</v>
      </c>
      <c r="E1" s="7">
        <f t="shared" ref="E1:E32" si="1">IF(B1&lt;$A$10, ($A$12/6)*(3*(B1^2)-6*$A$10*B1+($A$10^2)*(3-$A$10)), -($A$12*($A$10^3))/6)</f>
        <v>-2.2143455707338989E-2</v>
      </c>
      <c r="F1" s="7">
        <f xml:space="preserve"> ATAN(E1)</f>
        <v>-2.2139837552109447E-2</v>
      </c>
      <c r="G1" s="7">
        <v>1</v>
      </c>
      <c r="H1" s="7">
        <v>0</v>
      </c>
      <c r="J1" s="7">
        <v>0.2</v>
      </c>
      <c r="L1" s="7">
        <f t="shared" ref="L1:L32" si="2">B1*COS($A$14)</f>
        <v>1</v>
      </c>
      <c r="M1" s="7">
        <f t="shared" ref="M1:M32" si="3">-B1*SIN($A$14)</f>
        <v>0</v>
      </c>
      <c r="N1" s="7">
        <f t="shared" ref="N1:N32" si="4">B1*COS($A$14)+D1*SIN($A$14)</f>
        <v>1</v>
      </c>
      <c r="O1" s="7">
        <f t="shared" ref="O1:O32" si="5">-B1*SIN($A$14)+D1*COS($A$14)</f>
        <v>0</v>
      </c>
      <c r="P1" s="7">
        <f t="shared" ref="P1:P32" si="6">G1*COS($A$14)+H1*SIN($A$14)</f>
        <v>1</v>
      </c>
      <c r="Q1" s="7">
        <f t="shared" ref="Q1:Q32" si="7">-G1*SIN($A$14)+H1*COS($A$14)</f>
        <v>0</v>
      </c>
      <c r="R1" s="12"/>
      <c r="S1" s="31">
        <v>5</v>
      </c>
      <c r="T1" s="32">
        <f>T2/10</f>
        <v>0.3</v>
      </c>
      <c r="U1" s="10">
        <f>IF($S$1=9, 0.2969*SQRT(3),0.2969*(S1/6))</f>
        <v>0.24741666666666667</v>
      </c>
      <c r="V1" s="10">
        <f>(0.3/T1)-1.875*(U1/SQRT(T1))+T1/(2*AC1)</f>
        <v>7.3312655310277669E-2</v>
      </c>
      <c r="W1" s="10">
        <f>-(0.3/(T1^2))+1.25*(U1/POWER(T1, 3/2))-1/AC1</f>
        <v>-0.91974240862601342</v>
      </c>
      <c r="X1" s="10">
        <f>(0.1/T1^3)-0.375*(U1/POWER(T1, 5/2))+1/(2*AC1*T1)</f>
        <v>0.93582706471066979</v>
      </c>
      <c r="Y1" s="10">
        <f>IF(AG4, 0, 0.002)</f>
        <v>2E-3</v>
      </c>
      <c r="Z1" s="10">
        <f>IF(T1=0.2, 0.2, IF(T1=0.3, 0.234, IF(T1=0.4, 0.315, IF(T1=0.5, 0.465, 0.7))))</f>
        <v>0.23400000000000001</v>
      </c>
      <c r="AA1" s="10">
        <f>(3*(0.1-Y1)-2*(1-T1)*Z1)/((1-T1)^2)</f>
        <v>-6.8571428571428505E-2</v>
      </c>
      <c r="AB1" s="10">
        <f>(-2*(0.1-Y1)+(1-T1)*Z1)/((1-T1)^3)</f>
        <v>-9.3877551020408206E-2</v>
      </c>
      <c r="AC1" s="1">
        <f>1/(2*AA1+6*AB1*(1-T1))</f>
        <v>-1.8817204301075268</v>
      </c>
      <c r="AD1" s="1"/>
      <c r="AE1" s="4">
        <f>IF($AG$1, M1, -1)</f>
        <v>-1</v>
      </c>
      <c r="AF1" s="7">
        <f>IF($AG$2, O1, -1)</f>
        <v>-1</v>
      </c>
      <c r="AG1" s="12" t="b">
        <v>0</v>
      </c>
      <c r="AH1" s="7">
        <f>$F$52-$A$14</f>
        <v>0.29659852930540098</v>
      </c>
      <c r="AI1" s="13" cm="1">
        <f t="array" ref="AI1:AI51">_xlfn.SEQUENCE(51, 1, 0, (2*PI())/50)</f>
        <v>0</v>
      </c>
      <c r="AJ1" s="13">
        <f>$AH$2*(COS(ATAN($AH$1))+COS(AI1))</f>
        <v>2.1582541155753712E-2</v>
      </c>
      <c r="AK1" s="13">
        <f>IF($AG$3, $AH$2*(SIN(ATAN($AH$1))+SIN(AI1)), -1)</f>
        <v>-1</v>
      </c>
    </row>
    <row r="2" spans="1:37" x14ac:dyDescent="0.3">
      <c r="A2" s="12">
        <v>3</v>
      </c>
      <c r="B2" s="7">
        <v>0.99901336421413578</v>
      </c>
      <c r="C2" s="7">
        <f t="shared" ref="C2:C51" si="8">IF(B2&lt;$T$1, ($A$7/0.2)*($U$1*SQRT(B2)+$V$1*B2+$W$1*(B2^2)+$X$1*(B2^3)), ($A$7/0.2)*($Y$1+$Z$1*(1-B2)+$AA$1*((1-B2)^2)+$AB$1*((1-B2)^3)))</f>
        <v>1.3384835597155971E-3</v>
      </c>
      <c r="D2" s="7">
        <f t="shared" si="0"/>
        <v>2.1847525823559962E-5</v>
      </c>
      <c r="E2" s="7">
        <f t="shared" si="1"/>
        <v>-2.2143455707338989E-2</v>
      </c>
      <c r="F2" s="7">
        <f t="shared" ref="F2:F51" si="9" xml:space="preserve"> ATAN(E2)</f>
        <v>-2.2139837552109447E-2</v>
      </c>
      <c r="G2" s="7">
        <f>B2-C2*SIN(F2)</f>
        <v>0.99904299560182752</v>
      </c>
      <c r="H2" s="7">
        <f t="shared" ref="H2:H51" si="10">D2+C2*COS(F2)</f>
        <v>1.3600030550847888E-3</v>
      </c>
      <c r="J2" s="7">
        <f>J1-(J1-J1*SQRT(J1/3)-$A$5)/(1-SQRT(3*J1)/2)</f>
        <v>0.20267630731575903</v>
      </c>
      <c r="L2" s="7">
        <f t="shared" si="2"/>
        <v>0.99901336421413578</v>
      </c>
      <c r="M2" s="7">
        <f t="shared" si="3"/>
        <v>0</v>
      </c>
      <c r="N2" s="7">
        <f t="shared" si="4"/>
        <v>0.99901336421413578</v>
      </c>
      <c r="O2" s="7">
        <f t="shared" si="5"/>
        <v>2.1847525823559962E-5</v>
      </c>
      <c r="P2" s="7">
        <f t="shared" si="6"/>
        <v>0.99904299560182752</v>
      </c>
      <c r="Q2" s="7">
        <f t="shared" si="7"/>
        <v>1.3600030550847888E-3</v>
      </c>
      <c r="S2" s="1"/>
      <c r="T2" s="31">
        <v>3</v>
      </c>
      <c r="U2" s="1"/>
      <c r="V2" s="1"/>
      <c r="W2" s="1"/>
      <c r="X2" s="1"/>
      <c r="Y2" s="1"/>
      <c r="Z2" s="1"/>
      <c r="AA2" s="1"/>
      <c r="AB2" s="1"/>
      <c r="AC2" s="1"/>
      <c r="AD2" s="1"/>
      <c r="AE2" s="4">
        <f t="shared" ref="AE2:AE51" si="11">IF($AG$1, M2, -1)</f>
        <v>-1</v>
      </c>
      <c r="AF2" s="7">
        <f t="shared" ref="AF2:AF50" si="12">IF($AG$2, O2, -1)</f>
        <v>-1</v>
      </c>
      <c r="AG2" s="12" t="b">
        <v>0</v>
      </c>
      <c r="AH2" s="3">
        <f>0.5*(0.2969*($A$7/0.2)*($S$1/6))^2</f>
        <v>1.101870125E-2</v>
      </c>
      <c r="AI2" s="13">
        <v>0.12566370614359174</v>
      </c>
      <c r="AJ2" s="13">
        <f t="shared" ref="AJ2:AJ51" si="13">$AH$2*(COS(ATAN($AH$1))+COS(AI2))</f>
        <v>2.1495655405270927E-2</v>
      </c>
      <c r="AK2" s="13">
        <f t="shared" ref="AK2:AK51" si="14">IF($AG$3, $AH$2*(SIN(ATAN($AH$1))+SIN(AI2)), -1)</f>
        <v>-1</v>
      </c>
    </row>
    <row r="3" spans="1:37" x14ac:dyDescent="0.3">
      <c r="A3" s="12">
        <v>12</v>
      </c>
      <c r="B3" s="7">
        <v>0.99605735065723888</v>
      </c>
      <c r="C3" s="7">
        <f t="shared" si="8"/>
        <v>1.7529049711926278E-3</v>
      </c>
      <c r="D3" s="7">
        <f t="shared" si="0"/>
        <v>8.7303881090999979E-5</v>
      </c>
      <c r="E3" s="7">
        <f t="shared" si="1"/>
        <v>-2.2143455707338989E-2</v>
      </c>
      <c r="F3" s="7">
        <f t="shared" si="9"/>
        <v>-2.2139837552109447E-2</v>
      </c>
      <c r="G3" s="7">
        <f t="shared" ref="G3:G51" si="15">B3-C3*SIN(F3)</f>
        <v>0.99609615651810368</v>
      </c>
      <c r="H3" s="7">
        <f t="shared" si="10"/>
        <v>1.839779257007697E-3</v>
      </c>
      <c r="J3" s="7">
        <f t="shared" ref="J3:J20" si="16">J2-(J2-J2*SQRT(J2/3)-$A$5)/(1-SQRT(3*J2)/2)</f>
        <v>0.20268197816703676</v>
      </c>
      <c r="L3" s="7">
        <f t="shared" si="2"/>
        <v>0.99605735065723888</v>
      </c>
      <c r="M3" s="7">
        <f t="shared" si="3"/>
        <v>0</v>
      </c>
      <c r="N3" s="7">
        <f t="shared" si="4"/>
        <v>0.99605735065723888</v>
      </c>
      <c r="O3" s="7">
        <f t="shared" si="5"/>
        <v>8.7303881090999979E-5</v>
      </c>
      <c r="P3" s="7">
        <f t="shared" si="6"/>
        <v>0.99609615651810368</v>
      </c>
      <c r="Q3" s="7">
        <f t="shared" si="7"/>
        <v>1.839779257007697E-3</v>
      </c>
      <c r="S3" s="4"/>
      <c r="AE3" s="4">
        <f t="shared" si="11"/>
        <v>-1</v>
      </c>
      <c r="AF3" s="7">
        <f t="shared" si="12"/>
        <v>-1</v>
      </c>
      <c r="AG3" s="12" t="b">
        <v>0</v>
      </c>
      <c r="AI3" s="13">
        <v>0.25132741228718347</v>
      </c>
      <c r="AJ3" s="13">
        <f t="shared" si="13"/>
        <v>2.1236368394010711E-2</v>
      </c>
      <c r="AK3" s="13">
        <f t="shared" si="14"/>
        <v>-1</v>
      </c>
    </row>
    <row r="4" spans="1:37" x14ac:dyDescent="0.3">
      <c r="B4" s="7">
        <v>0.99114362536434442</v>
      </c>
      <c r="C4" s="7">
        <f t="shared" si="8"/>
        <v>2.4401688161582585E-3</v>
      </c>
      <c r="D4" s="7">
        <f t="shared" si="0"/>
        <v>1.9611073947223989E-4</v>
      </c>
      <c r="E4" s="7">
        <f t="shared" si="1"/>
        <v>-2.2143455707338989E-2</v>
      </c>
      <c r="F4" s="7">
        <f t="shared" si="9"/>
        <v>-2.2139837552109447E-2</v>
      </c>
      <c r="G4" s="7">
        <f t="shared" si="15"/>
        <v>0.99119764589205284</v>
      </c>
      <c r="H4" s="7">
        <f t="shared" si="10"/>
        <v>2.6356815283482878E-3</v>
      </c>
      <c r="J4" s="7">
        <f t="shared" si="16"/>
        <v>0.20268197819238526</v>
      </c>
      <c r="L4" s="7">
        <f t="shared" si="2"/>
        <v>0.99114362536434442</v>
      </c>
      <c r="M4" s="7">
        <f t="shared" si="3"/>
        <v>0</v>
      </c>
      <c r="N4" s="7">
        <f t="shared" si="4"/>
        <v>0.99114362536434442</v>
      </c>
      <c r="O4" s="7">
        <f t="shared" si="5"/>
        <v>1.9611073947223989E-4</v>
      </c>
      <c r="P4" s="7">
        <f t="shared" si="6"/>
        <v>0.99119764589205284</v>
      </c>
      <c r="Q4" s="7">
        <f t="shared" si="7"/>
        <v>2.6356815283482878E-3</v>
      </c>
      <c r="S4" s="4"/>
      <c r="AE4" s="4">
        <f t="shared" si="11"/>
        <v>-1</v>
      </c>
      <c r="AF4" s="7">
        <f t="shared" si="12"/>
        <v>-1</v>
      </c>
      <c r="AG4" s="12" t="b">
        <v>0</v>
      </c>
      <c r="AI4" s="13">
        <v>0.37699111843077521</v>
      </c>
      <c r="AJ4" s="13">
        <f t="shared" si="13"/>
        <v>2.0808769233031196E-2</v>
      </c>
      <c r="AK4" s="13">
        <f t="shared" si="14"/>
        <v>-1</v>
      </c>
    </row>
    <row r="5" spans="1:37" x14ac:dyDescent="0.3">
      <c r="A5" s="3">
        <f>0.05*$A$2</f>
        <v>0.15000000000000002</v>
      </c>
      <c r="B5" s="7">
        <v>0.98429158056431554</v>
      </c>
      <c r="C5" s="7">
        <f t="shared" si="8"/>
        <v>3.3950915775286783E-3</v>
      </c>
      <c r="D5" s="7">
        <f t="shared" si="0"/>
        <v>3.4783869000638178E-4</v>
      </c>
      <c r="E5" s="7">
        <f t="shared" si="1"/>
        <v>-2.2143455707338989E-2</v>
      </c>
      <c r="F5" s="7">
        <f t="shared" si="9"/>
        <v>-2.2139837552109447E-2</v>
      </c>
      <c r="G5" s="7">
        <f t="shared" si="15"/>
        <v>0.98436674119968715</v>
      </c>
      <c r="H5" s="7">
        <f t="shared" si="10"/>
        <v>3.7420982114184835E-3</v>
      </c>
      <c r="J5" s="7">
        <f t="shared" si="16"/>
        <v>0.20268197819238526</v>
      </c>
      <c r="L5" s="7">
        <f t="shared" si="2"/>
        <v>0.98429158056431554</v>
      </c>
      <c r="M5" s="7">
        <f t="shared" si="3"/>
        <v>0</v>
      </c>
      <c r="N5" s="7">
        <f t="shared" si="4"/>
        <v>0.98429158056431554</v>
      </c>
      <c r="O5" s="7">
        <f t="shared" si="5"/>
        <v>3.4783869000638178E-4</v>
      </c>
      <c r="P5" s="7">
        <f t="shared" si="6"/>
        <v>0.98436674119968715</v>
      </c>
      <c r="Q5" s="7">
        <f t="shared" si="7"/>
        <v>3.7420982114184835E-3</v>
      </c>
      <c r="S5" s="4"/>
      <c r="AE5" s="4">
        <f t="shared" si="11"/>
        <v>-1</v>
      </c>
      <c r="AF5" s="7">
        <f t="shared" si="12"/>
        <v>-1</v>
      </c>
      <c r="AG5" s="12" t="b">
        <v>0</v>
      </c>
      <c r="AI5" s="13">
        <v>0.50265482457436694</v>
      </c>
      <c r="AJ5" s="13">
        <f t="shared" si="13"/>
        <v>2.0219601416536385E-2</v>
      </c>
      <c r="AK5" s="13">
        <f t="shared" si="14"/>
        <v>-1</v>
      </c>
    </row>
    <row r="6" spans="1:37" x14ac:dyDescent="0.3">
      <c r="A6" s="3">
        <f xml:space="preserve"> A1/100</f>
        <v>0.02</v>
      </c>
      <c r="B6" s="7">
        <v>0.97552825814757682</v>
      </c>
      <c r="C6" s="7">
        <f t="shared" si="8"/>
        <v>4.6103680095715104E-3</v>
      </c>
      <c r="D6" s="7">
        <f t="shared" si="0"/>
        <v>5.4188893179056639E-4</v>
      </c>
      <c r="E6" s="7">
        <f t="shared" si="1"/>
        <v>-2.2143455707338989E-2</v>
      </c>
      <c r="F6" s="7">
        <f t="shared" si="9"/>
        <v>-2.2139837552109447E-2</v>
      </c>
      <c r="G6" s="7">
        <f t="shared" si="15"/>
        <v>0.97563032260769034</v>
      </c>
      <c r="H6" s="7">
        <f t="shared" si="10"/>
        <v>5.1511270499248543E-3</v>
      </c>
      <c r="J6" s="7">
        <f t="shared" si="16"/>
        <v>0.20268197819238526</v>
      </c>
      <c r="L6" s="7">
        <f t="shared" si="2"/>
        <v>0.97552825814757682</v>
      </c>
      <c r="M6" s="7">
        <f t="shared" si="3"/>
        <v>0</v>
      </c>
      <c r="N6" s="7">
        <f t="shared" si="4"/>
        <v>0.97552825814757682</v>
      </c>
      <c r="O6" s="7">
        <f t="shared" si="5"/>
        <v>5.4188893179056639E-4</v>
      </c>
      <c r="P6" s="7">
        <f t="shared" si="6"/>
        <v>0.97563032260769034</v>
      </c>
      <c r="Q6" s="7">
        <f t="shared" si="7"/>
        <v>5.1511270499248543E-3</v>
      </c>
      <c r="S6" s="4"/>
      <c r="AE6" s="4">
        <f t="shared" si="11"/>
        <v>-1</v>
      </c>
      <c r="AF6" s="7">
        <f t="shared" si="12"/>
        <v>-1</v>
      </c>
      <c r="AI6" s="13">
        <v>0.62831853071795862</v>
      </c>
      <c r="AJ6" s="13">
        <f t="shared" si="13"/>
        <v>1.9478156472944191E-2</v>
      </c>
      <c r="AK6" s="13">
        <f t="shared" si="14"/>
        <v>-1</v>
      </c>
    </row>
    <row r="7" spans="1:37" x14ac:dyDescent="0.3">
      <c r="A7" s="3">
        <f>A3/100</f>
        <v>0.12</v>
      </c>
      <c r="B7" s="7">
        <v>0.96488824294412567</v>
      </c>
      <c r="C7" s="7">
        <f t="shared" si="8"/>
        <v>6.0765301088078986E-3</v>
      </c>
      <c r="D7" s="7">
        <f t="shared" si="0"/>
        <v>7.7749563717360035E-4</v>
      </c>
      <c r="E7" s="7">
        <f t="shared" si="1"/>
        <v>-2.2143455707338989E-2</v>
      </c>
      <c r="F7" s="7">
        <f t="shared" si="9"/>
        <v>-2.2139837552109447E-2</v>
      </c>
      <c r="G7" s="7">
        <f t="shared" si="15"/>
        <v>0.96502276534312537</v>
      </c>
      <c r="H7" s="7">
        <f t="shared" si="10"/>
        <v>6.8525365331195947E-3</v>
      </c>
      <c r="J7" s="7">
        <f t="shared" si="16"/>
        <v>0.20268197819238526</v>
      </c>
      <c r="L7" s="7">
        <f t="shared" si="2"/>
        <v>0.96488824294412567</v>
      </c>
      <c r="M7" s="7">
        <f t="shared" si="3"/>
        <v>0</v>
      </c>
      <c r="N7" s="7">
        <f t="shared" si="4"/>
        <v>0.96488824294412567</v>
      </c>
      <c r="O7" s="7">
        <f t="shared" si="5"/>
        <v>7.7749563717360035E-4</v>
      </c>
      <c r="P7" s="7">
        <f t="shared" si="6"/>
        <v>0.96502276534312537</v>
      </c>
      <c r="Q7" s="7">
        <f t="shared" si="7"/>
        <v>6.8525365331195947E-3</v>
      </c>
      <c r="S7" s="4"/>
      <c r="AE7" s="4">
        <f t="shared" si="11"/>
        <v>-1</v>
      </c>
      <c r="AF7" s="7">
        <f t="shared" si="12"/>
        <v>-1</v>
      </c>
      <c r="AI7" s="13">
        <v>0.7539822368615503</v>
      </c>
      <c r="AJ7" s="13">
        <f t="shared" si="13"/>
        <v>1.8596127431932806E-2</v>
      </c>
      <c r="AK7" s="13">
        <f t="shared" si="14"/>
        <v>-1</v>
      </c>
    </row>
    <row r="8" spans="1:37" x14ac:dyDescent="0.3">
      <c r="A8" s="3">
        <f>0.15*A1</f>
        <v>0.3</v>
      </c>
      <c r="B8" s="7">
        <v>0.95241352623300968</v>
      </c>
      <c r="C8" s="7">
        <f t="shared" si="8"/>
        <v>7.7819043999469185E-3</v>
      </c>
      <c r="D8" s="7">
        <f t="shared" si="0"/>
        <v>1.0537289741277989E-3</v>
      </c>
      <c r="E8" s="7">
        <f t="shared" si="1"/>
        <v>-2.2143455707338989E-2</v>
      </c>
      <c r="F8" s="7">
        <f t="shared" si="9"/>
        <v>-2.2139837552109447E-2</v>
      </c>
      <c r="G8" s="7">
        <f t="shared" si="15"/>
        <v>0.95258580225730671</v>
      </c>
      <c r="H8" s="7">
        <f t="shared" si="10"/>
        <v>8.8337262145749707E-3</v>
      </c>
      <c r="J8" s="7">
        <f t="shared" si="16"/>
        <v>0.20268197819238526</v>
      </c>
      <c r="L8" s="7">
        <f t="shared" si="2"/>
        <v>0.95241352623300968</v>
      </c>
      <c r="M8" s="7">
        <f t="shared" si="3"/>
        <v>0</v>
      </c>
      <c r="N8" s="7">
        <f t="shared" si="4"/>
        <v>0.95241352623300968</v>
      </c>
      <c r="O8" s="7">
        <f t="shared" si="5"/>
        <v>1.0537289741277989E-3</v>
      </c>
      <c r="P8" s="7">
        <f t="shared" si="6"/>
        <v>0.95258580225730671</v>
      </c>
      <c r="Q8" s="7">
        <f t="shared" si="7"/>
        <v>8.8337262145749707E-3</v>
      </c>
      <c r="S8" s="4"/>
      <c r="AE8" s="4">
        <f t="shared" si="11"/>
        <v>-1</v>
      </c>
      <c r="AF8" s="7">
        <f t="shared" si="12"/>
        <v>-1</v>
      </c>
      <c r="AI8" s="13">
        <v>0.87964594300514198</v>
      </c>
      <c r="AJ8" s="13">
        <f t="shared" si="13"/>
        <v>1.758742441837759E-2</v>
      </c>
      <c r="AK8" s="13">
        <f t="shared" si="14"/>
        <v>-1</v>
      </c>
    </row>
    <row r="9" spans="1:37" x14ac:dyDescent="0.3">
      <c r="B9" s="7">
        <v>0.93815334002193174</v>
      </c>
      <c r="C9" s="7">
        <f t="shared" si="8"/>
        <v>9.712574415288713E-3</v>
      </c>
      <c r="D9" s="7">
        <f t="shared" si="0"/>
        <v>1.3694987758712095E-3</v>
      </c>
      <c r="E9" s="7">
        <f t="shared" si="1"/>
        <v>-2.2143455707338989E-2</v>
      </c>
      <c r="F9" s="7">
        <f t="shared" si="9"/>
        <v>-2.2139837552109447E-2</v>
      </c>
      <c r="G9" s="7">
        <f t="shared" si="15"/>
        <v>0.93836835727477363</v>
      </c>
      <c r="H9" s="7">
        <f t="shared" si="10"/>
        <v>1.1079692870404088E-2</v>
      </c>
      <c r="J9" s="7">
        <f t="shared" si="16"/>
        <v>0.20268197819238526</v>
      </c>
      <c r="L9" s="7">
        <f t="shared" si="2"/>
        <v>0.93815334002193174</v>
      </c>
      <c r="M9" s="7">
        <f t="shared" si="3"/>
        <v>0</v>
      </c>
      <c r="N9" s="7">
        <f t="shared" si="4"/>
        <v>0.93815334002193174</v>
      </c>
      <c r="O9" s="7">
        <f t="shared" si="5"/>
        <v>1.3694987758712095E-3</v>
      </c>
      <c r="P9" s="7">
        <f t="shared" si="6"/>
        <v>0.93836835727477363</v>
      </c>
      <c r="Q9" s="7">
        <f t="shared" si="7"/>
        <v>1.1079692870404088E-2</v>
      </c>
      <c r="S9" s="4"/>
      <c r="AE9" s="4">
        <f t="shared" si="11"/>
        <v>-1</v>
      </c>
      <c r="AF9" s="7">
        <f t="shared" si="12"/>
        <v>-1</v>
      </c>
      <c r="AI9" s="13">
        <v>1.0053096491487337</v>
      </c>
      <c r="AJ9" s="13">
        <f t="shared" si="13"/>
        <v>1.6467955281372279E-2</v>
      </c>
      <c r="AK9" s="13">
        <f t="shared" si="14"/>
        <v>-1</v>
      </c>
    </row>
    <row r="10" spans="1:37" x14ac:dyDescent="0.3">
      <c r="A10" s="13">
        <f>J20</f>
        <v>0.20268197819238526</v>
      </c>
      <c r="B10" s="7">
        <v>0.92216396275100743</v>
      </c>
      <c r="C10" s="7">
        <f t="shared" si="8"/>
        <v>1.1852356084248731E-2</v>
      </c>
      <c r="D10" s="7">
        <f t="shared" si="0"/>
        <v>1.7235588432578546E-3</v>
      </c>
      <c r="E10" s="7">
        <f t="shared" si="1"/>
        <v>-2.2143455707338989E-2</v>
      </c>
      <c r="F10" s="7">
        <f t="shared" si="9"/>
        <v>-2.2139837552109447E-2</v>
      </c>
      <c r="G10" s="7">
        <f t="shared" si="15"/>
        <v>0.92242635055221989</v>
      </c>
      <c r="H10" s="7">
        <f t="shared" si="10"/>
        <v>1.3573010197206813E-2</v>
      </c>
      <c r="J10" s="7">
        <f t="shared" si="16"/>
        <v>0.20268197819238526</v>
      </c>
      <c r="L10" s="7">
        <f t="shared" si="2"/>
        <v>0.92216396275100743</v>
      </c>
      <c r="M10" s="7">
        <f t="shared" si="3"/>
        <v>0</v>
      </c>
      <c r="N10" s="7">
        <f t="shared" si="4"/>
        <v>0.92216396275100743</v>
      </c>
      <c r="O10" s="7">
        <f t="shared" si="5"/>
        <v>1.7235588432578546E-3</v>
      </c>
      <c r="P10" s="7">
        <f t="shared" si="6"/>
        <v>0.92242635055221989</v>
      </c>
      <c r="Q10" s="7">
        <f t="shared" si="7"/>
        <v>1.3573010197206813E-2</v>
      </c>
      <c r="S10" s="4"/>
      <c r="AE10" s="4">
        <f t="shared" si="11"/>
        <v>-1</v>
      </c>
      <c r="AF10" s="7">
        <f t="shared" si="12"/>
        <v>-1</v>
      </c>
      <c r="AI10" s="13">
        <v>1.1309733552923253</v>
      </c>
      <c r="AJ10" s="13">
        <f t="shared" si="13"/>
        <v>1.5255374717945896E-2</v>
      </c>
      <c r="AK10" s="13">
        <f t="shared" si="14"/>
        <v>-1</v>
      </c>
    </row>
    <row r="11" spans="1:37" x14ac:dyDescent="0.3">
      <c r="A11" s="3">
        <f>(3*A10-7*A10^2+8*A10^3-4*A10^4)/SQRT(A10-A10^2)-1.5*(1-2*A10)*(PI()/2-ASIN(1-2*A10))</f>
        <v>0.11306779596594541</v>
      </c>
      <c r="B11" s="7">
        <v>0.90450849718747373</v>
      </c>
      <c r="C11" s="7">
        <f t="shared" si="8"/>
        <v>1.4182794216637342E-2</v>
      </c>
      <c r="D11" s="7">
        <f t="shared" si="0"/>
        <v>2.114511862956412E-3</v>
      </c>
      <c r="E11" s="7">
        <f t="shared" si="1"/>
        <v>-2.2143455707338989E-2</v>
      </c>
      <c r="F11" s="7">
        <f t="shared" si="9"/>
        <v>-2.2139837552109447E-2</v>
      </c>
      <c r="G11" s="7">
        <f t="shared" si="15"/>
        <v>0.90482247629534895</v>
      </c>
      <c r="H11" s="7">
        <f t="shared" si="10"/>
        <v>1.6293830214389935E-2</v>
      </c>
      <c r="J11" s="7">
        <f t="shared" si="16"/>
        <v>0.20268197819238526</v>
      </c>
      <c r="L11" s="7">
        <f t="shared" si="2"/>
        <v>0.90450849718747373</v>
      </c>
      <c r="M11" s="7">
        <f t="shared" si="3"/>
        <v>0</v>
      </c>
      <c r="N11" s="7">
        <f t="shared" si="4"/>
        <v>0.90450849718747373</v>
      </c>
      <c r="O11" s="7">
        <f t="shared" si="5"/>
        <v>2.114511862956412E-3</v>
      </c>
      <c r="P11" s="7">
        <f t="shared" si="6"/>
        <v>0.90482247629534895</v>
      </c>
      <c r="Q11" s="7">
        <f t="shared" si="7"/>
        <v>1.6293830214389935E-2</v>
      </c>
      <c r="S11" s="4"/>
      <c r="AE11" s="4">
        <f t="shared" si="11"/>
        <v>-1</v>
      </c>
      <c r="AF11" s="7">
        <f t="shared" si="12"/>
        <v>-1</v>
      </c>
      <c r="AI11" s="13">
        <v>1.256637061435917</v>
      </c>
      <c r="AJ11" s="13">
        <f t="shared" si="13"/>
        <v>1.3968805847944191E-2</v>
      </c>
      <c r="AK11" s="13">
        <f t="shared" si="14"/>
        <v>-1</v>
      </c>
    </row>
    <row r="12" spans="1:37" x14ac:dyDescent="0.3">
      <c r="A12" s="3" cm="1">
        <f t="array" ref="A12">IF(A1=2,  _xlfn.IFS(A2=1, 361.4, A2=2, 51.64, A2=3, 15.957, A2=4, 6.643, A2=5, 3.23), (6*0.15*A1)/A11)</f>
        <v>15.957000000000001</v>
      </c>
      <c r="B12" s="7">
        <v>0.88525662138789452</v>
      </c>
      <c r="C12" s="7">
        <f t="shared" si="8"/>
        <v>1.6683188328449502E-2</v>
      </c>
      <c r="D12" s="7">
        <f t="shared" si="0"/>
        <v>2.5408149220075855E-3</v>
      </c>
      <c r="E12" s="7">
        <f t="shared" si="1"/>
        <v>-2.2143455707338989E-2</v>
      </c>
      <c r="F12" s="7">
        <f t="shared" si="9"/>
        <v>-2.2139837552109447E-2</v>
      </c>
      <c r="G12" s="7">
        <f t="shared" si="15"/>
        <v>0.88562595429281221</v>
      </c>
      <c r="H12" s="7">
        <f t="shared" si="10"/>
        <v>1.9219914598184916E-2</v>
      </c>
      <c r="J12" s="7">
        <f t="shared" si="16"/>
        <v>0.20268197819238526</v>
      </c>
      <c r="L12" s="7">
        <f t="shared" si="2"/>
        <v>0.88525662138789452</v>
      </c>
      <c r="M12" s="7">
        <f t="shared" si="3"/>
        <v>0</v>
      </c>
      <c r="N12" s="7">
        <f t="shared" si="4"/>
        <v>0.88525662138789452</v>
      </c>
      <c r="O12" s="7">
        <f t="shared" si="5"/>
        <v>2.5408149220075855E-3</v>
      </c>
      <c r="P12" s="7">
        <f t="shared" si="6"/>
        <v>0.88562595429281221</v>
      </c>
      <c r="Q12" s="7">
        <f t="shared" si="7"/>
        <v>1.9219914598184916E-2</v>
      </c>
      <c r="S12" s="4"/>
      <c r="AE12" s="4">
        <f t="shared" si="11"/>
        <v>-1</v>
      </c>
      <c r="AF12" s="7">
        <f t="shared" si="12"/>
        <v>-1</v>
      </c>
      <c r="AI12" s="13">
        <v>1.3823007675795087</v>
      </c>
      <c r="AJ12" s="13">
        <f t="shared" si="13"/>
        <v>1.2628538631006084E-2</v>
      </c>
      <c r="AK12" s="13">
        <f t="shared" si="14"/>
        <v>-1</v>
      </c>
    </row>
    <row r="13" spans="1:37" x14ac:dyDescent="0.3">
      <c r="B13" s="7">
        <v>0.86448431371070567</v>
      </c>
      <c r="C13" s="7">
        <f t="shared" si="8"/>
        <v>1.9330655707539428E-2</v>
      </c>
      <c r="D13" s="7">
        <f t="shared" si="0"/>
        <v>3.0007855969966346E-3</v>
      </c>
      <c r="E13" s="7">
        <f t="shared" si="1"/>
        <v>-2.2143455707338989E-2</v>
      </c>
      <c r="F13" s="7">
        <f t="shared" si="9"/>
        <v>-2.2139837552109447E-2</v>
      </c>
      <c r="G13" s="7">
        <f t="shared" si="15"/>
        <v>0.86491225632490343</v>
      </c>
      <c r="H13" s="7">
        <f t="shared" si="10"/>
        <v>2.2326703821039195E-2</v>
      </c>
      <c r="J13" s="7">
        <f t="shared" si="16"/>
        <v>0.20268197819238526</v>
      </c>
      <c r="L13" s="7">
        <f t="shared" si="2"/>
        <v>0.86448431371070567</v>
      </c>
      <c r="M13" s="7">
        <f t="shared" si="3"/>
        <v>0</v>
      </c>
      <c r="N13" s="7">
        <f t="shared" si="4"/>
        <v>0.86448431371070567</v>
      </c>
      <c r="O13" s="7">
        <f t="shared" si="5"/>
        <v>3.0007855969966346E-3</v>
      </c>
      <c r="P13" s="7">
        <f t="shared" si="6"/>
        <v>0.86491225632490343</v>
      </c>
      <c r="Q13" s="7">
        <f t="shared" si="7"/>
        <v>2.2326703821039195E-2</v>
      </c>
      <c r="S13" s="4"/>
      <c r="AE13" s="4">
        <f t="shared" si="11"/>
        <v>-1</v>
      </c>
      <c r="AF13" s="7">
        <f t="shared" si="12"/>
        <v>-1</v>
      </c>
      <c r="AI13" s="13">
        <v>1.5079644737231004</v>
      </c>
      <c r="AJ13" s="13">
        <f t="shared" si="13"/>
        <v>1.1255709881779511E-2</v>
      </c>
      <c r="AK13" s="13">
        <f t="shared" si="14"/>
        <v>-1</v>
      </c>
    </row>
    <row r="14" spans="1:37" x14ac:dyDescent="0.3">
      <c r="A14" s="3">
        <f>RADIANS(naca_5_mod_plot!E4)</f>
        <v>0</v>
      </c>
      <c r="B14" s="7">
        <v>0.84227355296434436</v>
      </c>
      <c r="C14" s="7">
        <f t="shared" si="8"/>
        <v>2.2100238850739813E-2</v>
      </c>
      <c r="D14" s="7">
        <f t="shared" si="0"/>
        <v>3.4926085938099894E-3</v>
      </c>
      <c r="E14" s="7">
        <f t="shared" si="1"/>
        <v>-2.2143455707338989E-2</v>
      </c>
      <c r="F14" s="7">
        <f t="shared" si="9"/>
        <v>-2.2139837552109447E-2</v>
      </c>
      <c r="G14" s="7">
        <f t="shared" si="15"/>
        <v>0.84276280869013387</v>
      </c>
      <c r="H14" s="7">
        <f t="shared" si="10"/>
        <v>2.5587431202161739E-2</v>
      </c>
      <c r="J14" s="7">
        <f t="shared" si="16"/>
        <v>0.20268197819238526</v>
      </c>
      <c r="L14" s="7">
        <f t="shared" si="2"/>
        <v>0.84227355296434436</v>
      </c>
      <c r="M14" s="7">
        <f t="shared" si="3"/>
        <v>0</v>
      </c>
      <c r="N14" s="7">
        <f t="shared" si="4"/>
        <v>0.84227355296434436</v>
      </c>
      <c r="O14" s="7">
        <f t="shared" si="5"/>
        <v>3.4926085938099894E-3</v>
      </c>
      <c r="P14" s="7">
        <f t="shared" si="6"/>
        <v>0.84276280869013387</v>
      </c>
      <c r="Q14" s="7">
        <f t="shared" si="7"/>
        <v>2.5587431202161739E-2</v>
      </c>
      <c r="S14" s="4"/>
      <c r="AE14" s="4">
        <f t="shared" si="11"/>
        <v>-1</v>
      </c>
      <c r="AF14" s="7">
        <f t="shared" si="12"/>
        <v>-1</v>
      </c>
      <c r="AI14" s="13">
        <v>1.6336281798666921</v>
      </c>
      <c r="AJ14" s="13">
        <f t="shared" si="13"/>
        <v>9.8719699297279227E-3</v>
      </c>
      <c r="AK14" s="13">
        <f t="shared" si="14"/>
        <v>-1</v>
      </c>
    </row>
    <row r="15" spans="1:37" x14ac:dyDescent="0.3">
      <c r="A15" s="3">
        <f>naca_5_mod_plot!E6</f>
        <v>1</v>
      </c>
      <c r="B15" s="7">
        <v>0.81871199487434487</v>
      </c>
      <c r="C15" s="7">
        <f t="shared" si="8"/>
        <v>2.4965063242580316E-2</v>
      </c>
      <c r="D15" s="7">
        <f t="shared" si="0"/>
        <v>4.014342911771788E-3</v>
      </c>
      <c r="E15" s="7">
        <f t="shared" si="1"/>
        <v>-2.2143455707338989E-2</v>
      </c>
      <c r="F15" s="7">
        <f t="shared" si="9"/>
        <v>-2.2139837552109447E-2</v>
      </c>
      <c r="G15" s="7">
        <f t="shared" si="15"/>
        <v>0.81926467216523857</v>
      </c>
      <c r="H15" s="7">
        <f t="shared" si="10"/>
        <v>2.8973287811710272E-2</v>
      </c>
      <c r="J15" s="7">
        <f t="shared" si="16"/>
        <v>0.20268197819238526</v>
      </c>
      <c r="L15" s="7">
        <f t="shared" si="2"/>
        <v>0.81871199487434487</v>
      </c>
      <c r="M15" s="7">
        <f t="shared" si="3"/>
        <v>0</v>
      </c>
      <c r="N15" s="7">
        <f t="shared" si="4"/>
        <v>0.81871199487434487</v>
      </c>
      <c r="O15" s="7">
        <f t="shared" si="5"/>
        <v>4.014342911771788E-3</v>
      </c>
      <c r="P15" s="7">
        <f t="shared" si="6"/>
        <v>0.81926467216523857</v>
      </c>
      <c r="Q15" s="7">
        <f t="shared" si="7"/>
        <v>2.8973287811710272E-2</v>
      </c>
      <c r="S15" s="4"/>
      <c r="AE15" s="4">
        <f t="shared" si="11"/>
        <v>-1</v>
      </c>
      <c r="AF15" s="7">
        <f t="shared" si="12"/>
        <v>-1</v>
      </c>
      <c r="AI15" s="13">
        <v>1.7592918860102837</v>
      </c>
      <c r="AJ15" s="13">
        <f t="shared" si="13"/>
        <v>8.4991411805013517E-3</v>
      </c>
      <c r="AK15" s="13">
        <f t="shared" si="14"/>
        <v>-1</v>
      </c>
    </row>
    <row r="16" spans="1:37" x14ac:dyDescent="0.3">
      <c r="B16" s="7">
        <v>0.79389262614623646</v>
      </c>
      <c r="C16" s="7">
        <f t="shared" si="8"/>
        <v>2.7896549923869727E-2</v>
      </c>
      <c r="D16" s="7">
        <f t="shared" si="0"/>
        <v>4.5639295038867713E-3</v>
      </c>
      <c r="E16" s="7">
        <f t="shared" si="1"/>
        <v>-2.2143455707338989E-2</v>
      </c>
      <c r="F16" s="7">
        <f t="shared" si="9"/>
        <v>-2.2139837552109447E-2</v>
      </c>
      <c r="G16" s="7">
        <f t="shared" si="15"/>
        <v>0.79451020077392287</v>
      </c>
      <c r="H16" s="7">
        <f t="shared" si="10"/>
        <v>3.2453642647520826E-2</v>
      </c>
      <c r="J16" s="7">
        <f t="shared" si="16"/>
        <v>0.20268197819238526</v>
      </c>
      <c r="L16" s="7">
        <f t="shared" si="2"/>
        <v>0.79389262614623646</v>
      </c>
      <c r="M16" s="7">
        <f t="shared" si="3"/>
        <v>0</v>
      </c>
      <c r="N16" s="7">
        <f t="shared" si="4"/>
        <v>0.79389262614623646</v>
      </c>
      <c r="O16" s="7">
        <f t="shared" si="5"/>
        <v>4.5639295038867713E-3</v>
      </c>
      <c r="P16" s="7">
        <f t="shared" si="6"/>
        <v>0.79451020077392287</v>
      </c>
      <c r="Q16" s="7">
        <f t="shared" si="7"/>
        <v>3.2453642647520826E-2</v>
      </c>
      <c r="S16" s="4"/>
      <c r="AE16" s="4">
        <f t="shared" si="11"/>
        <v>-1</v>
      </c>
      <c r="AF16" s="7">
        <f t="shared" si="12"/>
        <v>-1</v>
      </c>
      <c r="AI16" s="13">
        <v>1.8849555921538754</v>
      </c>
      <c r="AJ16" s="13">
        <f t="shared" si="13"/>
        <v>7.158873963563241E-3</v>
      </c>
      <c r="AK16" s="13">
        <f t="shared" si="14"/>
        <v>-1</v>
      </c>
    </row>
    <row r="17" spans="2:37" x14ac:dyDescent="0.3">
      <c r="B17" s="7">
        <v>0.76791339748949849</v>
      </c>
      <c r="C17" s="7">
        <f t="shared" si="8"/>
        <v>3.086468546622656E-2</v>
      </c>
      <c r="D17" s="7">
        <f t="shared" si="0"/>
        <v>5.1391994029580798E-3</v>
      </c>
      <c r="E17" s="7">
        <f t="shared" si="1"/>
        <v>-2.2143455707338989E-2</v>
      </c>
      <c r="F17" s="7">
        <f t="shared" si="9"/>
        <v>-2.2139837552109447E-2</v>
      </c>
      <c r="G17" s="7">
        <f t="shared" si="15"/>
        <v>0.76859668078752219</v>
      </c>
      <c r="H17" s="7">
        <f t="shared" si="10"/>
        <v>3.5996320669591797E-2</v>
      </c>
      <c r="J17" s="7">
        <f t="shared" si="16"/>
        <v>0.20268197819238526</v>
      </c>
      <c r="L17" s="7">
        <f t="shared" si="2"/>
        <v>0.76791339748949849</v>
      </c>
      <c r="M17" s="7">
        <f t="shared" si="3"/>
        <v>0</v>
      </c>
      <c r="N17" s="7">
        <f t="shared" si="4"/>
        <v>0.76791339748949849</v>
      </c>
      <c r="O17" s="7">
        <f t="shared" si="5"/>
        <v>5.1391994029580798E-3</v>
      </c>
      <c r="P17" s="7">
        <f t="shared" si="6"/>
        <v>0.76859668078752219</v>
      </c>
      <c r="Q17" s="7">
        <f t="shared" si="7"/>
        <v>3.5996320669591797E-2</v>
      </c>
      <c r="S17" s="4"/>
      <c r="AE17" s="4">
        <f t="shared" si="11"/>
        <v>-1</v>
      </c>
      <c r="AF17" s="7">
        <f t="shared" si="12"/>
        <v>-1</v>
      </c>
      <c r="AI17" s="13">
        <v>2.0106192982974673</v>
      </c>
      <c r="AJ17" s="13">
        <f t="shared" si="13"/>
        <v>5.8723050935615357E-3</v>
      </c>
      <c r="AK17" s="13">
        <f t="shared" si="14"/>
        <v>-1</v>
      </c>
    </row>
    <row r="18" spans="2:37" x14ac:dyDescent="0.3">
      <c r="B18" s="7">
        <v>0.74087683705085772</v>
      </c>
      <c r="C18" s="7">
        <f t="shared" si="8"/>
        <v>3.383834988975392E-2</v>
      </c>
      <c r="D18" s="7">
        <f t="shared" si="0"/>
        <v>5.7378822815099158E-3</v>
      </c>
      <c r="E18" s="7">
        <f t="shared" si="1"/>
        <v>-2.2143455707338989E-2</v>
      </c>
      <c r="F18" s="7">
        <f t="shared" si="9"/>
        <v>-2.2139837552109447E-2</v>
      </c>
      <c r="G18" s="7">
        <f t="shared" si="15"/>
        <v>0.74162595141774967</v>
      </c>
      <c r="H18" s="7">
        <f t="shared" si="10"/>
        <v>3.9567939197316687E-2</v>
      </c>
      <c r="J18" s="7">
        <f t="shared" si="16"/>
        <v>0.20268197819238526</v>
      </c>
      <c r="L18" s="7">
        <f t="shared" si="2"/>
        <v>0.74087683705085772</v>
      </c>
      <c r="M18" s="7">
        <f t="shared" si="3"/>
        <v>0</v>
      </c>
      <c r="N18" s="7">
        <f t="shared" si="4"/>
        <v>0.74087683705085772</v>
      </c>
      <c r="O18" s="7">
        <f t="shared" si="5"/>
        <v>5.7378822815099158E-3</v>
      </c>
      <c r="P18" s="7">
        <f t="shared" si="6"/>
        <v>0.74162595141774967</v>
      </c>
      <c r="Q18" s="7">
        <f t="shared" si="7"/>
        <v>3.9567939197316687E-2</v>
      </c>
      <c r="S18" s="4"/>
      <c r="AE18" s="4">
        <f t="shared" si="11"/>
        <v>-1</v>
      </c>
      <c r="AF18" s="7">
        <f t="shared" si="12"/>
        <v>-1</v>
      </c>
      <c r="AI18" s="13">
        <v>2.1362830044410592</v>
      </c>
      <c r="AJ18" s="13">
        <f t="shared" si="13"/>
        <v>4.6597245301351507E-3</v>
      </c>
      <c r="AK18" s="13">
        <f t="shared" si="14"/>
        <v>-1</v>
      </c>
    </row>
    <row r="19" spans="2:37" x14ac:dyDescent="0.3">
      <c r="B19" s="7">
        <v>0.71288964578253633</v>
      </c>
      <c r="C19" s="7">
        <f t="shared" si="8"/>
        <v>3.6785700810176354E-2</v>
      </c>
      <c r="D19" s="7">
        <f t="shared" si="0"/>
        <v>6.357615411732815E-3</v>
      </c>
      <c r="E19" s="7">
        <f t="shared" si="1"/>
        <v>-2.2143455707338989E-2</v>
      </c>
      <c r="F19" s="7">
        <f t="shared" si="9"/>
        <v>-2.2139837552109447E-2</v>
      </c>
      <c r="G19" s="7">
        <f t="shared" si="15"/>
        <v>0.71370400868920503</v>
      </c>
      <c r="H19" s="7">
        <f t="shared" si="10"/>
        <v>4.3134300922420848E-2</v>
      </c>
      <c r="J19" s="7">
        <f t="shared" si="16"/>
        <v>0.20268197819238526</v>
      </c>
      <c r="L19" s="7">
        <f t="shared" si="2"/>
        <v>0.71288964578253633</v>
      </c>
      <c r="M19" s="7">
        <f t="shared" si="3"/>
        <v>0</v>
      </c>
      <c r="N19" s="7">
        <f t="shared" si="4"/>
        <v>0.71288964578253633</v>
      </c>
      <c r="O19" s="7">
        <f t="shared" si="5"/>
        <v>6.357615411732815E-3</v>
      </c>
      <c r="P19" s="7">
        <f t="shared" si="6"/>
        <v>0.71370400868920503</v>
      </c>
      <c r="Q19" s="7">
        <f t="shared" si="7"/>
        <v>4.3134300922420848E-2</v>
      </c>
      <c r="S19" s="4"/>
      <c r="AE19" s="4">
        <f t="shared" si="11"/>
        <v>-1</v>
      </c>
      <c r="AF19" s="7">
        <f t="shared" si="12"/>
        <v>-1</v>
      </c>
      <c r="AI19" s="13">
        <v>2.2619467105846511</v>
      </c>
      <c r="AJ19" s="13">
        <f t="shared" si="13"/>
        <v>3.5402553931298377E-3</v>
      </c>
      <c r="AK19" s="13">
        <f t="shared" si="14"/>
        <v>-1</v>
      </c>
    </row>
    <row r="20" spans="2:37" x14ac:dyDescent="0.3">
      <c r="B20" s="7">
        <v>0.68406227634233885</v>
      </c>
      <c r="C20" s="7">
        <f t="shared" si="8"/>
        <v>3.9674609762097648E-2</v>
      </c>
      <c r="D20" s="7">
        <f t="shared" si="0"/>
        <v>6.9959529900909248E-3</v>
      </c>
      <c r="E20" s="7">
        <f t="shared" si="1"/>
        <v>-2.2143455707338989E-2</v>
      </c>
      <c r="F20" s="7">
        <f t="shared" si="9"/>
        <v>-2.2139837552109447E-2</v>
      </c>
      <c r="G20" s="7">
        <f t="shared" si="15"/>
        <v>0.68494059399879814</v>
      </c>
      <c r="H20" s="7">
        <f t="shared" si="10"/>
        <v>4.6660839449894215E-2</v>
      </c>
      <c r="J20" s="7">
        <f t="shared" si="16"/>
        <v>0.20268197819238526</v>
      </c>
      <c r="L20" s="7">
        <f t="shared" si="2"/>
        <v>0.68406227634233885</v>
      </c>
      <c r="M20" s="7">
        <f t="shared" si="3"/>
        <v>0</v>
      </c>
      <c r="N20" s="7">
        <f t="shared" si="4"/>
        <v>0.68406227634233885</v>
      </c>
      <c r="O20" s="7">
        <f t="shared" si="5"/>
        <v>6.9959529900909248E-3</v>
      </c>
      <c r="P20" s="7">
        <f t="shared" si="6"/>
        <v>0.68494059399879814</v>
      </c>
      <c r="Q20" s="7">
        <f t="shared" si="7"/>
        <v>4.6660839449894215E-2</v>
      </c>
      <c r="S20" s="4"/>
      <c r="AE20" s="4">
        <f t="shared" si="11"/>
        <v>-1</v>
      </c>
      <c r="AF20" s="7">
        <f t="shared" si="12"/>
        <v>-1</v>
      </c>
      <c r="AI20" s="13">
        <v>2.387610416728243</v>
      </c>
      <c r="AJ20" s="13">
        <f t="shared" si="13"/>
        <v>2.5315523795746198E-3</v>
      </c>
      <c r="AK20" s="13">
        <f t="shared" si="14"/>
        <v>-1</v>
      </c>
    </row>
    <row r="21" spans="2:37" x14ac:dyDescent="0.3">
      <c r="B21" s="7">
        <v>0.6545084971874735</v>
      </c>
      <c r="C21" s="7">
        <f t="shared" si="8"/>
        <v>4.2473144305270931E-2</v>
      </c>
      <c r="D21" s="7">
        <f t="shared" si="0"/>
        <v>7.6503757897911639E-3</v>
      </c>
      <c r="E21" s="7">
        <f t="shared" si="1"/>
        <v>-2.2143455707338989E-2</v>
      </c>
      <c r="F21" s="7">
        <f t="shared" si="9"/>
        <v>-2.2139837552109447E-2</v>
      </c>
      <c r="G21" s="7">
        <f t="shared" si="15"/>
        <v>0.65544876888245307</v>
      </c>
      <c r="H21" s="7">
        <f t="shared" si="10"/>
        <v>5.0113110938577669E-2</v>
      </c>
      <c r="L21" s="7">
        <f t="shared" si="2"/>
        <v>0.6545084971874735</v>
      </c>
      <c r="M21" s="7">
        <f t="shared" si="3"/>
        <v>0</v>
      </c>
      <c r="N21" s="7">
        <f t="shared" si="4"/>
        <v>0.6545084971874735</v>
      </c>
      <c r="O21" s="7">
        <f t="shared" si="5"/>
        <v>7.6503757897911639E-3</v>
      </c>
      <c r="P21" s="7">
        <f t="shared" si="6"/>
        <v>0.65544876888245307</v>
      </c>
      <c r="Q21" s="7">
        <f t="shared" si="7"/>
        <v>5.0113110938577669E-2</v>
      </c>
      <c r="S21" s="4"/>
      <c r="AE21" s="4">
        <f t="shared" si="11"/>
        <v>-1</v>
      </c>
      <c r="AF21" s="7">
        <f t="shared" si="12"/>
        <v>-1</v>
      </c>
      <c r="AI21" s="13">
        <v>2.5132741228718349</v>
      </c>
      <c r="AJ21" s="13">
        <f t="shared" si="13"/>
        <v>1.6495233385632338E-3</v>
      </c>
      <c r="AK21" s="13">
        <f t="shared" si="14"/>
        <v>-1</v>
      </c>
    </row>
    <row r="22" spans="2:37" x14ac:dyDescent="0.3">
      <c r="B22" s="7">
        <v>0.62434494358242743</v>
      </c>
      <c r="C22" s="7">
        <f t="shared" si="8"/>
        <v>4.5150087271825332E-2</v>
      </c>
      <c r="D22" s="7">
        <f t="shared" si="0"/>
        <v>8.3183011030204465E-3</v>
      </c>
      <c r="E22" s="7">
        <f t="shared" si="1"/>
        <v>-2.2143455707338989E-2</v>
      </c>
      <c r="F22" s="7">
        <f t="shared" si="9"/>
        <v>-2.2139837552109447E-2</v>
      </c>
      <c r="G22" s="7">
        <f t="shared" si="15"/>
        <v>0.62534447751809341</v>
      </c>
      <c r="H22" s="7">
        <f t="shared" si="10"/>
        <v>5.3457323163371907E-2</v>
      </c>
      <c r="L22" s="7">
        <f t="shared" si="2"/>
        <v>0.62434494358242743</v>
      </c>
      <c r="M22" s="7">
        <f t="shared" si="3"/>
        <v>0</v>
      </c>
      <c r="N22" s="7">
        <f t="shared" si="4"/>
        <v>0.62434494358242743</v>
      </c>
      <c r="O22" s="7">
        <f t="shared" si="5"/>
        <v>8.3183011030204465E-3</v>
      </c>
      <c r="P22" s="7">
        <f t="shared" si="6"/>
        <v>0.62534447751809341</v>
      </c>
      <c r="Q22" s="7">
        <f t="shared" si="7"/>
        <v>5.3457323163371907E-2</v>
      </c>
      <c r="S22" s="4"/>
      <c r="AE22" s="4">
        <f t="shared" si="11"/>
        <v>-1</v>
      </c>
      <c r="AF22" s="7">
        <f t="shared" si="12"/>
        <v>-1</v>
      </c>
      <c r="AI22" s="13">
        <v>2.6389378290154268</v>
      </c>
      <c r="AJ22" s="13">
        <f t="shared" si="13"/>
        <v>9.0807839497104045E-4</v>
      </c>
      <c r="AK22" s="13">
        <f t="shared" si="14"/>
        <v>-1</v>
      </c>
    </row>
    <row r="23" spans="2:37" x14ac:dyDescent="0.3">
      <c r="B23" s="7">
        <v>0.5936906572928623</v>
      </c>
      <c r="C23" s="7">
        <f t="shared" si="8"/>
        <v>4.7675482444077301E-2</v>
      </c>
      <c r="D23" s="7">
        <f t="shared" si="0"/>
        <v>8.9970929337135214E-3</v>
      </c>
      <c r="E23" s="7">
        <f t="shared" si="1"/>
        <v>-2.2143455707338989E-2</v>
      </c>
      <c r="F23" s="7">
        <f t="shared" si="9"/>
        <v>-2.2139837552109447E-2</v>
      </c>
      <c r="G23" s="7">
        <f t="shared" si="15"/>
        <v>0.59474609849976867</v>
      </c>
      <c r="H23" s="7">
        <f t="shared" si="10"/>
        <v>5.66608912520839E-2</v>
      </c>
      <c r="L23" s="7">
        <f t="shared" si="2"/>
        <v>0.5936906572928623</v>
      </c>
      <c r="M23" s="7">
        <f t="shared" si="3"/>
        <v>0</v>
      </c>
      <c r="N23" s="7">
        <f t="shared" si="4"/>
        <v>0.5936906572928623</v>
      </c>
      <c r="O23" s="7">
        <f t="shared" si="5"/>
        <v>8.9970929337135214E-3</v>
      </c>
      <c r="P23" s="7">
        <f t="shared" si="6"/>
        <v>0.59474609849976867</v>
      </c>
      <c r="Q23" s="7">
        <f t="shared" si="7"/>
        <v>5.66608912520839E-2</v>
      </c>
      <c r="S23" s="4"/>
      <c r="AE23" s="4">
        <f t="shared" si="11"/>
        <v>-1</v>
      </c>
      <c r="AF23" s="7">
        <f t="shared" si="12"/>
        <v>-1</v>
      </c>
      <c r="AI23" s="13">
        <v>2.7646015351590187</v>
      </c>
      <c r="AJ23" s="13">
        <f t="shared" si="13"/>
        <v>3.1891057847622644E-4</v>
      </c>
      <c r="AK23" s="13">
        <f t="shared" si="14"/>
        <v>-1</v>
      </c>
    </row>
    <row r="24" spans="2:37" x14ac:dyDescent="0.3">
      <c r="B24" s="7">
        <v>0.56266661678215213</v>
      </c>
      <c r="C24" s="7">
        <f t="shared" si="8"/>
        <v>5.0021194150236162E-2</v>
      </c>
      <c r="D24" s="7">
        <f t="shared" si="0"/>
        <v>9.6840724006251218E-3</v>
      </c>
      <c r="E24" s="7">
        <f t="shared" si="1"/>
        <v>-2.2143455707338989E-2</v>
      </c>
      <c r="F24" s="7">
        <f t="shared" si="9"/>
        <v>-2.2139837552109447E-2</v>
      </c>
      <c r="G24" s="7">
        <f t="shared" si="15"/>
        <v>0.56377398742253837</v>
      </c>
      <c r="H24" s="7">
        <f t="shared" si="10"/>
        <v>5.9693007547061014E-2</v>
      </c>
      <c r="L24" s="7">
        <f t="shared" si="2"/>
        <v>0.56266661678215213</v>
      </c>
      <c r="M24" s="7">
        <f t="shared" si="3"/>
        <v>0</v>
      </c>
      <c r="N24" s="7">
        <f t="shared" si="4"/>
        <v>0.56266661678215213</v>
      </c>
      <c r="O24" s="7">
        <f t="shared" si="5"/>
        <v>9.6840724006251218E-3</v>
      </c>
      <c r="P24" s="7">
        <f t="shared" si="6"/>
        <v>0.56377398742253837</v>
      </c>
      <c r="Q24" s="7">
        <f t="shared" si="7"/>
        <v>5.9693007547061014E-2</v>
      </c>
      <c r="S24" s="4"/>
      <c r="AE24" s="4">
        <f t="shared" si="11"/>
        <v>-1</v>
      </c>
      <c r="AF24" s="7">
        <f t="shared" si="12"/>
        <v>-1</v>
      </c>
      <c r="AI24" s="13">
        <v>2.8902652413026106</v>
      </c>
      <c r="AJ24" s="13">
        <f t="shared" si="13"/>
        <v>-1.0868858250328851E-4</v>
      </c>
      <c r="AK24" s="13">
        <f t="shared" si="14"/>
        <v>-1</v>
      </c>
    </row>
    <row r="25" spans="2:37" x14ac:dyDescent="0.3">
      <c r="B25" s="7">
        <v>0.53139525976465674</v>
      </c>
      <c r="C25" s="7">
        <f t="shared" si="8"/>
        <v>5.2161466806696678E-2</v>
      </c>
      <c r="D25" s="7">
        <f t="shared" si="0"/>
        <v>1.0376528309650416E-2</v>
      </c>
      <c r="E25" s="7">
        <f t="shared" si="1"/>
        <v>-2.2143455707338989E-2</v>
      </c>
      <c r="F25" s="7">
        <f t="shared" si="9"/>
        <v>-2.2139837552109447E-2</v>
      </c>
      <c r="G25" s="7">
        <f t="shared" si="15"/>
        <v>0.53255001182290895</v>
      </c>
      <c r="H25" s="7">
        <f t="shared" si="10"/>
        <v>6.2525211582673546E-2</v>
      </c>
      <c r="L25" s="7">
        <f t="shared" si="2"/>
        <v>0.53139525976465674</v>
      </c>
      <c r="M25" s="7">
        <f t="shared" si="3"/>
        <v>0</v>
      </c>
      <c r="N25" s="7">
        <f t="shared" si="4"/>
        <v>0.53139525976465674</v>
      </c>
      <c r="O25" s="7">
        <f t="shared" si="5"/>
        <v>1.0376528309650416E-2</v>
      </c>
      <c r="P25" s="7">
        <f t="shared" si="6"/>
        <v>0.53255001182290895</v>
      </c>
      <c r="Q25" s="7">
        <f t="shared" si="7"/>
        <v>6.2525211582673546E-2</v>
      </c>
      <c r="S25" s="4"/>
      <c r="AE25" s="4">
        <f t="shared" si="11"/>
        <v>-1</v>
      </c>
      <c r="AF25" s="7">
        <f t="shared" si="12"/>
        <v>-1</v>
      </c>
      <c r="AI25" s="13">
        <v>3.0159289474462025</v>
      </c>
      <c r="AJ25" s="13">
        <f t="shared" si="13"/>
        <v>-3.6797559376350265E-4</v>
      </c>
      <c r="AK25" s="13">
        <f t="shared" si="14"/>
        <v>-1</v>
      </c>
    </row>
    <row r="26" spans="2:37" x14ac:dyDescent="0.3">
      <c r="B26" s="7">
        <v>0.49999999999999994</v>
      </c>
      <c r="C26" s="7">
        <f t="shared" si="8"/>
        <v>5.4073469387755112E-2</v>
      </c>
      <c r="D26" s="7">
        <f t="shared" si="0"/>
        <v>1.1071727853669494E-2</v>
      </c>
      <c r="E26" s="7">
        <f t="shared" si="1"/>
        <v>-2.2143455707338989E-2</v>
      </c>
      <c r="F26" s="7">
        <f t="shared" si="9"/>
        <v>-2.2139837552109447E-2</v>
      </c>
      <c r="G26" s="7">
        <f t="shared" si="15"/>
        <v>0.50119708002659791</v>
      </c>
      <c r="H26" s="7">
        <f t="shared" si="10"/>
        <v>6.5131945121438675E-2</v>
      </c>
      <c r="L26" s="7">
        <f t="shared" si="2"/>
        <v>0.49999999999999994</v>
      </c>
      <c r="M26" s="7">
        <f t="shared" si="3"/>
        <v>0</v>
      </c>
      <c r="N26" s="7">
        <f t="shared" si="4"/>
        <v>0.49999999999999994</v>
      </c>
      <c r="O26" s="7">
        <f t="shared" si="5"/>
        <v>1.1071727853669494E-2</v>
      </c>
      <c r="P26" s="7">
        <f t="shared" si="6"/>
        <v>0.50119708002659791</v>
      </c>
      <c r="Q26" s="7">
        <f t="shared" si="7"/>
        <v>6.5131945121438675E-2</v>
      </c>
      <c r="S26" s="4"/>
      <c r="AE26" s="4">
        <f t="shared" si="11"/>
        <v>-1</v>
      </c>
      <c r="AF26" s="7">
        <f t="shared" si="12"/>
        <v>-1</v>
      </c>
      <c r="AI26" s="13">
        <v>3.1415926535897944</v>
      </c>
      <c r="AJ26" s="13">
        <f t="shared" si="13"/>
        <v>-4.5486134424628744E-4</v>
      </c>
      <c r="AK26" s="13">
        <f t="shared" si="14"/>
        <v>-1</v>
      </c>
    </row>
    <row r="27" spans="2:37" x14ac:dyDescent="0.3">
      <c r="B27" s="7">
        <v>0.46860474023534326</v>
      </c>
      <c r="C27" s="7">
        <f t="shared" si="8"/>
        <v>5.573780922030297E-2</v>
      </c>
      <c r="D27" s="7">
        <f t="shared" si="0"/>
        <v>1.1766927397688573E-2</v>
      </c>
      <c r="E27" s="7">
        <f t="shared" si="1"/>
        <v>-2.2143455707338989E-2</v>
      </c>
      <c r="F27" s="7">
        <f t="shared" si="9"/>
        <v>-2.2139837552109447E-2</v>
      </c>
      <c r="G27" s="7">
        <f t="shared" si="15"/>
        <v>0.46983866546520953</v>
      </c>
      <c r="H27" s="7">
        <f t="shared" si="10"/>
        <v>6.7491076607936643E-2</v>
      </c>
      <c r="L27" s="7">
        <f t="shared" si="2"/>
        <v>0.46860474023534326</v>
      </c>
      <c r="M27" s="7">
        <f t="shared" si="3"/>
        <v>0</v>
      </c>
      <c r="N27" s="7">
        <f t="shared" si="4"/>
        <v>0.46860474023534326</v>
      </c>
      <c r="O27" s="7">
        <f t="shared" si="5"/>
        <v>1.1766927397688573E-2</v>
      </c>
      <c r="P27" s="7">
        <f t="shared" si="6"/>
        <v>0.46983866546520953</v>
      </c>
      <c r="Q27" s="7">
        <f t="shared" si="7"/>
        <v>6.7491076607936643E-2</v>
      </c>
      <c r="S27" s="4"/>
      <c r="AE27" s="4">
        <f t="shared" si="11"/>
        <v>-1</v>
      </c>
      <c r="AF27" s="7">
        <f t="shared" si="12"/>
        <v>-1</v>
      </c>
      <c r="AI27" s="13">
        <v>3.2672563597333864</v>
      </c>
      <c r="AJ27" s="13">
        <f t="shared" si="13"/>
        <v>-3.6797559376349897E-4</v>
      </c>
      <c r="AK27" s="13">
        <f t="shared" si="14"/>
        <v>-1</v>
      </c>
    </row>
    <row r="28" spans="2:37" x14ac:dyDescent="0.3">
      <c r="B28" s="7">
        <v>0.43733338321784776</v>
      </c>
      <c r="C28" s="7">
        <f t="shared" si="8"/>
        <v>5.71389994207223E-2</v>
      </c>
      <c r="D28" s="7">
        <f t="shared" si="0"/>
        <v>1.2459383306713869E-2</v>
      </c>
      <c r="E28" s="7">
        <f t="shared" si="1"/>
        <v>-2.2143455707338989E-2</v>
      </c>
      <c r="F28" s="7">
        <f t="shared" si="9"/>
        <v>-2.2139837552109447E-2</v>
      </c>
      <c r="G28" s="7">
        <f t="shared" si="15"/>
        <v>0.43859832803682824</v>
      </c>
      <c r="H28" s="7">
        <f t="shared" si="10"/>
        <v>6.9584379319022158E-2</v>
      </c>
      <c r="L28" s="7">
        <f t="shared" si="2"/>
        <v>0.43733338321784776</v>
      </c>
      <c r="M28" s="7">
        <f t="shared" si="3"/>
        <v>0</v>
      </c>
      <c r="N28" s="7">
        <f t="shared" si="4"/>
        <v>0.43733338321784776</v>
      </c>
      <c r="O28" s="7">
        <f t="shared" si="5"/>
        <v>1.2459383306713869E-2</v>
      </c>
      <c r="P28" s="7">
        <f t="shared" si="6"/>
        <v>0.43859832803682824</v>
      </c>
      <c r="Q28" s="7">
        <f t="shared" si="7"/>
        <v>6.9584379319022158E-2</v>
      </c>
      <c r="S28" s="4"/>
      <c r="AE28" s="4">
        <f t="shared" si="11"/>
        <v>-1</v>
      </c>
      <c r="AF28" s="7">
        <f t="shared" si="12"/>
        <v>-1</v>
      </c>
      <c r="AI28" s="13">
        <v>3.3929200658769783</v>
      </c>
      <c r="AJ28" s="13">
        <f t="shared" si="13"/>
        <v>-1.0868858250328239E-4</v>
      </c>
      <c r="AK28" s="13">
        <f t="shared" si="14"/>
        <v>-1</v>
      </c>
    </row>
    <row r="29" spans="2:37" x14ac:dyDescent="0.3">
      <c r="B29" s="7">
        <v>0.40630934270713764</v>
      </c>
      <c r="C29" s="7">
        <f t="shared" si="8"/>
        <v>5.8265864735147603E-2</v>
      </c>
      <c r="D29" s="7">
        <f t="shared" si="0"/>
        <v>1.3146362773625469E-2</v>
      </c>
      <c r="E29" s="7">
        <f t="shared" si="1"/>
        <v>-2.2143455707338989E-2</v>
      </c>
      <c r="F29" s="7">
        <f t="shared" si="9"/>
        <v>-2.2139837552109447E-2</v>
      </c>
      <c r="G29" s="7">
        <f t="shared" si="15"/>
        <v>0.40759923410298543</v>
      </c>
      <c r="H29" s="7">
        <f t="shared" si="10"/>
        <v>7.1397947932498484E-2</v>
      </c>
      <c r="L29" s="7">
        <f t="shared" si="2"/>
        <v>0.40630934270713764</v>
      </c>
      <c r="M29" s="7">
        <f t="shared" si="3"/>
        <v>0</v>
      </c>
      <c r="N29" s="7">
        <f t="shared" si="4"/>
        <v>0.40630934270713764</v>
      </c>
      <c r="O29" s="7">
        <f t="shared" si="5"/>
        <v>1.3146362773625469E-2</v>
      </c>
      <c r="P29" s="7">
        <f t="shared" si="6"/>
        <v>0.40759923410298543</v>
      </c>
      <c r="Q29" s="7">
        <f t="shared" si="7"/>
        <v>7.1397947932498484E-2</v>
      </c>
      <c r="S29" s="4"/>
      <c r="AE29" s="4">
        <f t="shared" si="11"/>
        <v>-1</v>
      </c>
      <c r="AF29" s="7">
        <f t="shared" si="12"/>
        <v>-1</v>
      </c>
      <c r="AI29" s="13">
        <v>3.5185837720205702</v>
      </c>
      <c r="AJ29" s="13">
        <f t="shared" si="13"/>
        <v>3.1891057847623625E-4</v>
      </c>
      <c r="AK29" s="13">
        <f t="shared" si="14"/>
        <v>-1</v>
      </c>
    </row>
    <row r="30" spans="2:37" x14ac:dyDescent="0.3">
      <c r="B30" s="7">
        <v>0.37565505641757263</v>
      </c>
      <c r="C30" s="7">
        <f t="shared" si="8"/>
        <v>5.9111871515674819E-2</v>
      </c>
      <c r="D30" s="7">
        <f t="shared" si="0"/>
        <v>1.3825154604318539E-2</v>
      </c>
      <c r="E30" s="7">
        <f t="shared" si="1"/>
        <v>-2.2143455707338989E-2</v>
      </c>
      <c r="F30" s="7">
        <f t="shared" si="9"/>
        <v>-2.2139837552109447E-2</v>
      </c>
      <c r="G30" s="7">
        <f t="shared" si="15"/>
        <v>0.37696367673595493</v>
      </c>
      <c r="H30" s="7">
        <f t="shared" si="10"/>
        <v>7.292253920759828E-2</v>
      </c>
      <c r="L30" s="7">
        <f t="shared" si="2"/>
        <v>0.37565505641757263</v>
      </c>
      <c r="M30" s="7">
        <f t="shared" si="3"/>
        <v>0</v>
      </c>
      <c r="N30" s="7">
        <f t="shared" si="4"/>
        <v>0.37565505641757263</v>
      </c>
      <c r="O30" s="7">
        <f t="shared" si="5"/>
        <v>1.3825154604318539E-2</v>
      </c>
      <c r="P30" s="7">
        <f t="shared" si="6"/>
        <v>0.37696367673595493</v>
      </c>
      <c r="Q30" s="7">
        <f t="shared" si="7"/>
        <v>7.292253920759828E-2</v>
      </c>
      <c r="S30" s="4"/>
      <c r="AE30" s="4">
        <f t="shared" si="11"/>
        <v>-1</v>
      </c>
      <c r="AF30" s="7">
        <f t="shared" si="12"/>
        <v>-1</v>
      </c>
      <c r="AI30" s="13">
        <v>3.6442474781641621</v>
      </c>
      <c r="AJ30" s="13">
        <f t="shared" si="13"/>
        <v>9.0807839497105271E-4</v>
      </c>
      <c r="AK30" s="13">
        <f t="shared" si="14"/>
        <v>-1</v>
      </c>
    </row>
    <row r="31" spans="2:37" x14ac:dyDescent="0.3">
      <c r="B31" s="7">
        <v>0.34549150281252627</v>
      </c>
      <c r="C31" s="7">
        <f t="shared" si="8"/>
        <v>5.9675369048668783E-2</v>
      </c>
      <c r="D31" s="7">
        <f t="shared" si="0"/>
        <v>1.449307991754783E-2</v>
      </c>
      <c r="E31" s="7">
        <f t="shared" si="1"/>
        <v>-2.2143455707338989E-2</v>
      </c>
      <c r="F31" s="7">
        <f t="shared" si="9"/>
        <v>-2.2139837552109447E-2</v>
      </c>
      <c r="G31" s="7">
        <f t="shared" si="15"/>
        <v>0.34681259785556418</v>
      </c>
      <c r="H31" s="7">
        <f t="shared" si="10"/>
        <v>7.415382395399174E-2</v>
      </c>
      <c r="L31" s="7">
        <f t="shared" si="2"/>
        <v>0.34549150281252627</v>
      </c>
      <c r="M31" s="7">
        <f t="shared" si="3"/>
        <v>0</v>
      </c>
      <c r="N31" s="7">
        <f t="shared" si="4"/>
        <v>0.34549150281252627</v>
      </c>
      <c r="O31" s="7">
        <f t="shared" si="5"/>
        <v>1.449307991754783E-2</v>
      </c>
      <c r="P31" s="7">
        <f t="shared" si="6"/>
        <v>0.34681259785556418</v>
      </c>
      <c r="Q31" s="7">
        <f t="shared" si="7"/>
        <v>7.415382395399174E-2</v>
      </c>
      <c r="S31" s="4"/>
      <c r="AE31" s="4">
        <f t="shared" si="11"/>
        <v>-1</v>
      </c>
      <c r="AF31" s="7">
        <f t="shared" si="12"/>
        <v>-1</v>
      </c>
      <c r="AI31" s="13">
        <v>3.769911184307754</v>
      </c>
      <c r="AJ31" s="13">
        <f t="shared" si="13"/>
        <v>1.6495233385632497E-3</v>
      </c>
      <c r="AK31" s="13">
        <f t="shared" si="14"/>
        <v>-1</v>
      </c>
    </row>
    <row r="32" spans="2:37" x14ac:dyDescent="0.3">
      <c r="B32" s="7">
        <v>0.31593772365766093</v>
      </c>
      <c r="C32" s="7">
        <f t="shared" si="8"/>
        <v>5.995973141344426E-2</v>
      </c>
      <c r="D32" s="7">
        <f t="shared" si="0"/>
        <v>1.5147502717248068E-2</v>
      </c>
      <c r="E32" s="7">
        <f t="shared" si="1"/>
        <v>-2.2143455707338989E-2</v>
      </c>
      <c r="F32" s="7">
        <f t="shared" si="9"/>
        <v>-2.2139837552109447E-2</v>
      </c>
      <c r="G32" s="7">
        <f t="shared" si="15"/>
        <v>0.31726511392294077</v>
      </c>
      <c r="H32" s="7">
        <f t="shared" si="10"/>
        <v>7.509253942802184E-2</v>
      </c>
      <c r="L32" s="7">
        <f t="shared" si="2"/>
        <v>0.31593772365766093</v>
      </c>
      <c r="M32" s="7">
        <f t="shared" si="3"/>
        <v>0</v>
      </c>
      <c r="N32" s="7">
        <f t="shared" si="4"/>
        <v>0.31593772365766093</v>
      </c>
      <c r="O32" s="7">
        <f t="shared" si="5"/>
        <v>1.5147502717248068E-2</v>
      </c>
      <c r="P32" s="7">
        <f t="shared" si="6"/>
        <v>0.31726511392294077</v>
      </c>
      <c r="Q32" s="7">
        <f t="shared" si="7"/>
        <v>7.509253942802184E-2</v>
      </c>
      <c r="S32" s="4"/>
      <c r="AE32" s="4">
        <f t="shared" si="11"/>
        <v>-1</v>
      </c>
      <c r="AF32" s="7">
        <f t="shared" si="12"/>
        <v>-1</v>
      </c>
      <c r="AI32" s="13">
        <v>3.8955748904513459</v>
      </c>
      <c r="AJ32" s="13">
        <f t="shared" si="13"/>
        <v>2.5315523795746381E-3</v>
      </c>
      <c r="AK32" s="13">
        <f t="shared" si="14"/>
        <v>-1</v>
      </c>
    </row>
    <row r="33" spans="2:37" x14ac:dyDescent="0.3">
      <c r="B33" s="7">
        <v>0.28711035421746367</v>
      </c>
      <c r="C33" s="7">
        <f t="shared" si="8"/>
        <v>5.9971895376437434E-2</v>
      </c>
      <c r="D33" s="7">
        <f t="shared" ref="D33:D64" si="17" xml:space="preserve"> IF(B33&lt;$A$10, ($A$12/6)*((B33^3)-3*$A$10*(B33^2)+($A$10^2)*(3-$A$10)*B33), (($A$12*($A$10^3))/6)*(1-B33))</f>
        <v>1.5785840295606174E-2</v>
      </c>
      <c r="E33" s="7">
        <f t="shared" ref="E33:E64" si="18">IF(B33&lt;$A$10, ($A$12/6)*(3*(B33^2)-6*$A$10*B33+($A$10^2)*(3-$A$10)), -($A$12*($A$10^3))/6)</f>
        <v>-2.2143455707338989E-2</v>
      </c>
      <c r="F33" s="7">
        <f t="shared" si="9"/>
        <v>-2.2139837552109447E-2</v>
      </c>
      <c r="G33" s="7">
        <f t="shared" si="15"/>
        <v>0.28843801376890743</v>
      </c>
      <c r="H33" s="7">
        <f t="shared" si="10"/>
        <v>7.5743037988275391E-2</v>
      </c>
      <c r="L33" s="7">
        <f t="shared" ref="L33:L51" si="19">B33*COS($A$14)</f>
        <v>0.28711035421746367</v>
      </c>
      <c r="M33" s="7">
        <f t="shared" ref="M33:M51" si="20">-B33*SIN($A$14)</f>
        <v>0</v>
      </c>
      <c r="N33" s="7">
        <f t="shared" ref="N33:N51" si="21">B33*COS($A$14)+D33*SIN($A$14)</f>
        <v>0.28711035421746367</v>
      </c>
      <c r="O33" s="7">
        <f t="shared" ref="O33:O51" si="22">-B33*SIN($A$14)+D33*COS($A$14)</f>
        <v>1.5785840295606174E-2</v>
      </c>
      <c r="P33" s="7">
        <f t="shared" ref="P33:P64" si="23">G33*COS($A$14)+H33*SIN($A$14)</f>
        <v>0.28843801376890743</v>
      </c>
      <c r="Q33" s="7">
        <f t="shared" ref="Q33:Q64" si="24">-G33*SIN($A$14)+H33*COS($A$14)</f>
        <v>7.5743037988275391E-2</v>
      </c>
      <c r="S33" s="4"/>
      <c r="AE33" s="4">
        <f t="shared" si="11"/>
        <v>-1</v>
      </c>
      <c r="AF33" s="7">
        <f t="shared" si="12"/>
        <v>-1</v>
      </c>
      <c r="AI33" s="13">
        <v>4.0212385965949373</v>
      </c>
      <c r="AJ33" s="13">
        <f t="shared" si="13"/>
        <v>3.540255393129855E-3</v>
      </c>
      <c r="AK33" s="13">
        <f t="shared" si="14"/>
        <v>-1</v>
      </c>
    </row>
    <row r="34" spans="2:37" x14ac:dyDescent="0.3">
      <c r="B34" s="7">
        <v>0.25912316294914239</v>
      </c>
      <c r="C34" s="7">
        <f t="shared" si="8"/>
        <v>5.9681190453443243E-2</v>
      </c>
      <c r="D34" s="7">
        <f t="shared" si="17"/>
        <v>1.640557342582907E-2</v>
      </c>
      <c r="E34" s="7">
        <f t="shared" si="18"/>
        <v>-2.2143455707338989E-2</v>
      </c>
      <c r="F34" s="7">
        <f t="shared" si="9"/>
        <v>-2.2139837552109447E-2</v>
      </c>
      <c r="G34" s="7">
        <f t="shared" si="15"/>
        <v>0.26044438686660726</v>
      </c>
      <c r="H34" s="7">
        <f t="shared" si="10"/>
        <v>7.6072137440359719E-2</v>
      </c>
      <c r="L34" s="7">
        <f t="shared" si="19"/>
        <v>0.25912316294914239</v>
      </c>
      <c r="M34" s="7">
        <f t="shared" si="20"/>
        <v>0</v>
      </c>
      <c r="N34" s="7">
        <f t="shared" si="21"/>
        <v>0.25912316294914239</v>
      </c>
      <c r="O34" s="7">
        <f t="shared" si="22"/>
        <v>1.640557342582907E-2</v>
      </c>
      <c r="P34" s="7">
        <f t="shared" si="23"/>
        <v>0.26044438686660726</v>
      </c>
      <c r="Q34" s="7">
        <f t="shared" si="24"/>
        <v>7.6072137440359719E-2</v>
      </c>
      <c r="S34" s="4"/>
      <c r="AE34" s="4">
        <f t="shared" si="11"/>
        <v>-1</v>
      </c>
      <c r="AF34" s="7">
        <f t="shared" si="12"/>
        <v>-1</v>
      </c>
      <c r="AI34" s="13">
        <v>4.1469023027385292</v>
      </c>
      <c r="AJ34" s="13">
        <f t="shared" si="13"/>
        <v>4.6597245301351698E-3</v>
      </c>
      <c r="AK34" s="13">
        <f t="shared" si="14"/>
        <v>-1</v>
      </c>
    </row>
    <row r="35" spans="2:37" x14ac:dyDescent="0.3">
      <c r="B35" s="7">
        <v>0.23208660251050173</v>
      </c>
      <c r="C35" s="7">
        <f t="shared" si="8"/>
        <v>5.9019908171689187E-2</v>
      </c>
      <c r="D35" s="7">
        <f t="shared" si="17"/>
        <v>1.7004256304380905E-2</v>
      </c>
      <c r="E35" s="7">
        <f t="shared" si="18"/>
        <v>-2.2143455707338989E-2</v>
      </c>
      <c r="F35" s="7">
        <f t="shared" si="9"/>
        <v>-2.2139837552109447E-2</v>
      </c>
      <c r="G35" s="7">
        <f t="shared" si="15"/>
        <v>0.23339318694171957</v>
      </c>
      <c r="H35" s="7">
        <f t="shared" si="10"/>
        <v>7.6009700101701189E-2</v>
      </c>
      <c r="L35" s="7">
        <f t="shared" si="19"/>
        <v>0.23208660251050173</v>
      </c>
      <c r="M35" s="7">
        <f t="shared" si="20"/>
        <v>0</v>
      </c>
      <c r="N35" s="7">
        <f t="shared" si="21"/>
        <v>0.23208660251050173</v>
      </c>
      <c r="O35" s="7">
        <f t="shared" si="22"/>
        <v>1.7004256304380905E-2</v>
      </c>
      <c r="P35" s="7">
        <f t="shared" si="23"/>
        <v>0.23339318694171957</v>
      </c>
      <c r="Q35" s="7">
        <f t="shared" si="24"/>
        <v>7.6009700101701189E-2</v>
      </c>
      <c r="S35" s="4"/>
      <c r="AE35" s="4">
        <f t="shared" si="11"/>
        <v>-1</v>
      </c>
      <c r="AF35" s="7">
        <f t="shared" si="12"/>
        <v>-1</v>
      </c>
      <c r="AI35" s="13">
        <v>4.2725660088821211</v>
      </c>
      <c r="AJ35" s="13">
        <f t="shared" si="13"/>
        <v>5.8723050935615556E-3</v>
      </c>
      <c r="AK35" s="13">
        <f t="shared" si="14"/>
        <v>-1</v>
      </c>
    </row>
    <row r="36" spans="2:37" x14ac:dyDescent="0.3">
      <c r="B36" s="7">
        <v>0.20610737385376338</v>
      </c>
      <c r="C36" s="7">
        <f t="shared" si="8"/>
        <v>5.7934700979297427E-2</v>
      </c>
      <c r="D36" s="7">
        <f t="shared" si="17"/>
        <v>1.7579526203452222E-2</v>
      </c>
      <c r="E36" s="7">
        <f t="shared" si="18"/>
        <v>-2.2143455707338989E-2</v>
      </c>
      <c r="F36" s="7">
        <f t="shared" si="9"/>
        <v>-2.2139837552109447E-2</v>
      </c>
      <c r="G36" s="7">
        <f t="shared" si="15"/>
        <v>0.20738993393682228</v>
      </c>
      <c r="H36" s="7">
        <f t="shared" si="10"/>
        <v>7.5500028766827404E-2</v>
      </c>
      <c r="L36" s="7">
        <f t="shared" si="19"/>
        <v>0.20610737385376338</v>
      </c>
      <c r="M36" s="7">
        <f t="shared" si="20"/>
        <v>0</v>
      </c>
      <c r="N36" s="7">
        <f t="shared" si="21"/>
        <v>0.20610737385376338</v>
      </c>
      <c r="O36" s="7">
        <f t="shared" si="22"/>
        <v>1.7579526203452222E-2</v>
      </c>
      <c r="P36" s="7">
        <f t="shared" si="23"/>
        <v>0.20738993393682228</v>
      </c>
      <c r="Q36" s="7">
        <f t="shared" si="24"/>
        <v>7.5500028766827404E-2</v>
      </c>
      <c r="S36" s="4"/>
      <c r="AE36" s="4">
        <f t="shared" si="11"/>
        <v>-1</v>
      </c>
      <c r="AF36" s="7">
        <f t="shared" si="12"/>
        <v>-1</v>
      </c>
      <c r="AI36" s="13">
        <v>4.398229715025713</v>
      </c>
      <c r="AJ36" s="13">
        <f t="shared" si="13"/>
        <v>7.1588739635632635E-3</v>
      </c>
      <c r="AK36" s="13">
        <f t="shared" si="14"/>
        <v>-1</v>
      </c>
    </row>
    <row r="37" spans="2:37" x14ac:dyDescent="0.3">
      <c r="B37" s="7">
        <v>0.18128800512565513</v>
      </c>
      <c r="C37" s="7">
        <f t="shared" si="8"/>
        <v>5.6390216514788358E-2</v>
      </c>
      <c r="D37" s="7">
        <f t="shared" si="17"/>
        <v>1.8103070795910694E-2</v>
      </c>
      <c r="E37" s="7">
        <f t="shared" si="18"/>
        <v>-1.8491679633496252E-2</v>
      </c>
      <c r="F37" s="7">
        <f t="shared" si="9"/>
        <v>-1.8489572370514899E-2</v>
      </c>
      <c r="G37" s="7">
        <f t="shared" si="15"/>
        <v>0.18233057670952654</v>
      </c>
      <c r="H37" s="7">
        <f t="shared" si="10"/>
        <v>7.4483648684729939E-2</v>
      </c>
      <c r="L37" s="7">
        <f t="shared" si="19"/>
        <v>0.18128800512565513</v>
      </c>
      <c r="M37" s="7">
        <f t="shared" si="20"/>
        <v>0</v>
      </c>
      <c r="N37" s="7">
        <f t="shared" si="21"/>
        <v>0.18128800512565513</v>
      </c>
      <c r="O37" s="7">
        <f t="shared" si="22"/>
        <v>1.8103070795910694E-2</v>
      </c>
      <c r="P37" s="7">
        <f t="shared" si="23"/>
        <v>0.18233057670952654</v>
      </c>
      <c r="Q37" s="7">
        <f t="shared" si="24"/>
        <v>7.4483648684729939E-2</v>
      </c>
      <c r="S37" s="4"/>
      <c r="AE37" s="4">
        <f t="shared" si="11"/>
        <v>-1</v>
      </c>
      <c r="AF37" s="7">
        <f t="shared" si="12"/>
        <v>-1</v>
      </c>
      <c r="AI37" s="13">
        <v>4.5238934211693049</v>
      </c>
      <c r="AJ37" s="13">
        <f t="shared" si="13"/>
        <v>8.4991411805013743E-3</v>
      </c>
      <c r="AK37" s="13">
        <f t="shared" si="14"/>
        <v>-1</v>
      </c>
    </row>
    <row r="38" spans="2:37" x14ac:dyDescent="0.3">
      <c r="B38" s="7">
        <v>0.15772644703565569</v>
      </c>
      <c r="C38" s="7">
        <f t="shared" si="8"/>
        <v>5.4369236117715831E-2</v>
      </c>
      <c r="D38" s="7">
        <f t="shared" si="17"/>
        <v>1.8409217925482696E-2</v>
      </c>
      <c r="E38" s="7">
        <f t="shared" si="18"/>
        <v>-6.0189089499736448E-3</v>
      </c>
      <c r="F38" s="7">
        <f t="shared" si="9"/>
        <v>-6.0188362686837216E-3</v>
      </c>
      <c r="G38" s="7">
        <f t="shared" si="15"/>
        <v>0.15805368459012073</v>
      </c>
      <c r="H38" s="7">
        <f t="shared" si="10"/>
        <v>7.2777469245594917E-2</v>
      </c>
      <c r="L38" s="7">
        <f t="shared" si="19"/>
        <v>0.15772644703565569</v>
      </c>
      <c r="M38" s="7">
        <f t="shared" si="20"/>
        <v>0</v>
      </c>
      <c r="N38" s="7">
        <f t="shared" si="21"/>
        <v>0.15772644703565569</v>
      </c>
      <c r="O38" s="7">
        <f t="shared" si="22"/>
        <v>1.8409217925482696E-2</v>
      </c>
      <c r="P38" s="7">
        <f t="shared" si="23"/>
        <v>0.15805368459012073</v>
      </c>
      <c r="Q38" s="7">
        <f t="shared" si="24"/>
        <v>7.2777469245594917E-2</v>
      </c>
      <c r="S38" s="4"/>
      <c r="AE38" s="4">
        <f t="shared" si="11"/>
        <v>-1</v>
      </c>
      <c r="AF38" s="7">
        <f t="shared" si="12"/>
        <v>-1</v>
      </c>
      <c r="AI38" s="13">
        <v>4.6495571273128968</v>
      </c>
      <c r="AJ38" s="13">
        <f t="shared" si="13"/>
        <v>9.8719699297279487E-3</v>
      </c>
      <c r="AK38" s="13">
        <f t="shared" si="14"/>
        <v>-1</v>
      </c>
    </row>
    <row r="39" spans="2:37" x14ac:dyDescent="0.3">
      <c r="B39" s="7">
        <v>0.13551568628929422</v>
      </c>
      <c r="C39" s="7">
        <f t="shared" si="8"/>
        <v>5.1872115697618681E-2</v>
      </c>
      <c r="D39" s="7">
        <f t="shared" si="17"/>
        <v>1.8336820292030237E-2</v>
      </c>
      <c r="E39" s="7">
        <f t="shared" si="18"/>
        <v>1.3850037255238607E-2</v>
      </c>
      <c r="F39" s="7">
        <f t="shared" si="9"/>
        <v>1.3849151769462499E-2</v>
      </c>
      <c r="G39" s="7">
        <f t="shared" si="15"/>
        <v>0.13479732445042292</v>
      </c>
      <c r="H39" s="7">
        <f t="shared" si="10"/>
        <v>7.0203961559075129E-2</v>
      </c>
      <c r="L39" s="7">
        <f t="shared" si="19"/>
        <v>0.13551568628929422</v>
      </c>
      <c r="M39" s="7">
        <f t="shared" si="20"/>
        <v>0</v>
      </c>
      <c r="N39" s="7">
        <f t="shared" si="21"/>
        <v>0.13551568628929422</v>
      </c>
      <c r="O39" s="7">
        <f t="shared" si="22"/>
        <v>1.8336820292030237E-2</v>
      </c>
      <c r="P39" s="7">
        <f t="shared" si="23"/>
        <v>0.13479732445042292</v>
      </c>
      <c r="Q39" s="7">
        <f t="shared" si="24"/>
        <v>7.0203961559075129E-2</v>
      </c>
      <c r="S39" s="4"/>
      <c r="AE39" s="4">
        <f t="shared" si="11"/>
        <v>-1</v>
      </c>
      <c r="AF39" s="7">
        <f t="shared" si="12"/>
        <v>-1</v>
      </c>
      <c r="AI39" s="13">
        <v>4.7752208334564887</v>
      </c>
      <c r="AJ39" s="13">
        <f t="shared" si="13"/>
        <v>1.1255709881779541E-2</v>
      </c>
      <c r="AK39" s="13">
        <f t="shared" si="14"/>
        <v>-1</v>
      </c>
    </row>
    <row r="40" spans="2:37" x14ac:dyDescent="0.3">
      <c r="B40" s="7">
        <v>0.11474337861210537</v>
      </c>
      <c r="C40" s="7">
        <f t="shared" si="8"/>
        <v>4.8915569986710102E-2</v>
      </c>
      <c r="D40" s="7">
        <f t="shared" si="17"/>
        <v>1.7794057010869981E-2</v>
      </c>
      <c r="E40" s="7">
        <f t="shared" si="18"/>
        <v>3.9555858919920348E-2</v>
      </c>
      <c r="F40" s="7">
        <f t="shared" si="9"/>
        <v>3.9535247697416911E-2</v>
      </c>
      <c r="G40" s="7">
        <f t="shared" si="15"/>
        <v>0.11280999318672238</v>
      </c>
      <c r="H40" s="7">
        <f t="shared" si="10"/>
        <v>6.6671403582893002E-2</v>
      </c>
      <c r="L40" s="7">
        <f t="shared" si="19"/>
        <v>0.11474337861210537</v>
      </c>
      <c r="M40" s="7">
        <f t="shared" si="20"/>
        <v>0</v>
      </c>
      <c r="N40" s="7">
        <f t="shared" si="21"/>
        <v>0.11474337861210537</v>
      </c>
      <c r="O40" s="7">
        <f t="shared" si="22"/>
        <v>1.7794057010869981E-2</v>
      </c>
      <c r="P40" s="7">
        <f t="shared" si="23"/>
        <v>0.11280999318672238</v>
      </c>
      <c r="Q40" s="7">
        <f t="shared" si="24"/>
        <v>6.6671403582893002E-2</v>
      </c>
      <c r="S40" s="4"/>
      <c r="AE40" s="4">
        <f t="shared" si="11"/>
        <v>-1</v>
      </c>
      <c r="AF40" s="7">
        <f t="shared" si="12"/>
        <v>-1</v>
      </c>
      <c r="AI40" s="13">
        <v>4.9008845396000806</v>
      </c>
      <c r="AJ40" s="13">
        <f t="shared" si="13"/>
        <v>1.2628538631006114E-2</v>
      </c>
      <c r="AK40" s="13">
        <f t="shared" si="14"/>
        <v>-1</v>
      </c>
    </row>
    <row r="41" spans="2:37" x14ac:dyDescent="0.3">
      <c r="B41" s="7">
        <v>9.5491502812526274E-2</v>
      </c>
      <c r="C41" s="7">
        <f t="shared" si="8"/>
        <v>4.5530864996409286E-2</v>
      </c>
      <c r="D41" s="7">
        <f t="shared" si="17"/>
        <v>1.6753511859732312E-2</v>
      </c>
      <c r="E41" s="7">
        <f t="shared" si="18"/>
        <v>6.9527897732680755E-2</v>
      </c>
      <c r="F41" s="7">
        <f t="shared" si="9"/>
        <v>6.9416185972729083E-2</v>
      </c>
      <c r="G41" s="7">
        <f t="shared" si="15"/>
        <v>9.2333461473571549E-2</v>
      </c>
      <c r="H41" s="7">
        <f t="shared" si="10"/>
        <v>6.2174723228680867E-2</v>
      </c>
      <c r="L41" s="7">
        <f t="shared" si="19"/>
        <v>9.5491502812526274E-2</v>
      </c>
      <c r="M41" s="7">
        <f t="shared" si="20"/>
        <v>0</v>
      </c>
      <c r="N41" s="7">
        <f t="shared" si="21"/>
        <v>9.5491502812526274E-2</v>
      </c>
      <c r="O41" s="7">
        <f t="shared" si="22"/>
        <v>1.6753511859732312E-2</v>
      </c>
      <c r="P41" s="7">
        <f t="shared" si="23"/>
        <v>9.2333461473571549E-2</v>
      </c>
      <c r="Q41" s="7">
        <f t="shared" si="24"/>
        <v>6.2174723228680867E-2</v>
      </c>
      <c r="S41" s="4"/>
      <c r="AE41" s="4">
        <f t="shared" si="11"/>
        <v>-1</v>
      </c>
      <c r="AF41" s="7">
        <f t="shared" si="12"/>
        <v>-1</v>
      </c>
      <c r="AI41" s="13">
        <v>5.0265482457436725</v>
      </c>
      <c r="AJ41" s="13">
        <f t="shared" si="13"/>
        <v>1.3968805847944224E-2</v>
      </c>
      <c r="AK41" s="13">
        <f t="shared" si="14"/>
        <v>-1</v>
      </c>
    </row>
    <row r="42" spans="2:37" x14ac:dyDescent="0.3">
      <c r="B42" s="7">
        <v>7.7836037248992462E-2</v>
      </c>
      <c r="C42" s="7">
        <f t="shared" si="8"/>
        <v>4.1761504648541975E-2</v>
      </c>
      <c r="D42" s="7">
        <f t="shared" si="17"/>
        <v>1.5244742893759803E-2</v>
      </c>
      <c r="E42" s="7">
        <f t="shared" si="18"/>
        <v>0.10221350611013409</v>
      </c>
      <c r="F42" s="7">
        <f t="shared" si="9"/>
        <v>0.10185975899122278</v>
      </c>
      <c r="G42" s="7">
        <f t="shared" si="15"/>
        <v>7.3589572484573387E-2</v>
      </c>
      <c r="H42" s="7">
        <f t="shared" si="10"/>
        <v>5.678978841683921E-2</v>
      </c>
      <c r="L42" s="7">
        <f t="shared" si="19"/>
        <v>7.7836037248992462E-2</v>
      </c>
      <c r="M42" s="7">
        <f t="shared" si="20"/>
        <v>0</v>
      </c>
      <c r="N42" s="7">
        <f t="shared" si="21"/>
        <v>7.7836037248992462E-2</v>
      </c>
      <c r="O42" s="7">
        <f t="shared" si="22"/>
        <v>1.5244742893759803E-2</v>
      </c>
      <c r="P42" s="7">
        <f t="shared" si="23"/>
        <v>7.3589572484573387E-2</v>
      </c>
      <c r="Q42" s="7">
        <f t="shared" si="24"/>
        <v>5.678978841683921E-2</v>
      </c>
      <c r="S42" s="4"/>
      <c r="AE42" s="4">
        <f t="shared" si="11"/>
        <v>-1</v>
      </c>
      <c r="AF42" s="7">
        <f t="shared" si="12"/>
        <v>-1</v>
      </c>
      <c r="AI42" s="13">
        <v>5.1522119518872644</v>
      </c>
      <c r="AJ42" s="13">
        <f t="shared" si="13"/>
        <v>1.5255374717945929E-2</v>
      </c>
      <c r="AK42" s="13">
        <f t="shared" si="14"/>
        <v>-1</v>
      </c>
    </row>
    <row r="43" spans="2:37" x14ac:dyDescent="0.3">
      <c r="B43" s="7">
        <v>6.1846659978068208E-2</v>
      </c>
      <c r="C43" s="7">
        <f t="shared" si="8"/>
        <v>3.7660515306703238E-2</v>
      </c>
      <c r="D43" s="7">
        <f t="shared" si="17"/>
        <v>1.3344882101417838E-2</v>
      </c>
      <c r="E43" s="7">
        <f t="shared" si="18"/>
        <v>0.13610679552746921</v>
      </c>
      <c r="F43" s="7">
        <f t="shared" si="9"/>
        <v>0.13527555326223215</v>
      </c>
      <c r="G43" s="7">
        <f t="shared" si="15"/>
        <v>5.6767636646189654E-2</v>
      </c>
      <c r="H43" s="7">
        <f t="shared" si="10"/>
        <v>5.0661338727960803E-2</v>
      </c>
      <c r="L43" s="7">
        <f t="shared" si="19"/>
        <v>6.1846659978068208E-2</v>
      </c>
      <c r="M43" s="7">
        <f t="shared" si="20"/>
        <v>0</v>
      </c>
      <c r="N43" s="7">
        <f t="shared" si="21"/>
        <v>6.1846659978068208E-2</v>
      </c>
      <c r="O43" s="7">
        <f t="shared" si="22"/>
        <v>1.3344882101417838E-2</v>
      </c>
      <c r="P43" s="7">
        <f t="shared" si="23"/>
        <v>5.6767636646189654E-2</v>
      </c>
      <c r="Q43" s="7">
        <f t="shared" si="24"/>
        <v>5.0661338727960803E-2</v>
      </c>
      <c r="S43" s="4"/>
      <c r="AE43" s="4">
        <f t="shared" si="11"/>
        <v>-1</v>
      </c>
      <c r="AF43" s="7">
        <f t="shared" si="12"/>
        <v>-1</v>
      </c>
      <c r="AI43" s="13">
        <v>5.2778756580308563</v>
      </c>
      <c r="AJ43" s="13">
        <f t="shared" si="13"/>
        <v>1.6467955281372314E-2</v>
      </c>
      <c r="AK43" s="13">
        <f t="shared" si="14"/>
        <v>-1</v>
      </c>
    </row>
    <row r="44" spans="2:37" x14ac:dyDescent="0.3">
      <c r="B44" s="7">
        <v>4.7586473766990212E-2</v>
      </c>
      <c r="C44" s="7">
        <f t="shared" si="8"/>
        <v>3.3287445665643046E-2</v>
      </c>
      <c r="D44" s="7">
        <f t="shared" si="17"/>
        <v>1.1167763269688605E-2</v>
      </c>
      <c r="E44" s="7">
        <f t="shared" si="18"/>
        <v>0.16977629400330407</v>
      </c>
      <c r="F44" s="7">
        <f t="shared" si="9"/>
        <v>0.16817272662750121</v>
      </c>
      <c r="G44" s="7">
        <f t="shared" si="15"/>
        <v>4.2014783336065384E-2</v>
      </c>
      <c r="H44" s="7">
        <f t="shared" si="10"/>
        <v>4.3985598431153461E-2</v>
      </c>
      <c r="L44" s="7">
        <f t="shared" si="19"/>
        <v>4.7586473766990212E-2</v>
      </c>
      <c r="M44" s="7">
        <f t="shared" si="20"/>
        <v>0</v>
      </c>
      <c r="N44" s="7">
        <f t="shared" si="21"/>
        <v>4.7586473766990212E-2</v>
      </c>
      <c r="O44" s="7">
        <f t="shared" si="22"/>
        <v>1.1167763269688605E-2</v>
      </c>
      <c r="P44" s="7">
        <f t="shared" si="23"/>
        <v>4.2014783336065384E-2</v>
      </c>
      <c r="Q44" s="7">
        <f t="shared" si="24"/>
        <v>4.3985598431153461E-2</v>
      </c>
      <c r="S44" s="4"/>
      <c r="AE44" s="4">
        <f t="shared" si="11"/>
        <v>-1</v>
      </c>
      <c r="AF44" s="7">
        <f t="shared" si="12"/>
        <v>-1</v>
      </c>
      <c r="AI44" s="13">
        <v>5.4035393641744482</v>
      </c>
      <c r="AJ44" s="13">
        <f t="shared" si="13"/>
        <v>1.7587424418377622E-2</v>
      </c>
      <c r="AK44" s="13">
        <f t="shared" si="14"/>
        <v>-1</v>
      </c>
    </row>
    <row r="45" spans="2:37" x14ac:dyDescent="0.3">
      <c r="B45" s="7">
        <v>3.5111757055874271E-2</v>
      </c>
      <c r="C45" s="7">
        <f t="shared" si="8"/>
        <v>2.870520868834121E-2</v>
      </c>
      <c r="D45" s="7">
        <f t="shared" si="17"/>
        <v>8.8521222268470399E-3</v>
      </c>
      <c r="E45" s="7">
        <f t="shared" si="18"/>
        <v>0.20189106113782213</v>
      </c>
      <c r="F45" s="7">
        <f t="shared" si="9"/>
        <v>0.1992132248422524</v>
      </c>
      <c r="G45" s="7">
        <f t="shared" si="15"/>
        <v>2.9431048576041195E-2</v>
      </c>
      <c r="H45" s="7">
        <f t="shared" si="10"/>
        <v>3.6989616020864521E-2</v>
      </c>
      <c r="L45" s="7">
        <f t="shared" si="19"/>
        <v>3.5111757055874271E-2</v>
      </c>
      <c r="M45" s="7">
        <f t="shared" si="20"/>
        <v>0</v>
      </c>
      <c r="N45" s="7">
        <f t="shared" si="21"/>
        <v>3.5111757055874271E-2</v>
      </c>
      <c r="O45" s="7">
        <f t="shared" si="22"/>
        <v>8.8521222268470399E-3</v>
      </c>
      <c r="P45" s="7">
        <f t="shared" si="23"/>
        <v>2.9431048576041195E-2</v>
      </c>
      <c r="Q45" s="7">
        <f t="shared" si="24"/>
        <v>3.6989616020864521E-2</v>
      </c>
      <c r="S45" s="4"/>
      <c r="AE45" s="4">
        <f t="shared" si="11"/>
        <v>-1</v>
      </c>
      <c r="AF45" s="7">
        <f t="shared" si="12"/>
        <v>-1</v>
      </c>
      <c r="AI45" s="13">
        <v>5.5292030703180401</v>
      </c>
      <c r="AJ45" s="13">
        <f t="shared" si="13"/>
        <v>1.8596127431932834E-2</v>
      </c>
      <c r="AK45" s="13">
        <f t="shared" si="14"/>
        <v>-1</v>
      </c>
    </row>
    <row r="46" spans="2:37" x14ac:dyDescent="0.3">
      <c r="B46" s="7">
        <v>2.4471741852423234E-2</v>
      </c>
      <c r="C46" s="7">
        <f t="shared" si="8"/>
        <v>2.3976896698226096E-2</v>
      </c>
      <c r="D46" s="7">
        <f t="shared" si="17"/>
        <v>6.5494377248499352E-3</v>
      </c>
      <c r="E46" s="7">
        <f t="shared" si="18"/>
        <v>0.23124483488419054</v>
      </c>
      <c r="F46" s="7">
        <f t="shared" si="9"/>
        <v>0.22725035768934937</v>
      </c>
      <c r="G46" s="7">
        <f t="shared" si="15"/>
        <v>1.9069760674505783E-2</v>
      </c>
      <c r="H46" s="7">
        <f t="shared" si="10"/>
        <v>2.9909878102352048E-2</v>
      </c>
      <c r="L46" s="7">
        <f t="shared" si="19"/>
        <v>2.4471741852423234E-2</v>
      </c>
      <c r="M46" s="7">
        <f t="shared" si="20"/>
        <v>0</v>
      </c>
      <c r="N46" s="7">
        <f t="shared" si="21"/>
        <v>2.4471741852423234E-2</v>
      </c>
      <c r="O46" s="7">
        <f t="shared" si="22"/>
        <v>6.5494377248499352E-3</v>
      </c>
      <c r="P46" s="7">
        <f t="shared" si="23"/>
        <v>1.9069760674505783E-2</v>
      </c>
      <c r="Q46" s="7">
        <f t="shared" si="24"/>
        <v>2.9909878102352048E-2</v>
      </c>
      <c r="S46" s="4"/>
      <c r="AE46" s="4">
        <f t="shared" si="11"/>
        <v>-1</v>
      </c>
      <c r="AF46" s="7">
        <f t="shared" si="12"/>
        <v>-1</v>
      </c>
      <c r="AI46" s="13">
        <v>5.654866776461632</v>
      </c>
      <c r="AJ46" s="13">
        <f t="shared" si="13"/>
        <v>1.9478156472944215E-2</v>
      </c>
      <c r="AK46" s="13">
        <f t="shared" si="14"/>
        <v>-1</v>
      </c>
    </row>
    <row r="47" spans="2:37" x14ac:dyDescent="0.3">
      <c r="B47" s="7">
        <v>1.5708419435684462E-2</v>
      </c>
      <c r="C47" s="7">
        <f t="shared" si="8"/>
        <v>1.916270019999039E-2</v>
      </c>
      <c r="D47" s="7">
        <f t="shared" si="17"/>
        <v>4.4119827070631425E-3</v>
      </c>
      <c r="E47" s="7">
        <f t="shared" si="18"/>
        <v>0.25677781678483041</v>
      </c>
      <c r="F47" s="7">
        <f t="shared" si="9"/>
        <v>0.25134754159251604</v>
      </c>
      <c r="G47" s="7">
        <f t="shared" si="15"/>
        <v>1.0942476072772262E-2</v>
      </c>
      <c r="H47" s="7">
        <f t="shared" si="10"/>
        <v>2.2972555511161213E-2</v>
      </c>
      <c r="L47" s="7">
        <f t="shared" si="19"/>
        <v>1.5708419435684462E-2</v>
      </c>
      <c r="M47" s="7">
        <f t="shared" si="20"/>
        <v>0</v>
      </c>
      <c r="N47" s="7">
        <f t="shared" si="21"/>
        <v>1.5708419435684462E-2</v>
      </c>
      <c r="O47" s="7">
        <f t="shared" si="22"/>
        <v>4.4119827070631425E-3</v>
      </c>
      <c r="P47" s="7">
        <f t="shared" si="23"/>
        <v>1.0942476072772262E-2</v>
      </c>
      <c r="Q47" s="7">
        <f t="shared" si="24"/>
        <v>2.2972555511161213E-2</v>
      </c>
      <c r="S47" s="4"/>
      <c r="AE47" s="4">
        <f t="shared" si="11"/>
        <v>-1</v>
      </c>
      <c r="AF47" s="7">
        <f t="shared" si="12"/>
        <v>-1</v>
      </c>
      <c r="AI47" s="13">
        <v>5.780530482605224</v>
      </c>
      <c r="AJ47" s="13">
        <f t="shared" si="13"/>
        <v>2.0219601416536406E-2</v>
      </c>
      <c r="AK47" s="13">
        <f t="shared" si="14"/>
        <v>-1</v>
      </c>
    </row>
    <row r="48" spans="2:37" x14ac:dyDescent="0.3">
      <c r="B48" s="7">
        <v>8.8563746356556394E-3</v>
      </c>
      <c r="C48" s="7">
        <f t="shared" si="8"/>
        <v>1.4317055559171966E-2</v>
      </c>
      <c r="D48" s="7">
        <f t="shared" si="17"/>
        <v>2.5816347173607903E-3</v>
      </c>
      <c r="E48" s="7">
        <f t="shared" si="18"/>
        <v>0.27759574120693131</v>
      </c>
      <c r="F48" s="7">
        <f t="shared" si="9"/>
        <v>0.27077784570448105</v>
      </c>
      <c r="G48" s="7">
        <f t="shared" si="15"/>
        <v>5.0268339973617172E-3</v>
      </c>
      <c r="H48" s="7">
        <f t="shared" si="10"/>
        <v>1.637702156891636E-2</v>
      </c>
      <c r="L48" s="7">
        <f t="shared" si="19"/>
        <v>8.8563746356556394E-3</v>
      </c>
      <c r="M48" s="7">
        <f t="shared" si="20"/>
        <v>0</v>
      </c>
      <c r="N48" s="7">
        <f t="shared" si="21"/>
        <v>8.8563746356556394E-3</v>
      </c>
      <c r="O48" s="7">
        <f t="shared" si="22"/>
        <v>2.5816347173607903E-3</v>
      </c>
      <c r="P48" s="7">
        <f t="shared" si="23"/>
        <v>5.0268339973617172E-3</v>
      </c>
      <c r="Q48" s="7">
        <f t="shared" si="24"/>
        <v>1.637702156891636E-2</v>
      </c>
      <c r="S48" s="4"/>
      <c r="AE48" s="4">
        <f t="shared" si="11"/>
        <v>-1</v>
      </c>
      <c r="AF48" s="7">
        <f t="shared" si="12"/>
        <v>-1</v>
      </c>
      <c r="AI48" s="13">
        <v>5.9061941887488159</v>
      </c>
      <c r="AJ48" s="13">
        <f t="shared" si="13"/>
        <v>2.0808769233031217E-2</v>
      </c>
      <c r="AK48" s="13">
        <f t="shared" si="14"/>
        <v>-1</v>
      </c>
    </row>
    <row r="49" spans="2:37" x14ac:dyDescent="0.3">
      <c r="B49" s="7">
        <v>3.942649342761062E-3</v>
      </c>
      <c r="C49" s="7">
        <f t="shared" si="8"/>
        <v>9.4861365389975316E-3</v>
      </c>
      <c r="D49" s="7">
        <f t="shared" si="17"/>
        <v>1.1799517128401626E-3</v>
      </c>
      <c r="E49" s="7">
        <f t="shared" si="18"/>
        <v>0.29298591854757416</v>
      </c>
      <c r="F49" s="7">
        <f t="shared" si="9"/>
        <v>0.28500950014736809</v>
      </c>
      <c r="G49" s="7">
        <f t="shared" si="15"/>
        <v>1.2754648865222003E-3</v>
      </c>
      <c r="H49" s="7">
        <f t="shared" si="10"/>
        <v>1.0283407842953706E-2</v>
      </c>
      <c r="L49" s="7">
        <f t="shared" si="19"/>
        <v>3.942649342761062E-3</v>
      </c>
      <c r="M49" s="7">
        <f t="shared" si="20"/>
        <v>0</v>
      </c>
      <c r="N49" s="7">
        <f t="shared" si="21"/>
        <v>3.942649342761062E-3</v>
      </c>
      <c r="O49" s="7">
        <f t="shared" si="22"/>
        <v>1.1799517128401626E-3</v>
      </c>
      <c r="P49" s="7">
        <f t="shared" si="23"/>
        <v>1.2754648865222003E-3</v>
      </c>
      <c r="Q49" s="7">
        <f t="shared" si="24"/>
        <v>1.0283407842953706E-2</v>
      </c>
      <c r="S49" s="4"/>
      <c r="AE49" s="4">
        <f t="shared" si="11"/>
        <v>-1</v>
      </c>
      <c r="AF49" s="7">
        <f t="shared" si="12"/>
        <v>-1</v>
      </c>
      <c r="AI49" s="13">
        <v>6.0318578948924078</v>
      </c>
      <c r="AJ49" s="13">
        <f t="shared" si="13"/>
        <v>2.1236368394010725E-2</v>
      </c>
      <c r="AK49" s="13">
        <f t="shared" si="14"/>
        <v>-1</v>
      </c>
    </row>
    <row r="50" spans="2:37" x14ac:dyDescent="0.3">
      <c r="B50" s="7">
        <v>9.8663578586422052E-4</v>
      </c>
      <c r="C50" s="7">
        <f t="shared" si="8"/>
        <v>4.7057902639589437E-3</v>
      </c>
      <c r="D50" s="7">
        <f t="shared" si="17"/>
        <v>2.9995730847370822E-4</v>
      </c>
      <c r="E50" s="7">
        <f t="shared" si="18"/>
        <v>0.30242999174083868</v>
      </c>
      <c r="F50" s="7">
        <f t="shared" si="9"/>
        <v>0.29368465100873942</v>
      </c>
      <c r="G50" s="7">
        <f t="shared" si="15"/>
        <v>-3.7560141608614203E-4</v>
      </c>
      <c r="H50" s="7">
        <f t="shared" si="10"/>
        <v>4.8042632277018014E-3</v>
      </c>
      <c r="L50" s="7">
        <f t="shared" si="19"/>
        <v>9.8663578586422052E-4</v>
      </c>
      <c r="M50" s="7">
        <f t="shared" si="20"/>
        <v>0</v>
      </c>
      <c r="N50" s="7">
        <f t="shared" si="21"/>
        <v>9.8663578586422052E-4</v>
      </c>
      <c r="O50" s="7">
        <f t="shared" si="22"/>
        <v>2.9995730847370822E-4</v>
      </c>
      <c r="P50" s="7">
        <f t="shared" si="23"/>
        <v>-3.7560141608614203E-4</v>
      </c>
      <c r="Q50" s="7">
        <f t="shared" si="24"/>
        <v>4.8042632277018014E-3</v>
      </c>
      <c r="S50" s="4"/>
      <c r="AE50" s="4">
        <f t="shared" si="11"/>
        <v>-1</v>
      </c>
      <c r="AF50" s="7">
        <f t="shared" si="12"/>
        <v>-1</v>
      </c>
      <c r="AI50" s="13">
        <v>6.1575216010359997</v>
      </c>
      <c r="AJ50" s="13">
        <f t="shared" si="13"/>
        <v>2.1495655405270934E-2</v>
      </c>
      <c r="AK50" s="13">
        <f t="shared" si="14"/>
        <v>-1</v>
      </c>
    </row>
    <row r="51" spans="2:37" x14ac:dyDescent="0.3">
      <c r="B51" s="7">
        <v>0</v>
      </c>
      <c r="C51" s="7">
        <f t="shared" si="8"/>
        <v>0</v>
      </c>
      <c r="D51" s="7">
        <f t="shared" si="17"/>
        <v>0</v>
      </c>
      <c r="E51" s="7">
        <f t="shared" si="18"/>
        <v>0.3056131989023837</v>
      </c>
      <c r="F51" s="7">
        <f t="shared" si="9"/>
        <v>0.29659852930540098</v>
      </c>
      <c r="G51" s="7">
        <f t="shared" si="15"/>
        <v>0</v>
      </c>
      <c r="H51" s="7">
        <f t="shared" si="10"/>
        <v>0</v>
      </c>
      <c r="L51" s="7">
        <f t="shared" si="19"/>
        <v>0</v>
      </c>
      <c r="M51" s="7">
        <f t="shared" si="20"/>
        <v>0</v>
      </c>
      <c r="N51" s="7">
        <f t="shared" si="21"/>
        <v>0</v>
      </c>
      <c r="O51" s="7">
        <f t="shared" si="22"/>
        <v>0</v>
      </c>
      <c r="P51" s="7">
        <f t="shared" si="23"/>
        <v>0</v>
      </c>
      <c r="Q51" s="7">
        <f t="shared" si="24"/>
        <v>0</v>
      </c>
      <c r="S51" s="4"/>
      <c r="AE51" s="4">
        <f t="shared" si="11"/>
        <v>-1</v>
      </c>
      <c r="AF51" s="7">
        <f>IF($AG$2, O51, -1)</f>
        <v>-1</v>
      </c>
      <c r="AI51" s="13">
        <v>6.2831853071795916</v>
      </c>
      <c r="AJ51" s="13">
        <f t="shared" si="13"/>
        <v>2.1582541155753712E-2</v>
      </c>
      <c r="AK51" s="13">
        <f t="shared" si="14"/>
        <v>-1</v>
      </c>
    </row>
    <row r="52" spans="2:37" x14ac:dyDescent="0.3">
      <c r="B52" s="7" cm="1">
        <f t="array" ref="B52:B102">0.5*(1-COS((_xlfn.SEQUENCE(51,1,0,1)*PI())/50))</f>
        <v>0</v>
      </c>
      <c r="C52" s="7">
        <f>IF(B52&lt;$T$1, ($A$7/0.2)*($U$1*SQRT(B52)+$V$1*B52+$W$1*(B52^2)+$X$1*(B52^3)), ($A$7/0.2)*($Y$1+$Z$1*(1-B52)+$AA$1*((1-B52)^2)+$AB$1*((1-B52)^3)))</f>
        <v>0</v>
      </c>
      <c r="D52" s="7">
        <f t="shared" si="17"/>
        <v>0</v>
      </c>
      <c r="E52" s="7">
        <f t="shared" si="18"/>
        <v>0.3056131989023837</v>
      </c>
      <c r="F52" s="7">
        <f xml:space="preserve"> ATAN(E52)</f>
        <v>0.29659852930540098</v>
      </c>
      <c r="G52" s="7">
        <f>B52+C52*SIN(F52)</f>
        <v>0</v>
      </c>
      <c r="H52" s="7">
        <f>D52-C52*COS(F52)</f>
        <v>0</v>
      </c>
      <c r="P52" s="7">
        <f t="shared" si="23"/>
        <v>0</v>
      </c>
      <c r="Q52" s="7">
        <f t="shared" si="24"/>
        <v>0</v>
      </c>
      <c r="S52" s="4"/>
    </row>
    <row r="53" spans="2:37" x14ac:dyDescent="0.3">
      <c r="B53" s="7">
        <v>9.8663578586422052E-4</v>
      </c>
      <c r="C53" s="7">
        <f t="shared" ref="C53:C102" si="25">IF(B53&lt;$T$1, ($A$7/0.2)*($U$1*SQRT(B53)+$V$1*B53+$W$1*(B53^2)+$X$1*(B53^3)), ($A$7/0.2)*($Y$1+$Z$1*(1-B53)+$AA$1*((1-B53)^2)+$AB$1*((1-B53)^3)))</f>
        <v>4.7057902639589437E-3</v>
      </c>
      <c r="D53" s="7">
        <f t="shared" si="17"/>
        <v>2.9995730847370822E-4</v>
      </c>
      <c r="E53" s="7">
        <f t="shared" si="18"/>
        <v>0.30242999174083868</v>
      </c>
      <c r="F53" s="7">
        <f t="shared" ref="F53:F102" si="26" xml:space="preserve"> ATAN(E53)</f>
        <v>0.29368465100873942</v>
      </c>
      <c r="G53" s="7">
        <f t="shared" ref="G53:G101" si="27">B53+C53*SIN(F53)</f>
        <v>2.3488729878145828E-3</v>
      </c>
      <c r="H53" s="7">
        <f t="shared" ref="H53:H101" si="28">D53-C53*COS(F53)</f>
        <v>-4.2043486107543847E-3</v>
      </c>
      <c r="P53" s="7">
        <f t="shared" si="23"/>
        <v>2.3488729878145828E-3</v>
      </c>
      <c r="Q53" s="7">
        <f t="shared" si="24"/>
        <v>-4.2043486107543847E-3</v>
      </c>
      <c r="S53" s="4"/>
    </row>
    <row r="54" spans="2:37" x14ac:dyDescent="0.3">
      <c r="B54" s="7">
        <v>3.942649342761062E-3</v>
      </c>
      <c r="C54" s="7">
        <f t="shared" si="25"/>
        <v>9.4861365389975316E-3</v>
      </c>
      <c r="D54" s="7">
        <f t="shared" si="17"/>
        <v>1.1799517128401626E-3</v>
      </c>
      <c r="E54" s="7">
        <f t="shared" si="18"/>
        <v>0.29298591854757416</v>
      </c>
      <c r="F54" s="7">
        <f t="shared" si="26"/>
        <v>0.28500950014736809</v>
      </c>
      <c r="G54" s="7">
        <f t="shared" si="27"/>
        <v>6.6098337989999242E-3</v>
      </c>
      <c r="H54" s="7">
        <f t="shared" si="28"/>
        <v>-7.9235044172733821E-3</v>
      </c>
      <c r="P54" s="7">
        <f t="shared" si="23"/>
        <v>6.6098337989999242E-3</v>
      </c>
      <c r="Q54" s="7">
        <f t="shared" si="24"/>
        <v>-7.9235044172733821E-3</v>
      </c>
      <c r="S54" s="4"/>
    </row>
    <row r="55" spans="2:37" x14ac:dyDescent="0.3">
      <c r="B55" s="7">
        <v>8.8563746356556394E-3</v>
      </c>
      <c r="C55" s="7">
        <f t="shared" si="25"/>
        <v>1.4317055559171966E-2</v>
      </c>
      <c r="D55" s="7">
        <f t="shared" si="17"/>
        <v>2.5816347173607903E-3</v>
      </c>
      <c r="E55" s="7">
        <f t="shared" si="18"/>
        <v>0.27759574120693131</v>
      </c>
      <c r="F55" s="7">
        <f t="shared" si="26"/>
        <v>0.27077784570448105</v>
      </c>
      <c r="G55" s="7">
        <f t="shared" si="27"/>
        <v>1.2685915273949562E-2</v>
      </c>
      <c r="H55" s="7">
        <f t="shared" si="28"/>
        <v>-1.1213752134194779E-2</v>
      </c>
      <c r="P55" s="7">
        <f t="shared" si="23"/>
        <v>1.2685915273949562E-2</v>
      </c>
      <c r="Q55" s="7">
        <f t="shared" si="24"/>
        <v>-1.1213752134194779E-2</v>
      </c>
      <c r="S55" s="4"/>
    </row>
    <row r="56" spans="2:37" x14ac:dyDescent="0.3">
      <c r="B56" s="7">
        <v>1.5708419435684462E-2</v>
      </c>
      <c r="C56" s="7">
        <f t="shared" si="25"/>
        <v>1.916270019999039E-2</v>
      </c>
      <c r="D56" s="7">
        <f t="shared" si="17"/>
        <v>4.4119827070631425E-3</v>
      </c>
      <c r="E56" s="7">
        <f t="shared" si="18"/>
        <v>0.25677781678483041</v>
      </c>
      <c r="F56" s="7">
        <f t="shared" si="26"/>
        <v>0.25134754159251604</v>
      </c>
      <c r="G56" s="7">
        <f t="shared" si="27"/>
        <v>2.0474362798596664E-2</v>
      </c>
      <c r="H56" s="7">
        <f t="shared" si="28"/>
        <v>-1.4148590097034928E-2</v>
      </c>
      <c r="P56" s="7">
        <f t="shared" si="23"/>
        <v>2.0474362798596664E-2</v>
      </c>
      <c r="Q56" s="7">
        <f t="shared" si="24"/>
        <v>-1.4148590097034928E-2</v>
      </c>
      <c r="S56" s="4"/>
    </row>
    <row r="57" spans="2:37" x14ac:dyDescent="0.3">
      <c r="B57" s="7">
        <v>2.4471741852423234E-2</v>
      </c>
      <c r="C57" s="7">
        <f t="shared" si="25"/>
        <v>2.3976896698226096E-2</v>
      </c>
      <c r="D57" s="7">
        <f t="shared" si="17"/>
        <v>6.5494377248499352E-3</v>
      </c>
      <c r="E57" s="7">
        <f t="shared" si="18"/>
        <v>0.23124483488419054</v>
      </c>
      <c r="F57" s="7">
        <f t="shared" si="26"/>
        <v>0.22725035768934937</v>
      </c>
      <c r="G57" s="7">
        <f t="shared" si="27"/>
        <v>2.9873723030340686E-2</v>
      </c>
      <c r="H57" s="7">
        <f t="shared" si="28"/>
        <v>-1.6811002652652177E-2</v>
      </c>
      <c r="P57" s="7">
        <f t="shared" si="23"/>
        <v>2.9873723030340686E-2</v>
      </c>
      <c r="Q57" s="7">
        <f t="shared" si="24"/>
        <v>-1.6811002652652177E-2</v>
      </c>
      <c r="S57" s="4"/>
    </row>
    <row r="58" spans="2:37" x14ac:dyDescent="0.3">
      <c r="B58" s="7">
        <v>3.5111757055874271E-2</v>
      </c>
      <c r="C58" s="7">
        <f t="shared" si="25"/>
        <v>2.870520868834121E-2</v>
      </c>
      <c r="D58" s="7">
        <f t="shared" si="17"/>
        <v>8.8521222268470399E-3</v>
      </c>
      <c r="E58" s="7">
        <f t="shared" si="18"/>
        <v>0.20189106113782213</v>
      </c>
      <c r="F58" s="7">
        <f t="shared" si="26"/>
        <v>0.1992132248422524</v>
      </c>
      <c r="G58" s="7">
        <f t="shared" si="27"/>
        <v>4.0792465535707347E-2</v>
      </c>
      <c r="H58" s="7">
        <f t="shared" si="28"/>
        <v>-1.9285371567170438E-2</v>
      </c>
      <c r="P58" s="7">
        <f t="shared" si="23"/>
        <v>4.0792465535707347E-2</v>
      </c>
      <c r="Q58" s="7">
        <f t="shared" si="24"/>
        <v>-1.9285371567170438E-2</v>
      </c>
      <c r="S58" s="4"/>
    </row>
    <row r="59" spans="2:37" x14ac:dyDescent="0.3">
      <c r="B59" s="7">
        <v>4.7586473766990212E-2</v>
      </c>
      <c r="C59" s="7">
        <f t="shared" si="25"/>
        <v>3.3287445665643046E-2</v>
      </c>
      <c r="D59" s="7">
        <f t="shared" si="17"/>
        <v>1.1167763269688605E-2</v>
      </c>
      <c r="E59" s="7">
        <f t="shared" si="18"/>
        <v>0.16977629400330407</v>
      </c>
      <c r="F59" s="7">
        <f t="shared" si="26"/>
        <v>0.16817272662750121</v>
      </c>
      <c r="G59" s="7">
        <f t="shared" si="27"/>
        <v>5.3158164197915039E-2</v>
      </c>
      <c r="H59" s="7">
        <f t="shared" si="28"/>
        <v>-2.1650071891776246E-2</v>
      </c>
      <c r="P59" s="7">
        <f t="shared" si="23"/>
        <v>5.3158164197915039E-2</v>
      </c>
      <c r="Q59" s="7">
        <f t="shared" si="24"/>
        <v>-2.1650071891776246E-2</v>
      </c>
      <c r="S59" s="4"/>
    </row>
    <row r="60" spans="2:37" x14ac:dyDescent="0.3">
      <c r="B60" s="7">
        <v>6.1846659978068208E-2</v>
      </c>
      <c r="C60" s="7">
        <f t="shared" si="25"/>
        <v>3.7660515306703238E-2</v>
      </c>
      <c r="D60" s="7">
        <f t="shared" si="17"/>
        <v>1.3344882101417838E-2</v>
      </c>
      <c r="E60" s="7">
        <f t="shared" si="18"/>
        <v>0.13610679552746921</v>
      </c>
      <c r="F60" s="7">
        <f t="shared" si="26"/>
        <v>0.13527555326223215</v>
      </c>
      <c r="G60" s="7">
        <f t="shared" si="27"/>
        <v>6.6925683309946762E-2</v>
      </c>
      <c r="H60" s="7">
        <f t="shared" si="28"/>
        <v>-2.3971574525125123E-2</v>
      </c>
      <c r="P60" s="7">
        <f t="shared" si="23"/>
        <v>6.6925683309946762E-2</v>
      </c>
      <c r="Q60" s="7">
        <f t="shared" si="24"/>
        <v>-2.3971574525125123E-2</v>
      </c>
      <c r="S60" s="4"/>
    </row>
    <row r="61" spans="2:37" x14ac:dyDescent="0.3">
      <c r="B61" s="7">
        <v>7.7836037248992462E-2</v>
      </c>
      <c r="C61" s="7">
        <f t="shared" si="25"/>
        <v>4.1761504648541975E-2</v>
      </c>
      <c r="D61" s="7">
        <f t="shared" si="17"/>
        <v>1.5244742893759803E-2</v>
      </c>
      <c r="E61" s="7">
        <f t="shared" si="18"/>
        <v>0.10221350611013409</v>
      </c>
      <c r="F61" s="7">
        <f t="shared" si="26"/>
        <v>0.10185975899122278</v>
      </c>
      <c r="G61" s="7">
        <f t="shared" si="27"/>
        <v>8.2082502013411537E-2</v>
      </c>
      <c r="H61" s="7">
        <f t="shared" si="28"/>
        <v>-2.6300302629319608E-2</v>
      </c>
      <c r="P61" s="7">
        <f t="shared" si="23"/>
        <v>8.2082502013411537E-2</v>
      </c>
      <c r="Q61" s="7">
        <f t="shared" si="24"/>
        <v>-2.6300302629319608E-2</v>
      </c>
      <c r="S61" s="4"/>
    </row>
    <row r="62" spans="2:37" x14ac:dyDescent="0.3">
      <c r="B62" s="7">
        <v>9.5491502812526274E-2</v>
      </c>
      <c r="C62" s="7">
        <f t="shared" si="25"/>
        <v>4.5530864996409286E-2</v>
      </c>
      <c r="D62" s="7">
        <f t="shared" si="17"/>
        <v>1.6753511859732312E-2</v>
      </c>
      <c r="E62" s="7">
        <f t="shared" si="18"/>
        <v>6.9527897732680755E-2</v>
      </c>
      <c r="F62" s="7">
        <f t="shared" si="26"/>
        <v>6.9416185972729083E-2</v>
      </c>
      <c r="G62" s="7">
        <f t="shared" si="27"/>
        <v>9.8649544151481E-2</v>
      </c>
      <c r="H62" s="7">
        <f t="shared" si="28"/>
        <v>-2.8667699509216243E-2</v>
      </c>
      <c r="P62" s="7">
        <f t="shared" si="23"/>
        <v>9.8649544151481E-2</v>
      </c>
      <c r="Q62" s="7">
        <f t="shared" si="24"/>
        <v>-2.8667699509216243E-2</v>
      </c>
      <c r="S62" s="4"/>
    </row>
    <row r="63" spans="2:37" x14ac:dyDescent="0.3">
      <c r="B63" s="7">
        <v>0.11474337861210537</v>
      </c>
      <c r="C63" s="7">
        <f t="shared" si="25"/>
        <v>4.8915569986710102E-2</v>
      </c>
      <c r="D63" s="7">
        <f t="shared" si="17"/>
        <v>1.7794057010869981E-2</v>
      </c>
      <c r="E63" s="7">
        <f t="shared" si="18"/>
        <v>3.9555858919920348E-2</v>
      </c>
      <c r="F63" s="7">
        <f t="shared" si="26"/>
        <v>3.9535247697416911E-2</v>
      </c>
      <c r="G63" s="7">
        <f t="shared" si="27"/>
        <v>0.11667676403748836</v>
      </c>
      <c r="H63" s="7">
        <f t="shared" si="28"/>
        <v>-3.1083289561153041E-2</v>
      </c>
      <c r="P63" s="7">
        <f t="shared" si="23"/>
        <v>0.11667676403748836</v>
      </c>
      <c r="Q63" s="7">
        <f t="shared" si="24"/>
        <v>-3.1083289561153041E-2</v>
      </c>
      <c r="S63" s="4"/>
    </row>
    <row r="64" spans="2:37" x14ac:dyDescent="0.3">
      <c r="B64" s="7">
        <v>0.13551568628929422</v>
      </c>
      <c r="C64" s="7">
        <f t="shared" si="25"/>
        <v>5.1872115697618681E-2</v>
      </c>
      <c r="D64" s="7">
        <f t="shared" si="17"/>
        <v>1.8336820292030237E-2</v>
      </c>
      <c r="E64" s="7">
        <f t="shared" si="18"/>
        <v>1.3850037255238607E-2</v>
      </c>
      <c r="F64" s="7">
        <f t="shared" si="26"/>
        <v>1.3849151769462499E-2</v>
      </c>
      <c r="G64" s="7">
        <f t="shared" si="27"/>
        <v>0.13623404812816553</v>
      </c>
      <c r="H64" s="7">
        <f t="shared" si="28"/>
        <v>-3.3530320975014662E-2</v>
      </c>
      <c r="P64" s="7">
        <f t="shared" si="23"/>
        <v>0.13623404812816553</v>
      </c>
      <c r="Q64" s="7">
        <f t="shared" si="24"/>
        <v>-3.3530320975014662E-2</v>
      </c>
      <c r="S64" s="4"/>
    </row>
    <row r="65" spans="2:19" x14ac:dyDescent="0.3">
      <c r="B65" s="7">
        <v>0.15772644703565569</v>
      </c>
      <c r="C65" s="7">
        <f t="shared" si="25"/>
        <v>5.4369236117715831E-2</v>
      </c>
      <c r="D65" s="7">
        <f t="shared" ref="D65:D96" si="29" xml:space="preserve"> IF(B65&lt;$A$10, ($A$12/6)*((B65^3)-3*$A$10*(B65^2)+($A$10^2)*(3-$A$10)*B65), (($A$12*($A$10^3))/6)*(1-B65))</f>
        <v>1.8409217925482696E-2</v>
      </c>
      <c r="E65" s="7">
        <f t="shared" ref="E65:E96" si="30">IF(B65&lt;$A$10, ($A$12/6)*(3*(B65^2)-6*$A$10*B65+($A$10^2)*(3-$A$10)), -($A$12*($A$10^3))/6)</f>
        <v>-6.0189089499736448E-3</v>
      </c>
      <c r="F65" s="7">
        <f t="shared" si="26"/>
        <v>-6.0188362686837216E-3</v>
      </c>
      <c r="G65" s="7">
        <f t="shared" si="27"/>
        <v>0.15739920948119066</v>
      </c>
      <c r="H65" s="7">
        <f t="shared" si="28"/>
        <v>-3.5959033394629518E-2</v>
      </c>
      <c r="P65" s="7">
        <f t="shared" ref="P65:P96" si="31">G65*COS($A$14)+H65*SIN($A$14)</f>
        <v>0.15739920948119066</v>
      </c>
      <c r="Q65" s="7">
        <f t="shared" ref="Q65:Q96" si="32">-G65*SIN($A$14)+H65*COS($A$14)</f>
        <v>-3.5959033394629518E-2</v>
      </c>
      <c r="S65" s="4"/>
    </row>
    <row r="66" spans="2:19" x14ac:dyDescent="0.3">
      <c r="B66" s="7">
        <v>0.18128800512565513</v>
      </c>
      <c r="C66" s="7">
        <f t="shared" si="25"/>
        <v>5.6390216514788358E-2</v>
      </c>
      <c r="D66" s="7">
        <f t="shared" si="29"/>
        <v>1.8103070795910694E-2</v>
      </c>
      <c r="E66" s="7">
        <f t="shared" si="30"/>
        <v>-1.8491679633496252E-2</v>
      </c>
      <c r="F66" s="7">
        <f t="shared" si="26"/>
        <v>-1.8489572370514899E-2</v>
      </c>
      <c r="G66" s="7">
        <f t="shared" si="27"/>
        <v>0.18024543354178371</v>
      </c>
      <c r="H66" s="7">
        <f t="shared" si="28"/>
        <v>-3.8277507092908558E-2</v>
      </c>
      <c r="P66" s="7">
        <f t="shared" si="31"/>
        <v>0.18024543354178371</v>
      </c>
      <c r="Q66" s="7">
        <f t="shared" si="32"/>
        <v>-3.8277507092908558E-2</v>
      </c>
      <c r="S66" s="4"/>
    </row>
    <row r="67" spans="2:19" x14ac:dyDescent="0.3">
      <c r="B67" s="7">
        <v>0.20610737385376338</v>
      </c>
      <c r="C67" s="7">
        <f t="shared" si="25"/>
        <v>5.7934700979297427E-2</v>
      </c>
      <c r="D67" s="7">
        <f t="shared" si="29"/>
        <v>1.7579526203452222E-2</v>
      </c>
      <c r="E67" s="7">
        <f t="shared" si="30"/>
        <v>-2.2143455707338989E-2</v>
      </c>
      <c r="F67" s="7">
        <f t="shared" si="26"/>
        <v>-2.2139837552109447E-2</v>
      </c>
      <c r="G67" s="7">
        <f t="shared" si="27"/>
        <v>0.20482481377070447</v>
      </c>
      <c r="H67" s="7">
        <f t="shared" si="28"/>
        <v>-4.0340976359922953E-2</v>
      </c>
      <c r="P67" s="7">
        <f t="shared" si="31"/>
        <v>0.20482481377070447</v>
      </c>
      <c r="Q67" s="7">
        <f t="shared" si="32"/>
        <v>-4.0340976359922953E-2</v>
      </c>
      <c r="S67" s="4"/>
    </row>
    <row r="68" spans="2:19" x14ac:dyDescent="0.3">
      <c r="B68" s="7">
        <v>0.23208660251050173</v>
      </c>
      <c r="C68" s="7">
        <f t="shared" si="25"/>
        <v>5.9019908171689187E-2</v>
      </c>
      <c r="D68" s="7">
        <f t="shared" si="29"/>
        <v>1.7004256304380905E-2</v>
      </c>
      <c r="E68" s="7">
        <f t="shared" si="30"/>
        <v>-2.2143455707338989E-2</v>
      </c>
      <c r="F68" s="7">
        <f t="shared" si="26"/>
        <v>-2.2139837552109447E-2</v>
      </c>
      <c r="G68" s="7">
        <f t="shared" si="27"/>
        <v>0.23078001807928389</v>
      </c>
      <c r="H68" s="7">
        <f t="shared" si="28"/>
        <v>-4.2001187492939386E-2</v>
      </c>
      <c r="P68" s="7">
        <f t="shared" si="31"/>
        <v>0.23078001807928389</v>
      </c>
      <c r="Q68" s="7">
        <f t="shared" si="32"/>
        <v>-4.2001187492939386E-2</v>
      </c>
      <c r="S68" s="4"/>
    </row>
    <row r="69" spans="2:19" x14ac:dyDescent="0.3">
      <c r="B69" s="7">
        <v>0.25912316294914239</v>
      </c>
      <c r="C69" s="7">
        <f t="shared" si="25"/>
        <v>5.9681190453443243E-2</v>
      </c>
      <c r="D69" s="7">
        <f t="shared" si="29"/>
        <v>1.640557342582907E-2</v>
      </c>
      <c r="E69" s="7">
        <f t="shared" si="30"/>
        <v>-2.2143455707338989E-2</v>
      </c>
      <c r="F69" s="7">
        <f t="shared" si="26"/>
        <v>-2.2139837552109447E-2</v>
      </c>
      <c r="G69" s="7">
        <f t="shared" si="27"/>
        <v>0.25780193903167753</v>
      </c>
      <c r="H69" s="7">
        <f t="shared" si="28"/>
        <v>-4.3260990588701587E-2</v>
      </c>
      <c r="P69" s="7">
        <f t="shared" si="31"/>
        <v>0.25780193903167753</v>
      </c>
      <c r="Q69" s="7">
        <f t="shared" si="32"/>
        <v>-4.3260990588701587E-2</v>
      </c>
      <c r="S69" s="4"/>
    </row>
    <row r="70" spans="2:19" x14ac:dyDescent="0.3">
      <c r="B70" s="7">
        <v>0.28711035421746367</v>
      </c>
      <c r="C70" s="7">
        <f t="shared" si="25"/>
        <v>5.9971895376437434E-2</v>
      </c>
      <c r="D70" s="7">
        <f t="shared" si="29"/>
        <v>1.5785840295606174E-2</v>
      </c>
      <c r="E70" s="7">
        <f t="shared" si="30"/>
        <v>-2.2143455707338989E-2</v>
      </c>
      <c r="F70" s="7">
        <f t="shared" si="26"/>
        <v>-2.2139837552109447E-2</v>
      </c>
      <c r="G70" s="7">
        <f t="shared" si="27"/>
        <v>0.28578269466601991</v>
      </c>
      <c r="H70" s="7">
        <f t="shared" si="28"/>
        <v>-4.4171357397063037E-2</v>
      </c>
      <c r="P70" s="7">
        <f t="shared" si="31"/>
        <v>0.28578269466601991</v>
      </c>
      <c r="Q70" s="7">
        <f t="shared" si="32"/>
        <v>-4.4171357397063037E-2</v>
      </c>
      <c r="S70" s="4"/>
    </row>
    <row r="71" spans="2:19" x14ac:dyDescent="0.3">
      <c r="B71" s="7">
        <v>0.31593772365766093</v>
      </c>
      <c r="C71" s="7">
        <f t="shared" si="25"/>
        <v>5.995973141344426E-2</v>
      </c>
      <c r="D71" s="7">
        <f t="shared" si="29"/>
        <v>1.5147502717248068E-2</v>
      </c>
      <c r="E71" s="7">
        <f t="shared" si="30"/>
        <v>-2.2143455707338989E-2</v>
      </c>
      <c r="F71" s="7">
        <f t="shared" si="26"/>
        <v>-2.2139837552109447E-2</v>
      </c>
      <c r="G71" s="7">
        <f t="shared" si="27"/>
        <v>0.31461033339238109</v>
      </c>
      <c r="H71" s="7">
        <f t="shared" si="28"/>
        <v>-4.4797533993525707E-2</v>
      </c>
      <c r="P71" s="7">
        <f t="shared" si="31"/>
        <v>0.31461033339238109</v>
      </c>
      <c r="Q71" s="7">
        <f t="shared" si="32"/>
        <v>-4.4797533993525707E-2</v>
      </c>
      <c r="S71" s="4"/>
    </row>
    <row r="72" spans="2:19" x14ac:dyDescent="0.3">
      <c r="B72" s="7">
        <v>0.34549150281252627</v>
      </c>
      <c r="C72" s="7">
        <f t="shared" si="25"/>
        <v>5.9675369048668783E-2</v>
      </c>
      <c r="D72" s="7">
        <f t="shared" si="29"/>
        <v>1.449307991754783E-2</v>
      </c>
      <c r="E72" s="7">
        <f t="shared" si="30"/>
        <v>-2.2143455707338989E-2</v>
      </c>
      <c r="F72" s="7">
        <f t="shared" si="26"/>
        <v>-2.2139837552109447E-2</v>
      </c>
      <c r="G72" s="7">
        <f t="shared" si="27"/>
        <v>0.34417040776948837</v>
      </c>
      <c r="H72" s="7">
        <f t="shared" si="28"/>
        <v>-4.5167664118896077E-2</v>
      </c>
      <c r="P72" s="7">
        <f t="shared" si="31"/>
        <v>0.34417040776948837</v>
      </c>
      <c r="Q72" s="7">
        <f t="shared" si="32"/>
        <v>-4.5167664118896077E-2</v>
      </c>
      <c r="S72" s="4"/>
    </row>
    <row r="73" spans="2:19" x14ac:dyDescent="0.3">
      <c r="B73" s="7">
        <v>0.37565505641757263</v>
      </c>
      <c r="C73" s="7">
        <f t="shared" si="25"/>
        <v>5.9111871515674819E-2</v>
      </c>
      <c r="D73" s="7">
        <f t="shared" si="29"/>
        <v>1.3825154604318539E-2</v>
      </c>
      <c r="E73" s="7">
        <f t="shared" si="30"/>
        <v>-2.2143455707338989E-2</v>
      </c>
      <c r="F73" s="7">
        <f t="shared" si="26"/>
        <v>-2.2139837552109447E-2</v>
      </c>
      <c r="G73" s="7">
        <f t="shared" si="27"/>
        <v>0.37434643609919033</v>
      </c>
      <c r="H73" s="7">
        <f t="shared" si="28"/>
        <v>-4.5272229998961203E-2</v>
      </c>
      <c r="P73" s="7">
        <f t="shared" si="31"/>
        <v>0.37434643609919033</v>
      </c>
      <c r="Q73" s="7">
        <f t="shared" si="32"/>
        <v>-4.5272229998961203E-2</v>
      </c>
      <c r="S73" s="4"/>
    </row>
    <row r="74" spans="2:19" x14ac:dyDescent="0.3">
      <c r="B74" s="7">
        <v>0.40630934270713764</v>
      </c>
      <c r="C74" s="7">
        <f t="shared" si="25"/>
        <v>5.8265864735147603E-2</v>
      </c>
      <c r="D74" s="7">
        <f t="shared" si="29"/>
        <v>1.3146362773625469E-2</v>
      </c>
      <c r="E74" s="7">
        <f t="shared" si="30"/>
        <v>-2.2143455707338989E-2</v>
      </c>
      <c r="F74" s="7">
        <f t="shared" si="26"/>
        <v>-2.2139837552109447E-2</v>
      </c>
      <c r="G74" s="7">
        <f t="shared" si="27"/>
        <v>0.40501945131128986</v>
      </c>
      <c r="H74" s="7">
        <f t="shared" si="28"/>
        <v>-4.510522238524755E-2</v>
      </c>
      <c r="P74" s="7">
        <f t="shared" si="31"/>
        <v>0.40501945131128986</v>
      </c>
      <c r="Q74" s="7">
        <f t="shared" si="32"/>
        <v>-4.510522238524755E-2</v>
      </c>
      <c r="S74" s="4"/>
    </row>
    <row r="75" spans="2:19" x14ac:dyDescent="0.3">
      <c r="B75" s="7">
        <v>0.43733338321784776</v>
      </c>
      <c r="C75" s="7">
        <f t="shared" si="25"/>
        <v>5.71389994207223E-2</v>
      </c>
      <c r="D75" s="7">
        <f t="shared" si="29"/>
        <v>1.2459383306713869E-2</v>
      </c>
      <c r="E75" s="7">
        <f t="shared" si="30"/>
        <v>-2.2143455707338989E-2</v>
      </c>
      <c r="F75" s="7">
        <f t="shared" si="26"/>
        <v>-2.2139837552109447E-2</v>
      </c>
      <c r="G75" s="7">
        <f t="shared" si="27"/>
        <v>0.43606843839886728</v>
      </c>
      <c r="H75" s="7">
        <f t="shared" si="28"/>
        <v>-4.4665612705594424E-2</v>
      </c>
      <c r="P75" s="7">
        <f t="shared" si="31"/>
        <v>0.43606843839886728</v>
      </c>
      <c r="Q75" s="7">
        <f t="shared" si="32"/>
        <v>-4.4665612705594424E-2</v>
      </c>
      <c r="S75" s="4"/>
    </row>
    <row r="76" spans="2:19" x14ac:dyDescent="0.3">
      <c r="B76" s="7">
        <v>0.46860474023534326</v>
      </c>
      <c r="C76" s="7">
        <f t="shared" si="25"/>
        <v>5.573780922030297E-2</v>
      </c>
      <c r="D76" s="7">
        <f t="shared" si="29"/>
        <v>1.1766927397688573E-2</v>
      </c>
      <c r="E76" s="7">
        <f t="shared" si="30"/>
        <v>-2.2143455707338989E-2</v>
      </c>
      <c r="F76" s="7">
        <f t="shared" si="26"/>
        <v>-2.2139837552109447E-2</v>
      </c>
      <c r="G76" s="7">
        <f t="shared" si="27"/>
        <v>0.467370815005477</v>
      </c>
      <c r="H76" s="7">
        <f t="shared" si="28"/>
        <v>-4.3957221812559497E-2</v>
      </c>
      <c r="P76" s="7">
        <f t="shared" si="31"/>
        <v>0.467370815005477</v>
      </c>
      <c r="Q76" s="7">
        <f t="shared" si="32"/>
        <v>-4.3957221812559497E-2</v>
      </c>
      <c r="S76" s="4"/>
    </row>
    <row r="77" spans="2:19" x14ac:dyDescent="0.3">
      <c r="B77" s="7">
        <v>0.49999999999999994</v>
      </c>
      <c r="C77" s="7">
        <f t="shared" si="25"/>
        <v>5.4073469387755112E-2</v>
      </c>
      <c r="D77" s="7">
        <f t="shared" si="29"/>
        <v>1.1071727853669494E-2</v>
      </c>
      <c r="E77" s="7">
        <f t="shared" si="30"/>
        <v>-2.2143455707338989E-2</v>
      </c>
      <c r="F77" s="7">
        <f t="shared" si="26"/>
        <v>-2.2139837552109447E-2</v>
      </c>
      <c r="G77" s="7">
        <f t="shared" si="27"/>
        <v>0.49880291997340198</v>
      </c>
      <c r="H77" s="7">
        <f t="shared" si="28"/>
        <v>-4.298848941409969E-2</v>
      </c>
      <c r="P77" s="7">
        <f t="shared" si="31"/>
        <v>0.49880291997340198</v>
      </c>
      <c r="Q77" s="7">
        <f t="shared" si="32"/>
        <v>-4.298848941409969E-2</v>
      </c>
      <c r="S77" s="4"/>
    </row>
    <row r="78" spans="2:19" x14ac:dyDescent="0.3">
      <c r="B78" s="7">
        <v>0.53139525976465674</v>
      </c>
      <c r="C78" s="7">
        <f t="shared" si="25"/>
        <v>5.2161466806696678E-2</v>
      </c>
      <c r="D78" s="7">
        <f t="shared" si="29"/>
        <v>1.0376528309650416E-2</v>
      </c>
      <c r="E78" s="7">
        <f t="shared" si="30"/>
        <v>-2.2143455707338989E-2</v>
      </c>
      <c r="F78" s="7">
        <f t="shared" si="26"/>
        <v>-2.2139837552109447E-2</v>
      </c>
      <c r="G78" s="7">
        <f t="shared" si="27"/>
        <v>0.53024050770640452</v>
      </c>
      <c r="H78" s="7">
        <f t="shared" si="28"/>
        <v>-4.1772154963372707E-2</v>
      </c>
      <c r="P78" s="7">
        <f t="shared" si="31"/>
        <v>0.53024050770640452</v>
      </c>
      <c r="Q78" s="7">
        <f t="shared" si="32"/>
        <v>-4.1772154963372707E-2</v>
      </c>
      <c r="S78" s="4"/>
    </row>
    <row r="79" spans="2:19" x14ac:dyDescent="0.3">
      <c r="B79" s="7">
        <v>0.56266661678215213</v>
      </c>
      <c r="C79" s="7">
        <f t="shared" si="25"/>
        <v>5.0021194150236162E-2</v>
      </c>
      <c r="D79" s="7">
        <f t="shared" si="29"/>
        <v>9.6840724006251218E-3</v>
      </c>
      <c r="E79" s="7">
        <f t="shared" si="30"/>
        <v>-2.2143455707338989E-2</v>
      </c>
      <c r="F79" s="7">
        <f t="shared" si="26"/>
        <v>-2.2139837552109447E-2</v>
      </c>
      <c r="G79" s="7">
        <f t="shared" si="27"/>
        <v>0.56155924614176589</v>
      </c>
      <c r="H79" s="7">
        <f t="shared" si="28"/>
        <v>-4.0324862745810777E-2</v>
      </c>
      <c r="P79" s="7">
        <f t="shared" si="31"/>
        <v>0.56155924614176589</v>
      </c>
      <c r="Q79" s="7">
        <f t="shared" si="32"/>
        <v>-4.0324862745810777E-2</v>
      </c>
      <c r="S79" s="4"/>
    </row>
    <row r="80" spans="2:19" x14ac:dyDescent="0.3">
      <c r="B80" s="7">
        <v>0.5936906572928623</v>
      </c>
      <c r="C80" s="7">
        <f t="shared" si="25"/>
        <v>4.7675482444077301E-2</v>
      </c>
      <c r="D80" s="7">
        <f t="shared" si="29"/>
        <v>8.9970929337135214E-3</v>
      </c>
      <c r="E80" s="7">
        <f t="shared" si="30"/>
        <v>-2.2143455707338989E-2</v>
      </c>
      <c r="F80" s="7">
        <f t="shared" si="26"/>
        <v>-2.2139837552109447E-2</v>
      </c>
      <c r="G80" s="7">
        <f t="shared" si="27"/>
        <v>0.59263521608595593</v>
      </c>
      <c r="H80" s="7">
        <f t="shared" si="28"/>
        <v>-3.8666705384656858E-2</v>
      </c>
      <c r="P80" s="7">
        <f t="shared" si="31"/>
        <v>0.59263521608595593</v>
      </c>
      <c r="Q80" s="7">
        <f t="shared" si="32"/>
        <v>-3.8666705384656858E-2</v>
      </c>
      <c r="S80" s="4"/>
    </row>
    <row r="81" spans="2:19" x14ac:dyDescent="0.3">
      <c r="B81" s="7">
        <v>0.62434494358242743</v>
      </c>
      <c r="C81" s="7">
        <f t="shared" si="25"/>
        <v>4.5150087271825332E-2</v>
      </c>
      <c r="D81" s="7">
        <f t="shared" si="29"/>
        <v>8.3183011030204465E-3</v>
      </c>
      <c r="E81" s="7">
        <f t="shared" si="30"/>
        <v>-2.2143455707338989E-2</v>
      </c>
      <c r="F81" s="7">
        <f t="shared" si="26"/>
        <v>-2.2139837552109447E-2</v>
      </c>
      <c r="G81" s="7">
        <f t="shared" si="27"/>
        <v>0.62334540964676144</v>
      </c>
      <c r="H81" s="7">
        <f t="shared" si="28"/>
        <v>-3.6820720957331014E-2</v>
      </c>
      <c r="P81" s="7">
        <f t="shared" si="31"/>
        <v>0.62334540964676144</v>
      </c>
      <c r="Q81" s="7">
        <f t="shared" si="32"/>
        <v>-3.6820720957331014E-2</v>
      </c>
      <c r="S81" s="4"/>
    </row>
    <row r="82" spans="2:19" x14ac:dyDescent="0.3">
      <c r="B82" s="7">
        <v>0.6545084971874735</v>
      </c>
      <c r="C82" s="7">
        <f t="shared" si="25"/>
        <v>4.2473144305270931E-2</v>
      </c>
      <c r="D82" s="7">
        <f t="shared" si="29"/>
        <v>7.6503757897911639E-3</v>
      </c>
      <c r="E82" s="7">
        <f t="shared" si="30"/>
        <v>-2.2143455707338989E-2</v>
      </c>
      <c r="F82" s="7">
        <f t="shared" si="26"/>
        <v>-2.2139837552109447E-2</v>
      </c>
      <c r="G82" s="7">
        <f t="shared" si="27"/>
        <v>0.65356822549249394</v>
      </c>
      <c r="H82" s="7">
        <f t="shared" si="28"/>
        <v>-3.4812359358995341E-2</v>
      </c>
      <c r="P82" s="7">
        <f t="shared" si="31"/>
        <v>0.65356822549249394</v>
      </c>
      <c r="Q82" s="7">
        <f t="shared" si="32"/>
        <v>-3.4812359358995341E-2</v>
      </c>
      <c r="S82" s="4"/>
    </row>
    <row r="83" spans="2:19" x14ac:dyDescent="0.3">
      <c r="B83" s="7">
        <v>0.68406227634233885</v>
      </c>
      <c r="C83" s="7">
        <f t="shared" si="25"/>
        <v>3.9674609762097648E-2</v>
      </c>
      <c r="D83" s="7">
        <f t="shared" si="29"/>
        <v>6.9959529900909248E-3</v>
      </c>
      <c r="E83" s="7">
        <f t="shared" si="30"/>
        <v>-2.2143455707338989E-2</v>
      </c>
      <c r="F83" s="7">
        <f t="shared" si="26"/>
        <v>-2.2139837552109447E-2</v>
      </c>
      <c r="G83" s="7">
        <f t="shared" si="27"/>
        <v>0.68318395868587956</v>
      </c>
      <c r="H83" s="7">
        <f t="shared" si="28"/>
        <v>-3.2668933469712363E-2</v>
      </c>
      <c r="P83" s="7">
        <f t="shared" si="31"/>
        <v>0.68318395868587956</v>
      </c>
      <c r="Q83" s="7">
        <f t="shared" si="32"/>
        <v>-3.2668933469712363E-2</v>
      </c>
      <c r="S83" s="4"/>
    </row>
    <row r="84" spans="2:19" x14ac:dyDescent="0.3">
      <c r="B84" s="7">
        <v>0.71288964578253633</v>
      </c>
      <c r="C84" s="7">
        <f t="shared" si="25"/>
        <v>3.6785700810176354E-2</v>
      </c>
      <c r="D84" s="7">
        <f t="shared" si="29"/>
        <v>6.357615411732815E-3</v>
      </c>
      <c r="E84" s="7">
        <f t="shared" si="30"/>
        <v>-2.2143455707338989E-2</v>
      </c>
      <c r="F84" s="7">
        <f t="shared" si="26"/>
        <v>-2.2139837552109447E-2</v>
      </c>
      <c r="G84" s="7">
        <f t="shared" si="27"/>
        <v>0.71207528287586763</v>
      </c>
      <c r="H84" s="7">
        <f t="shared" si="28"/>
        <v>-3.0419070098955222E-2</v>
      </c>
      <c r="P84" s="7">
        <f t="shared" si="31"/>
        <v>0.71207528287586763</v>
      </c>
      <c r="Q84" s="7">
        <f t="shared" si="32"/>
        <v>-3.0419070098955222E-2</v>
      </c>
      <c r="S84" s="4"/>
    </row>
    <row r="85" spans="2:19" x14ac:dyDescent="0.3">
      <c r="B85" s="7">
        <v>0.74087683705085772</v>
      </c>
      <c r="C85" s="7">
        <f t="shared" si="25"/>
        <v>3.383834988975392E-2</v>
      </c>
      <c r="D85" s="7">
        <f t="shared" si="29"/>
        <v>5.7378822815099158E-3</v>
      </c>
      <c r="E85" s="7">
        <f t="shared" si="30"/>
        <v>-2.2143455707338989E-2</v>
      </c>
      <c r="F85" s="7">
        <f t="shared" si="26"/>
        <v>-2.2139837552109447E-2</v>
      </c>
      <c r="G85" s="7">
        <f t="shared" si="27"/>
        <v>0.74012772268396576</v>
      </c>
      <c r="H85" s="7">
        <f t="shared" si="28"/>
        <v>-2.8092174634296852E-2</v>
      </c>
      <c r="P85" s="7">
        <f t="shared" si="31"/>
        <v>0.74012772268396576</v>
      </c>
      <c r="Q85" s="7">
        <f t="shared" si="32"/>
        <v>-2.8092174634296852E-2</v>
      </c>
      <c r="S85" s="4"/>
    </row>
    <row r="86" spans="2:19" x14ac:dyDescent="0.3">
      <c r="B86" s="7">
        <v>0.76791339748949849</v>
      </c>
      <c r="C86" s="7">
        <f t="shared" si="25"/>
        <v>3.086468546622656E-2</v>
      </c>
      <c r="D86" s="7">
        <f t="shared" si="29"/>
        <v>5.1391994029580798E-3</v>
      </c>
      <c r="E86" s="7">
        <f t="shared" si="30"/>
        <v>-2.2143455707338989E-2</v>
      </c>
      <c r="F86" s="7">
        <f t="shared" si="26"/>
        <v>-2.2139837552109447E-2</v>
      </c>
      <c r="G86" s="7">
        <f t="shared" si="27"/>
        <v>0.7672301141914748</v>
      </c>
      <c r="H86" s="7">
        <f t="shared" si="28"/>
        <v>-2.5717921863675639E-2</v>
      </c>
      <c r="P86" s="7">
        <f t="shared" si="31"/>
        <v>0.7672301141914748</v>
      </c>
      <c r="Q86" s="7">
        <f t="shared" si="32"/>
        <v>-2.5717921863675639E-2</v>
      </c>
      <c r="S86" s="4"/>
    </row>
    <row r="87" spans="2:19" x14ac:dyDescent="0.3">
      <c r="B87" s="7">
        <v>0.79389262614623646</v>
      </c>
      <c r="C87" s="7">
        <f t="shared" si="25"/>
        <v>2.7896549923869727E-2</v>
      </c>
      <c r="D87" s="7">
        <f t="shared" si="29"/>
        <v>4.5639295038867713E-3</v>
      </c>
      <c r="E87" s="7">
        <f t="shared" si="30"/>
        <v>-2.2143455707338989E-2</v>
      </c>
      <c r="F87" s="7">
        <f t="shared" si="26"/>
        <v>-2.2139837552109447E-2</v>
      </c>
      <c r="G87" s="7">
        <f t="shared" si="27"/>
        <v>0.79327505151855005</v>
      </c>
      <c r="H87" s="7">
        <f t="shared" si="28"/>
        <v>-2.3325783639747282E-2</v>
      </c>
      <c r="P87" s="7">
        <f t="shared" si="31"/>
        <v>0.79327505151855005</v>
      </c>
      <c r="Q87" s="7">
        <f t="shared" si="32"/>
        <v>-2.3325783639747282E-2</v>
      </c>
      <c r="S87" s="4"/>
    </row>
    <row r="88" spans="2:19" x14ac:dyDescent="0.3">
      <c r="B88" s="7">
        <v>0.81871199487434487</v>
      </c>
      <c r="C88" s="7">
        <f t="shared" si="25"/>
        <v>2.4965063242580316E-2</v>
      </c>
      <c r="D88" s="7">
        <f t="shared" si="29"/>
        <v>4.014342911771788E-3</v>
      </c>
      <c r="E88" s="7">
        <f t="shared" si="30"/>
        <v>-2.2143455707338989E-2</v>
      </c>
      <c r="F88" s="7">
        <f t="shared" si="26"/>
        <v>-2.2139837552109447E-2</v>
      </c>
      <c r="G88" s="7">
        <f t="shared" si="27"/>
        <v>0.81815931758345117</v>
      </c>
      <c r="H88" s="7">
        <f t="shared" si="28"/>
        <v>-2.0944601988166698E-2</v>
      </c>
      <c r="P88" s="7">
        <f t="shared" si="31"/>
        <v>0.81815931758345117</v>
      </c>
      <c r="Q88" s="7">
        <f t="shared" si="32"/>
        <v>-2.0944601988166698E-2</v>
      </c>
      <c r="S88" s="4"/>
    </row>
    <row r="89" spans="2:19" x14ac:dyDescent="0.3">
      <c r="B89" s="7">
        <v>0.84227355296434436</v>
      </c>
      <c r="C89" s="7">
        <f t="shared" si="25"/>
        <v>2.2100238850739813E-2</v>
      </c>
      <c r="D89" s="7">
        <f t="shared" si="29"/>
        <v>3.4926085938099894E-3</v>
      </c>
      <c r="E89" s="7">
        <f t="shared" si="30"/>
        <v>-2.2143455707338989E-2</v>
      </c>
      <c r="F89" s="7">
        <f t="shared" si="26"/>
        <v>-2.2139837552109447E-2</v>
      </c>
      <c r="G89" s="7">
        <f t="shared" si="27"/>
        <v>0.84178429723855486</v>
      </c>
      <c r="H89" s="7">
        <f t="shared" si="28"/>
        <v>-1.8602214014541762E-2</v>
      </c>
      <c r="P89" s="7">
        <f t="shared" si="31"/>
        <v>0.84178429723855486</v>
      </c>
      <c r="Q89" s="7">
        <f t="shared" si="32"/>
        <v>-1.8602214014541762E-2</v>
      </c>
      <c r="S89" s="4"/>
    </row>
    <row r="90" spans="2:19" x14ac:dyDescent="0.3">
      <c r="B90" s="7">
        <v>0.86448431371070567</v>
      </c>
      <c r="C90" s="7">
        <f t="shared" si="25"/>
        <v>1.9330655707539428E-2</v>
      </c>
      <c r="D90" s="7">
        <f t="shared" si="29"/>
        <v>3.0007855969966346E-3</v>
      </c>
      <c r="E90" s="7">
        <f t="shared" si="30"/>
        <v>-2.2143455707338989E-2</v>
      </c>
      <c r="F90" s="7">
        <f t="shared" si="26"/>
        <v>-2.2139837552109447E-2</v>
      </c>
      <c r="G90" s="7">
        <f t="shared" si="27"/>
        <v>0.8640563710965079</v>
      </c>
      <c r="H90" s="7">
        <f t="shared" si="28"/>
        <v>-1.6325132627045925E-2</v>
      </c>
      <c r="P90" s="7">
        <f t="shared" si="31"/>
        <v>0.8640563710965079</v>
      </c>
      <c r="Q90" s="7">
        <f t="shared" si="32"/>
        <v>-1.6325132627045925E-2</v>
      </c>
      <c r="S90" s="4"/>
    </row>
    <row r="91" spans="2:19" x14ac:dyDescent="0.3">
      <c r="B91" s="7">
        <v>0.88525662138789452</v>
      </c>
      <c r="C91" s="7">
        <f t="shared" si="25"/>
        <v>1.6683188328449502E-2</v>
      </c>
      <c r="D91" s="7">
        <f t="shared" si="29"/>
        <v>2.5408149220075855E-3</v>
      </c>
      <c r="E91" s="7">
        <f t="shared" si="30"/>
        <v>-2.2143455707338989E-2</v>
      </c>
      <c r="F91" s="7">
        <f t="shared" si="26"/>
        <v>-2.2139837552109447E-2</v>
      </c>
      <c r="G91" s="7">
        <f t="shared" si="27"/>
        <v>0.88488728848297682</v>
      </c>
      <c r="H91" s="7">
        <f t="shared" si="28"/>
        <v>-1.4138284754169747E-2</v>
      </c>
      <c r="P91" s="7">
        <f t="shared" si="31"/>
        <v>0.88488728848297682</v>
      </c>
      <c r="Q91" s="7">
        <f t="shared" si="32"/>
        <v>-1.4138284754169747E-2</v>
      </c>
      <c r="S91" s="4"/>
    </row>
    <row r="92" spans="2:19" x14ac:dyDescent="0.3">
      <c r="B92" s="7">
        <v>0.90450849718747373</v>
      </c>
      <c r="C92" s="7">
        <f t="shared" si="25"/>
        <v>1.4182794216637342E-2</v>
      </c>
      <c r="D92" s="7">
        <f t="shared" si="29"/>
        <v>2.114511862956412E-3</v>
      </c>
      <c r="E92" s="7">
        <f t="shared" si="30"/>
        <v>-2.2143455707338989E-2</v>
      </c>
      <c r="F92" s="7">
        <f t="shared" si="26"/>
        <v>-2.2139837552109447E-2</v>
      </c>
      <c r="G92" s="7">
        <f t="shared" si="27"/>
        <v>0.9041945180795985</v>
      </c>
      <c r="H92" s="7">
        <f t="shared" si="28"/>
        <v>-1.2064806488477112E-2</v>
      </c>
      <c r="P92" s="7">
        <f t="shared" si="31"/>
        <v>0.9041945180795985</v>
      </c>
      <c r="Q92" s="7">
        <f t="shared" si="32"/>
        <v>-1.2064806488477112E-2</v>
      </c>
      <c r="S92" s="4"/>
    </row>
    <row r="93" spans="2:19" x14ac:dyDescent="0.3">
      <c r="B93" s="7">
        <v>0.92216396275100743</v>
      </c>
      <c r="C93" s="7">
        <f t="shared" si="25"/>
        <v>1.1852356084248731E-2</v>
      </c>
      <c r="D93" s="7">
        <f t="shared" si="29"/>
        <v>1.7235588432578546E-3</v>
      </c>
      <c r="E93" s="7">
        <f t="shared" si="30"/>
        <v>-2.2143455707338989E-2</v>
      </c>
      <c r="F93" s="7">
        <f t="shared" si="26"/>
        <v>-2.2139837552109447E-2</v>
      </c>
      <c r="G93" s="7">
        <f t="shared" si="27"/>
        <v>0.92190157494979497</v>
      </c>
      <c r="H93" s="7">
        <f t="shared" si="28"/>
        <v>-1.0125892510691105E-2</v>
      </c>
      <c r="P93" s="7">
        <f t="shared" si="31"/>
        <v>0.92190157494979497</v>
      </c>
      <c r="Q93" s="7">
        <f t="shared" si="32"/>
        <v>-1.0125892510691105E-2</v>
      </c>
      <c r="S93" s="4"/>
    </row>
    <row r="94" spans="2:19" x14ac:dyDescent="0.3">
      <c r="B94" s="7">
        <v>0.93815334002193174</v>
      </c>
      <c r="C94" s="7">
        <f t="shared" si="25"/>
        <v>9.712574415288713E-3</v>
      </c>
      <c r="D94" s="7">
        <f t="shared" si="29"/>
        <v>1.3694987758712095E-3</v>
      </c>
      <c r="E94" s="7">
        <f t="shared" si="30"/>
        <v>-2.2143455707338989E-2</v>
      </c>
      <c r="F94" s="7">
        <f t="shared" si="26"/>
        <v>-2.2139837552109447E-2</v>
      </c>
      <c r="G94" s="7">
        <f t="shared" si="27"/>
        <v>0.93793832276908984</v>
      </c>
      <c r="H94" s="7">
        <f t="shared" si="28"/>
        <v>-8.3406953186616686E-3</v>
      </c>
      <c r="P94" s="7">
        <f t="shared" si="31"/>
        <v>0.93793832276908984</v>
      </c>
      <c r="Q94" s="7">
        <f t="shared" si="32"/>
        <v>-8.3406953186616686E-3</v>
      </c>
      <c r="S94" s="4"/>
    </row>
    <row r="95" spans="2:19" x14ac:dyDescent="0.3">
      <c r="B95" s="7">
        <v>0.95241352623300968</v>
      </c>
      <c r="C95" s="7">
        <f t="shared" si="25"/>
        <v>7.7819043999469185E-3</v>
      </c>
      <c r="D95" s="7">
        <f t="shared" si="29"/>
        <v>1.0537289741277989E-3</v>
      </c>
      <c r="E95" s="7">
        <f t="shared" si="30"/>
        <v>-2.2143455707338989E-2</v>
      </c>
      <c r="F95" s="7">
        <f t="shared" si="26"/>
        <v>-2.2139837552109447E-2</v>
      </c>
      <c r="G95" s="7">
        <f t="shared" si="27"/>
        <v>0.95224125020871264</v>
      </c>
      <c r="H95" s="7">
        <f t="shared" si="28"/>
        <v>-6.7262682663193733E-3</v>
      </c>
      <c r="P95" s="7">
        <f t="shared" si="31"/>
        <v>0.95224125020871264</v>
      </c>
      <c r="Q95" s="7">
        <f t="shared" si="32"/>
        <v>-6.7262682663193733E-3</v>
      </c>
      <c r="S95" s="4"/>
    </row>
    <row r="96" spans="2:19" x14ac:dyDescent="0.3">
      <c r="B96" s="7">
        <v>0.96488824294412567</v>
      </c>
      <c r="C96" s="7">
        <f t="shared" si="25"/>
        <v>6.0765301088078986E-3</v>
      </c>
      <c r="D96" s="7">
        <f t="shared" si="29"/>
        <v>7.7749563717360035E-4</v>
      </c>
      <c r="E96" s="7">
        <f t="shared" si="30"/>
        <v>-2.2143455707338989E-2</v>
      </c>
      <c r="F96" s="7">
        <f t="shared" si="26"/>
        <v>-2.2139837552109447E-2</v>
      </c>
      <c r="G96" s="7">
        <f t="shared" si="27"/>
        <v>0.96475372054512598</v>
      </c>
      <c r="H96" s="7">
        <f t="shared" si="28"/>
        <v>-5.2975452587723949E-3</v>
      </c>
      <c r="P96" s="7">
        <f t="shared" si="31"/>
        <v>0.96475372054512598</v>
      </c>
      <c r="Q96" s="7">
        <f t="shared" si="32"/>
        <v>-5.2975452587723949E-3</v>
      </c>
      <c r="S96" s="4"/>
    </row>
    <row r="97" spans="2:19" x14ac:dyDescent="0.3">
      <c r="B97" s="7">
        <v>0.97552825814757682</v>
      </c>
      <c r="C97" s="7">
        <f t="shared" si="25"/>
        <v>4.6103680095715104E-3</v>
      </c>
      <c r="D97" s="7">
        <f t="shared" ref="D97:D102" si="33" xml:space="preserve"> IF(B97&lt;$A$10, ($A$12/6)*((B97^3)-3*$A$10*(B97^2)+($A$10^2)*(3-$A$10)*B97), (($A$12*($A$10^3))/6)*(1-B97))</f>
        <v>5.4188893179056639E-4</v>
      </c>
      <c r="E97" s="7">
        <f t="shared" ref="E97:E102" si="34">IF(B97&lt;$A$10, ($A$12/6)*(3*(B97^2)-6*$A$10*B97+($A$10^2)*(3-$A$10)), -($A$12*($A$10^3))/6)</f>
        <v>-2.2143455707338989E-2</v>
      </c>
      <c r="F97" s="7">
        <f t="shared" si="26"/>
        <v>-2.2139837552109447E-2</v>
      </c>
      <c r="G97" s="7">
        <f t="shared" si="27"/>
        <v>0.97542619368746331</v>
      </c>
      <c r="H97" s="7">
        <f t="shared" si="28"/>
        <v>-4.0673491863437213E-3</v>
      </c>
      <c r="P97" s="7">
        <f t="shared" ref="P97:P102" si="35">G97*COS($A$14)+H97*SIN($A$14)</f>
        <v>0.97542619368746331</v>
      </c>
      <c r="Q97" s="7">
        <f t="shared" ref="Q97:Q102" si="36">-G97*SIN($A$14)+H97*COS($A$14)</f>
        <v>-4.0673491863437213E-3</v>
      </c>
      <c r="S97" s="4"/>
    </row>
    <row r="98" spans="2:19" x14ac:dyDescent="0.3">
      <c r="B98" s="7">
        <v>0.98429158056431554</v>
      </c>
      <c r="C98" s="7">
        <f t="shared" si="25"/>
        <v>3.3950915775286783E-3</v>
      </c>
      <c r="D98" s="7">
        <f t="shared" si="33"/>
        <v>3.4783869000638178E-4</v>
      </c>
      <c r="E98" s="7">
        <f t="shared" si="34"/>
        <v>-2.2143455707338989E-2</v>
      </c>
      <c r="F98" s="7">
        <f t="shared" si="26"/>
        <v>-2.2139837552109447E-2</v>
      </c>
      <c r="G98" s="7">
        <f t="shared" si="27"/>
        <v>0.98421641992894393</v>
      </c>
      <c r="H98" s="7">
        <f t="shared" si="28"/>
        <v>-3.0464208314057196E-3</v>
      </c>
      <c r="P98" s="7">
        <f t="shared" si="35"/>
        <v>0.98421641992894393</v>
      </c>
      <c r="Q98" s="7">
        <f t="shared" si="36"/>
        <v>-3.0464208314057196E-3</v>
      </c>
      <c r="S98" s="4"/>
    </row>
    <row r="99" spans="2:19" x14ac:dyDescent="0.3">
      <c r="B99" s="7">
        <v>0.99114362536434442</v>
      </c>
      <c r="C99" s="7">
        <f t="shared" si="25"/>
        <v>2.4401688161582585E-3</v>
      </c>
      <c r="D99" s="7">
        <f t="shared" si="33"/>
        <v>1.9611073947223989E-4</v>
      </c>
      <c r="E99" s="7">
        <f t="shared" si="34"/>
        <v>-2.2143455707338989E-2</v>
      </c>
      <c r="F99" s="7">
        <f t="shared" si="26"/>
        <v>-2.2139837552109447E-2</v>
      </c>
      <c r="G99" s="7">
        <f t="shared" si="27"/>
        <v>0.991089604836636</v>
      </c>
      <c r="H99" s="7">
        <f t="shared" si="28"/>
        <v>-2.2434600494038084E-3</v>
      </c>
      <c r="P99" s="7">
        <f t="shared" si="35"/>
        <v>0.991089604836636</v>
      </c>
      <c r="Q99" s="7">
        <f t="shared" si="36"/>
        <v>-2.2434600494038084E-3</v>
      </c>
      <c r="S99" s="4"/>
    </row>
    <row r="100" spans="2:19" x14ac:dyDescent="0.3">
      <c r="B100" s="7">
        <v>0.99605735065723888</v>
      </c>
      <c r="C100" s="7">
        <f t="shared" si="25"/>
        <v>1.7529049711926278E-3</v>
      </c>
      <c r="D100" s="7">
        <f t="shared" si="33"/>
        <v>8.7303881090999979E-5</v>
      </c>
      <c r="E100" s="7">
        <f t="shared" si="34"/>
        <v>-2.2143455707338989E-2</v>
      </c>
      <c r="F100" s="7">
        <f t="shared" si="26"/>
        <v>-2.2139837552109447E-2</v>
      </c>
      <c r="G100" s="7">
        <f t="shared" si="27"/>
        <v>0.99601854479637408</v>
      </c>
      <c r="H100" s="7">
        <f t="shared" si="28"/>
        <v>-1.6651714948256969E-3</v>
      </c>
      <c r="P100" s="7">
        <f t="shared" si="35"/>
        <v>0.99601854479637408</v>
      </c>
      <c r="Q100" s="7">
        <f t="shared" si="36"/>
        <v>-1.6651714948256969E-3</v>
      </c>
      <c r="S100" s="4"/>
    </row>
    <row r="101" spans="2:19" x14ac:dyDescent="0.3">
      <c r="B101" s="7">
        <v>0.99901336421413578</v>
      </c>
      <c r="C101" s="7">
        <f t="shared" si="25"/>
        <v>1.3384835597155971E-3</v>
      </c>
      <c r="D101" s="7">
        <f t="shared" si="33"/>
        <v>2.1847525823559962E-5</v>
      </c>
      <c r="E101" s="7">
        <f t="shared" si="34"/>
        <v>-2.2143455707338989E-2</v>
      </c>
      <c r="F101" s="7">
        <f t="shared" si="26"/>
        <v>-2.2139837552109447E-2</v>
      </c>
      <c r="G101" s="7">
        <f t="shared" si="27"/>
        <v>0.99898373282644404</v>
      </c>
      <c r="H101" s="7">
        <f t="shared" si="28"/>
        <v>-1.3163080034376687E-3</v>
      </c>
      <c r="P101" s="7">
        <f t="shared" si="35"/>
        <v>0.99898373282644404</v>
      </c>
      <c r="Q101" s="7">
        <f t="shared" si="36"/>
        <v>-1.3163080034376687E-3</v>
      </c>
      <c r="S101" s="4"/>
    </row>
    <row r="102" spans="2:19" x14ac:dyDescent="0.3">
      <c r="B102" s="7">
        <v>1</v>
      </c>
      <c r="C102" s="7">
        <f t="shared" si="25"/>
        <v>1.1999999999999999E-3</v>
      </c>
      <c r="D102" s="7">
        <f t="shared" si="33"/>
        <v>0</v>
      </c>
      <c r="E102" s="7">
        <f t="shared" si="34"/>
        <v>-2.2143455707338989E-2</v>
      </c>
      <c r="F102" s="7">
        <f t="shared" si="26"/>
        <v>-2.2139837552109447E-2</v>
      </c>
      <c r="G102" s="7">
        <v>1</v>
      </c>
      <c r="H102" s="7">
        <v>0</v>
      </c>
      <c r="P102" s="7">
        <f t="shared" si="35"/>
        <v>1</v>
      </c>
      <c r="Q102" s="7">
        <f t="shared" si="36"/>
        <v>0</v>
      </c>
      <c r="S102" s="4"/>
    </row>
    <row r="103" spans="2:19" x14ac:dyDescent="0.3">
      <c r="S103" s="4"/>
    </row>
    <row r="104" spans="2:19" x14ac:dyDescent="0.3">
      <c r="S104" s="4"/>
    </row>
    <row r="105" spans="2:19" x14ac:dyDescent="0.3">
      <c r="S105" s="4"/>
    </row>
    <row r="106" spans="2:19" x14ac:dyDescent="0.3">
      <c r="S106" s="4"/>
    </row>
    <row r="107" spans="2:19" x14ac:dyDescent="0.3">
      <c r="S107" s="4"/>
    </row>
    <row r="108" spans="2:19" x14ac:dyDescent="0.3">
      <c r="S108" s="4"/>
    </row>
    <row r="109" spans="2:19" x14ac:dyDescent="0.3">
      <c r="S109" s="4"/>
    </row>
    <row r="110" spans="2:19" x14ac:dyDescent="0.3">
      <c r="S110" s="4"/>
    </row>
    <row r="111" spans="2:19" x14ac:dyDescent="0.3">
      <c r="S111" s="4"/>
    </row>
    <row r="112" spans="2:19" x14ac:dyDescent="0.3">
      <c r="S112" s="4"/>
    </row>
    <row r="113" spans="19:19" x14ac:dyDescent="0.3">
      <c r="S113" s="4"/>
    </row>
    <row r="114" spans="19:19" x14ac:dyDescent="0.3">
      <c r="S114" s="4"/>
    </row>
    <row r="115" spans="19:19" x14ac:dyDescent="0.3">
      <c r="S115" s="4"/>
    </row>
    <row r="116" spans="19:19" x14ac:dyDescent="0.3">
      <c r="S116" s="4"/>
    </row>
    <row r="117" spans="19:19" x14ac:dyDescent="0.3">
      <c r="S117" s="4"/>
    </row>
    <row r="118" spans="19:19" x14ac:dyDescent="0.3">
      <c r="S118" s="4"/>
    </row>
    <row r="119" spans="19:19" x14ac:dyDescent="0.3">
      <c r="S119" s="4"/>
    </row>
    <row r="120" spans="19:19" x14ac:dyDescent="0.3">
      <c r="S120" s="4"/>
    </row>
    <row r="121" spans="19:19" x14ac:dyDescent="0.3">
      <c r="S121" s="4"/>
    </row>
    <row r="122" spans="19:19" x14ac:dyDescent="0.3">
      <c r="S122" s="4"/>
    </row>
    <row r="123" spans="19:19" x14ac:dyDescent="0.3">
      <c r="S123" s="4"/>
    </row>
    <row r="124" spans="19:19" x14ac:dyDescent="0.3">
      <c r="S124" s="4"/>
    </row>
    <row r="125" spans="19:19" x14ac:dyDescent="0.3">
      <c r="S125" s="4"/>
    </row>
    <row r="126" spans="19:19" x14ac:dyDescent="0.3">
      <c r="S126" s="4"/>
    </row>
    <row r="127" spans="19:19" x14ac:dyDescent="0.3">
      <c r="S127" s="4"/>
    </row>
    <row r="128" spans="19:19" x14ac:dyDescent="0.3">
      <c r="S128" s="4"/>
    </row>
    <row r="129" spans="19:19" x14ac:dyDescent="0.3">
      <c r="S129" s="4"/>
    </row>
    <row r="130" spans="19:19" x14ac:dyDescent="0.3">
      <c r="S130" s="4"/>
    </row>
    <row r="131" spans="19:19" x14ac:dyDescent="0.3">
      <c r="S131" s="4"/>
    </row>
    <row r="132" spans="19:19" x14ac:dyDescent="0.3">
      <c r="S132" s="4"/>
    </row>
    <row r="133" spans="19:19" x14ac:dyDescent="0.3">
      <c r="S133" s="4"/>
    </row>
    <row r="134" spans="19:19" x14ac:dyDescent="0.3">
      <c r="S134" s="4"/>
    </row>
    <row r="135" spans="19:19" x14ac:dyDescent="0.3">
      <c r="S135" s="4"/>
    </row>
    <row r="136" spans="19:19" x14ac:dyDescent="0.3">
      <c r="S136" s="4"/>
    </row>
    <row r="137" spans="19:19" x14ac:dyDescent="0.3">
      <c r="S137" s="4"/>
    </row>
    <row r="138" spans="19:19" x14ac:dyDescent="0.3">
      <c r="S138" s="4"/>
    </row>
    <row r="139" spans="19:19" x14ac:dyDescent="0.3">
      <c r="S139" s="4"/>
    </row>
    <row r="140" spans="19:19" x14ac:dyDescent="0.3">
      <c r="S140" s="4"/>
    </row>
    <row r="141" spans="19:19" x14ac:dyDescent="0.3">
      <c r="S141" s="4"/>
    </row>
    <row r="142" spans="19:19" x14ac:dyDescent="0.3">
      <c r="S142" s="4"/>
    </row>
    <row r="143" spans="19:19" x14ac:dyDescent="0.3">
      <c r="S143" s="4"/>
    </row>
    <row r="144" spans="19:19" x14ac:dyDescent="0.3">
      <c r="S144" s="4"/>
    </row>
    <row r="145" spans="19:19" x14ac:dyDescent="0.3">
      <c r="S145" s="4"/>
    </row>
    <row r="146" spans="19:19" x14ac:dyDescent="0.3">
      <c r="S146" s="4"/>
    </row>
    <row r="147" spans="19:19" x14ac:dyDescent="0.3">
      <c r="S147" s="4"/>
    </row>
    <row r="148" spans="19:19" x14ac:dyDescent="0.3">
      <c r="S148" s="4"/>
    </row>
    <row r="149" spans="19:19" x14ac:dyDescent="0.3">
      <c r="S149" s="4"/>
    </row>
    <row r="150" spans="19:19" x14ac:dyDescent="0.3">
      <c r="S150" s="4"/>
    </row>
    <row r="151" spans="19:19" x14ac:dyDescent="0.3">
      <c r="S151" s="4"/>
    </row>
    <row r="152" spans="19:19" x14ac:dyDescent="0.3">
      <c r="S152" s="4"/>
    </row>
    <row r="153" spans="19:19" x14ac:dyDescent="0.3">
      <c r="S153" s="4"/>
    </row>
    <row r="154" spans="19:19" x14ac:dyDescent="0.3">
      <c r="S154" s="4"/>
    </row>
    <row r="155" spans="19:19" x14ac:dyDescent="0.3">
      <c r="S155" s="4"/>
    </row>
    <row r="156" spans="19:19" x14ac:dyDescent="0.3">
      <c r="S156" s="4"/>
    </row>
    <row r="157" spans="19:19" x14ac:dyDescent="0.3">
      <c r="S157" s="4"/>
    </row>
    <row r="158" spans="19:19" x14ac:dyDescent="0.3">
      <c r="S158" s="4"/>
    </row>
    <row r="159" spans="19:19" x14ac:dyDescent="0.3">
      <c r="S159" s="4"/>
    </row>
    <row r="160" spans="19:19" x14ac:dyDescent="0.3">
      <c r="S160" s="4"/>
    </row>
    <row r="161" spans="19:19" x14ac:dyDescent="0.3">
      <c r="S161" s="4"/>
    </row>
    <row r="162" spans="19:19" x14ac:dyDescent="0.3">
      <c r="S162" s="4"/>
    </row>
    <row r="163" spans="19:19" x14ac:dyDescent="0.3">
      <c r="S163" s="4"/>
    </row>
    <row r="164" spans="19:19" x14ac:dyDescent="0.3">
      <c r="S164" s="4"/>
    </row>
    <row r="165" spans="19:19" x14ac:dyDescent="0.3">
      <c r="S165" s="4"/>
    </row>
    <row r="166" spans="19:19" x14ac:dyDescent="0.3">
      <c r="S166" s="4"/>
    </row>
    <row r="167" spans="19:19" x14ac:dyDescent="0.3">
      <c r="S167" s="4"/>
    </row>
    <row r="168" spans="19:19" x14ac:dyDescent="0.3">
      <c r="S168" s="4"/>
    </row>
    <row r="169" spans="19:19" x14ac:dyDescent="0.3">
      <c r="S169" s="4"/>
    </row>
    <row r="170" spans="19:19" x14ac:dyDescent="0.3">
      <c r="S170" s="4"/>
    </row>
    <row r="171" spans="19:19" x14ac:dyDescent="0.3">
      <c r="S171" s="4"/>
    </row>
    <row r="172" spans="19:19" x14ac:dyDescent="0.3">
      <c r="S172" s="4"/>
    </row>
    <row r="173" spans="19:19" x14ac:dyDescent="0.3">
      <c r="S173" s="4"/>
    </row>
    <row r="174" spans="19:19" x14ac:dyDescent="0.3">
      <c r="S174" s="4"/>
    </row>
    <row r="175" spans="19:19" x14ac:dyDescent="0.3">
      <c r="S175" s="4"/>
    </row>
    <row r="176" spans="19:19" x14ac:dyDescent="0.3">
      <c r="S176" s="4"/>
    </row>
    <row r="177" spans="19:19" x14ac:dyDescent="0.3">
      <c r="S177" s="4"/>
    </row>
    <row r="178" spans="19:19" x14ac:dyDescent="0.3">
      <c r="S178" s="4"/>
    </row>
    <row r="179" spans="19:19" x14ac:dyDescent="0.3">
      <c r="S179" s="4"/>
    </row>
    <row r="180" spans="19:19" x14ac:dyDescent="0.3">
      <c r="S180" s="4"/>
    </row>
    <row r="181" spans="19:19" x14ac:dyDescent="0.3">
      <c r="S181" s="4"/>
    </row>
    <row r="182" spans="19:19" x14ac:dyDescent="0.3">
      <c r="S182" s="4"/>
    </row>
    <row r="183" spans="19:19" x14ac:dyDescent="0.3">
      <c r="S183" s="4"/>
    </row>
    <row r="184" spans="19:19" x14ac:dyDescent="0.3">
      <c r="S184" s="4"/>
    </row>
    <row r="185" spans="19:19" x14ac:dyDescent="0.3">
      <c r="S185" s="4"/>
    </row>
    <row r="186" spans="19:19" x14ac:dyDescent="0.3">
      <c r="S186" s="4"/>
    </row>
    <row r="187" spans="19:19" x14ac:dyDescent="0.3">
      <c r="S187" s="4"/>
    </row>
    <row r="188" spans="19:19" x14ac:dyDescent="0.3">
      <c r="S188" s="4"/>
    </row>
    <row r="189" spans="19:19" x14ac:dyDescent="0.3">
      <c r="S189" s="4"/>
    </row>
    <row r="190" spans="19:19" x14ac:dyDescent="0.3">
      <c r="S190" s="4"/>
    </row>
    <row r="191" spans="19:19" x14ac:dyDescent="0.3">
      <c r="S191" s="4"/>
    </row>
    <row r="192" spans="19:19" x14ac:dyDescent="0.3">
      <c r="S192" s="4"/>
    </row>
    <row r="193" spans="19:19" x14ac:dyDescent="0.3">
      <c r="S193" s="4"/>
    </row>
    <row r="194" spans="19:19" x14ac:dyDescent="0.3">
      <c r="S194" s="4"/>
    </row>
    <row r="195" spans="19:19" x14ac:dyDescent="0.3">
      <c r="S195" s="4"/>
    </row>
    <row r="196" spans="19:19" x14ac:dyDescent="0.3">
      <c r="S196" s="4"/>
    </row>
    <row r="197" spans="19:19" x14ac:dyDescent="0.3">
      <c r="S197" s="4"/>
    </row>
    <row r="198" spans="19:19" x14ac:dyDescent="0.3">
      <c r="S198" s="4"/>
    </row>
    <row r="199" spans="19:19" x14ac:dyDescent="0.3">
      <c r="S199" s="4"/>
    </row>
    <row r="200" spans="19:19" x14ac:dyDescent="0.3">
      <c r="S200" s="4"/>
    </row>
    <row r="201" spans="19:19" x14ac:dyDescent="0.3">
      <c r="S201" s="4"/>
    </row>
    <row r="202" spans="19:19" x14ac:dyDescent="0.3">
      <c r="S202" s="4"/>
    </row>
    <row r="203" spans="19:19" x14ac:dyDescent="0.3">
      <c r="S203" s="4"/>
    </row>
    <row r="204" spans="19:19" x14ac:dyDescent="0.3">
      <c r="S204" s="4"/>
    </row>
    <row r="205" spans="19:19" x14ac:dyDescent="0.3">
      <c r="S205" s="4"/>
    </row>
    <row r="206" spans="19:19" x14ac:dyDescent="0.3">
      <c r="S206" s="4"/>
    </row>
    <row r="207" spans="19:19" x14ac:dyDescent="0.3">
      <c r="S207" s="4"/>
    </row>
    <row r="208" spans="19:19" x14ac:dyDescent="0.3">
      <c r="S208" s="4"/>
    </row>
    <row r="209" spans="19:19" x14ac:dyDescent="0.3">
      <c r="S209" s="4"/>
    </row>
    <row r="210" spans="19:19" x14ac:dyDescent="0.3">
      <c r="S210" s="4"/>
    </row>
    <row r="211" spans="19:19" x14ac:dyDescent="0.3">
      <c r="S211" s="4"/>
    </row>
    <row r="212" spans="19:19" x14ac:dyDescent="0.3">
      <c r="S212" s="4"/>
    </row>
    <row r="213" spans="19:19" x14ac:dyDescent="0.3">
      <c r="S213" s="4"/>
    </row>
    <row r="214" spans="19:19" x14ac:dyDescent="0.3">
      <c r="S214" s="4"/>
    </row>
    <row r="215" spans="19:19" x14ac:dyDescent="0.3">
      <c r="S215" s="4"/>
    </row>
    <row r="216" spans="19:19" x14ac:dyDescent="0.3">
      <c r="S216" s="4"/>
    </row>
    <row r="217" spans="19:19" x14ac:dyDescent="0.3">
      <c r="S217" s="4"/>
    </row>
    <row r="218" spans="19:19" x14ac:dyDescent="0.3">
      <c r="S218" s="4"/>
    </row>
    <row r="219" spans="19:19" x14ac:dyDescent="0.3">
      <c r="S219" s="4"/>
    </row>
    <row r="220" spans="19:19" x14ac:dyDescent="0.3">
      <c r="S220" s="4"/>
    </row>
    <row r="221" spans="19:19" x14ac:dyDescent="0.3">
      <c r="S221" s="4"/>
    </row>
    <row r="222" spans="19:19" x14ac:dyDescent="0.3">
      <c r="S222" s="4"/>
    </row>
    <row r="223" spans="19:19" x14ac:dyDescent="0.3">
      <c r="S223" s="4"/>
    </row>
    <row r="224" spans="19:19" x14ac:dyDescent="0.3">
      <c r="S224" s="4"/>
    </row>
    <row r="225" spans="19:19" x14ac:dyDescent="0.3">
      <c r="S225" s="4"/>
    </row>
    <row r="226" spans="19:19" x14ac:dyDescent="0.3">
      <c r="S226" s="4"/>
    </row>
    <row r="227" spans="19:19" x14ac:dyDescent="0.3">
      <c r="S227" s="4"/>
    </row>
    <row r="228" spans="19:19" x14ac:dyDescent="0.3">
      <c r="S228" s="4"/>
    </row>
    <row r="229" spans="19:19" x14ac:dyDescent="0.3">
      <c r="S229" s="4"/>
    </row>
    <row r="230" spans="19:19" x14ac:dyDescent="0.3">
      <c r="S230" s="4"/>
    </row>
    <row r="231" spans="19:19" x14ac:dyDescent="0.3">
      <c r="S231" s="4"/>
    </row>
    <row r="232" spans="19:19" x14ac:dyDescent="0.3">
      <c r="S232" s="4"/>
    </row>
    <row r="233" spans="19:19" x14ac:dyDescent="0.3">
      <c r="S233" s="4"/>
    </row>
    <row r="234" spans="19:19" x14ac:dyDescent="0.3">
      <c r="S234" s="4"/>
    </row>
    <row r="235" spans="19:19" x14ac:dyDescent="0.3">
      <c r="S235" s="4"/>
    </row>
    <row r="236" spans="19:19" x14ac:dyDescent="0.3">
      <c r="S236" s="4"/>
    </row>
    <row r="237" spans="19:19" x14ac:dyDescent="0.3">
      <c r="S237" s="4"/>
    </row>
    <row r="238" spans="19:19" x14ac:dyDescent="0.3">
      <c r="S238" s="4"/>
    </row>
    <row r="239" spans="19:19" x14ac:dyDescent="0.3">
      <c r="S239" s="4"/>
    </row>
    <row r="240" spans="19:19" x14ac:dyDescent="0.3">
      <c r="S240" s="4"/>
    </row>
    <row r="241" spans="19:19" x14ac:dyDescent="0.3">
      <c r="S241" s="4"/>
    </row>
    <row r="242" spans="19:19" x14ac:dyDescent="0.3">
      <c r="S242" s="4"/>
    </row>
    <row r="243" spans="19:19" x14ac:dyDescent="0.3">
      <c r="S243" s="4"/>
    </row>
    <row r="244" spans="19:19" x14ac:dyDescent="0.3">
      <c r="S244" s="4"/>
    </row>
    <row r="245" spans="19:19" x14ac:dyDescent="0.3">
      <c r="S245" s="4"/>
    </row>
    <row r="246" spans="19:19" x14ac:dyDescent="0.3">
      <c r="S246" s="4"/>
    </row>
    <row r="247" spans="19:19" x14ac:dyDescent="0.3">
      <c r="S247" s="4"/>
    </row>
    <row r="248" spans="19:19" x14ac:dyDescent="0.3">
      <c r="S248" s="4"/>
    </row>
    <row r="249" spans="19:19" x14ac:dyDescent="0.3">
      <c r="S249" s="4"/>
    </row>
    <row r="250" spans="19:19" x14ac:dyDescent="0.3">
      <c r="S250" s="4"/>
    </row>
    <row r="251" spans="19:19" x14ac:dyDescent="0.3">
      <c r="S251" s="4"/>
    </row>
    <row r="252" spans="19:19" x14ac:dyDescent="0.3">
      <c r="S252" s="4"/>
    </row>
    <row r="253" spans="19:19" x14ac:dyDescent="0.3">
      <c r="S253" s="4"/>
    </row>
    <row r="254" spans="19:19" x14ac:dyDescent="0.3">
      <c r="S254" s="4"/>
    </row>
    <row r="255" spans="19:19" x14ac:dyDescent="0.3">
      <c r="S255" s="4"/>
    </row>
    <row r="256" spans="19:19" x14ac:dyDescent="0.3">
      <c r="S256" s="4"/>
    </row>
    <row r="257" spans="19:19" x14ac:dyDescent="0.3">
      <c r="S257" s="4"/>
    </row>
    <row r="258" spans="19:19" x14ac:dyDescent="0.3">
      <c r="S258" s="4"/>
    </row>
    <row r="259" spans="19:19" x14ac:dyDescent="0.3">
      <c r="S259" s="4"/>
    </row>
    <row r="260" spans="19:19" x14ac:dyDescent="0.3">
      <c r="S260" s="4"/>
    </row>
    <row r="261" spans="19:19" x14ac:dyDescent="0.3">
      <c r="S261" s="4"/>
    </row>
    <row r="262" spans="19:19" x14ac:dyDescent="0.3">
      <c r="S262" s="4"/>
    </row>
    <row r="263" spans="19:19" x14ac:dyDescent="0.3">
      <c r="S263" s="4"/>
    </row>
    <row r="264" spans="19:19" x14ac:dyDescent="0.3">
      <c r="S264" s="4"/>
    </row>
    <row r="265" spans="19:19" x14ac:dyDescent="0.3">
      <c r="S265" s="4"/>
    </row>
    <row r="266" spans="19:19" x14ac:dyDescent="0.3">
      <c r="S266" s="4"/>
    </row>
    <row r="267" spans="19:19" x14ac:dyDescent="0.3">
      <c r="S267" s="4"/>
    </row>
    <row r="268" spans="19:19" x14ac:dyDescent="0.3">
      <c r="S268" s="4"/>
    </row>
    <row r="269" spans="19:19" x14ac:dyDescent="0.3">
      <c r="S269" s="4"/>
    </row>
    <row r="270" spans="19:19" x14ac:dyDescent="0.3">
      <c r="S270" s="4"/>
    </row>
    <row r="271" spans="19:19" x14ac:dyDescent="0.3">
      <c r="S271" s="4"/>
    </row>
    <row r="272" spans="19:19" x14ac:dyDescent="0.3">
      <c r="S272" s="4"/>
    </row>
    <row r="273" spans="19:19" x14ac:dyDescent="0.3">
      <c r="S273" s="4"/>
    </row>
    <row r="274" spans="19:19" x14ac:dyDescent="0.3">
      <c r="S274" s="4"/>
    </row>
    <row r="275" spans="19:19" x14ac:dyDescent="0.3">
      <c r="S275" s="4"/>
    </row>
    <row r="276" spans="19:19" x14ac:dyDescent="0.3">
      <c r="S276" s="4"/>
    </row>
    <row r="277" spans="19:19" x14ac:dyDescent="0.3">
      <c r="S277" s="4"/>
    </row>
    <row r="278" spans="19:19" x14ac:dyDescent="0.3">
      <c r="S278" s="4"/>
    </row>
    <row r="279" spans="19:19" x14ac:dyDescent="0.3">
      <c r="S279" s="4"/>
    </row>
    <row r="280" spans="19:19" x14ac:dyDescent="0.3">
      <c r="S280" s="4"/>
    </row>
    <row r="281" spans="19:19" x14ac:dyDescent="0.3">
      <c r="S281" s="4"/>
    </row>
    <row r="282" spans="19:19" x14ac:dyDescent="0.3">
      <c r="S282" s="4"/>
    </row>
    <row r="283" spans="19:19" x14ac:dyDescent="0.3">
      <c r="S283" s="4"/>
    </row>
    <row r="284" spans="19:19" x14ac:dyDescent="0.3">
      <c r="S284" s="4"/>
    </row>
    <row r="285" spans="19:19" x14ac:dyDescent="0.3">
      <c r="S285" s="4"/>
    </row>
    <row r="286" spans="19:19" x14ac:dyDescent="0.3">
      <c r="S286" s="4"/>
    </row>
    <row r="287" spans="19:19" x14ac:dyDescent="0.3">
      <c r="S287" s="4"/>
    </row>
    <row r="288" spans="19:19" x14ac:dyDescent="0.3">
      <c r="S288" s="4"/>
    </row>
    <row r="289" spans="19:19" x14ac:dyDescent="0.3">
      <c r="S289" s="4"/>
    </row>
    <row r="290" spans="19:19" x14ac:dyDescent="0.3">
      <c r="S290" s="4"/>
    </row>
    <row r="291" spans="19:19" x14ac:dyDescent="0.3">
      <c r="S291" s="4"/>
    </row>
    <row r="292" spans="19:19" x14ac:dyDescent="0.3">
      <c r="S292" s="4"/>
    </row>
    <row r="293" spans="19:19" x14ac:dyDescent="0.3">
      <c r="S293" s="4"/>
    </row>
    <row r="294" spans="19:19" x14ac:dyDescent="0.3">
      <c r="S294" s="4"/>
    </row>
    <row r="295" spans="19:19" x14ac:dyDescent="0.3">
      <c r="S295" s="4"/>
    </row>
    <row r="296" spans="19:19" x14ac:dyDescent="0.3">
      <c r="S296" s="4"/>
    </row>
    <row r="297" spans="19:19" x14ac:dyDescent="0.3">
      <c r="S297" s="4"/>
    </row>
    <row r="298" spans="19:19" x14ac:dyDescent="0.3">
      <c r="S298" s="4"/>
    </row>
    <row r="299" spans="19:19" x14ac:dyDescent="0.3">
      <c r="S299" s="4"/>
    </row>
    <row r="300" spans="19:19" x14ac:dyDescent="0.3">
      <c r="S300" s="4"/>
    </row>
    <row r="301" spans="19:19" x14ac:dyDescent="0.3">
      <c r="S301" s="4"/>
    </row>
    <row r="302" spans="19:19" x14ac:dyDescent="0.3">
      <c r="S302" s="4"/>
    </row>
    <row r="303" spans="19:19" x14ac:dyDescent="0.3">
      <c r="S303" s="4"/>
    </row>
    <row r="304" spans="19:19" x14ac:dyDescent="0.3">
      <c r="S304" s="4"/>
    </row>
    <row r="305" spans="19:19" x14ac:dyDescent="0.3">
      <c r="S305" s="4"/>
    </row>
    <row r="306" spans="19:19" x14ac:dyDescent="0.3">
      <c r="S306" s="4"/>
    </row>
    <row r="307" spans="19:19" x14ac:dyDescent="0.3">
      <c r="S307" s="4"/>
    </row>
    <row r="308" spans="19:19" x14ac:dyDescent="0.3">
      <c r="S308" s="4"/>
    </row>
    <row r="309" spans="19:19" x14ac:dyDescent="0.3">
      <c r="S309" s="4"/>
    </row>
    <row r="310" spans="19:19" x14ac:dyDescent="0.3">
      <c r="S310" s="4"/>
    </row>
    <row r="311" spans="19:19" x14ac:dyDescent="0.3">
      <c r="S311" s="4"/>
    </row>
    <row r="312" spans="19:19" x14ac:dyDescent="0.3">
      <c r="S312" s="4"/>
    </row>
    <row r="313" spans="19:19" x14ac:dyDescent="0.3">
      <c r="S313" s="4"/>
    </row>
    <row r="314" spans="19:19" x14ac:dyDescent="0.3">
      <c r="S314" s="4"/>
    </row>
    <row r="315" spans="19:19" x14ac:dyDescent="0.3">
      <c r="S315" s="4"/>
    </row>
    <row r="316" spans="19:19" x14ac:dyDescent="0.3">
      <c r="S316" s="4"/>
    </row>
    <row r="317" spans="19:19" x14ac:dyDescent="0.3">
      <c r="S317" s="4"/>
    </row>
    <row r="318" spans="19:19" x14ac:dyDescent="0.3">
      <c r="S318" s="4"/>
    </row>
    <row r="319" spans="19:19" x14ac:dyDescent="0.3">
      <c r="S319" s="4"/>
    </row>
    <row r="320" spans="19:19" x14ac:dyDescent="0.3">
      <c r="S320" s="4"/>
    </row>
    <row r="321" spans="19:19" x14ac:dyDescent="0.3">
      <c r="S321" s="4"/>
    </row>
    <row r="322" spans="19:19" x14ac:dyDescent="0.3">
      <c r="S322" s="4"/>
    </row>
    <row r="323" spans="19:19" x14ac:dyDescent="0.3">
      <c r="S323" s="4"/>
    </row>
    <row r="324" spans="19:19" x14ac:dyDescent="0.3">
      <c r="S324" s="4"/>
    </row>
    <row r="325" spans="19:19" x14ac:dyDescent="0.3">
      <c r="S325" s="4"/>
    </row>
    <row r="326" spans="19:19" x14ac:dyDescent="0.3">
      <c r="S326" s="4"/>
    </row>
    <row r="327" spans="19:19" x14ac:dyDescent="0.3">
      <c r="S327" s="4"/>
    </row>
    <row r="328" spans="19:19" x14ac:dyDescent="0.3">
      <c r="S328" s="4"/>
    </row>
    <row r="329" spans="19:19" x14ac:dyDescent="0.3">
      <c r="S329" s="4"/>
    </row>
    <row r="330" spans="19:19" x14ac:dyDescent="0.3">
      <c r="S330" s="4"/>
    </row>
    <row r="331" spans="19:19" x14ac:dyDescent="0.3">
      <c r="S331" s="4"/>
    </row>
    <row r="332" spans="19:19" x14ac:dyDescent="0.3">
      <c r="S332" s="4"/>
    </row>
    <row r="333" spans="19:19" x14ac:dyDescent="0.3">
      <c r="S333" s="4"/>
    </row>
    <row r="334" spans="19:19" x14ac:dyDescent="0.3">
      <c r="S334" s="4"/>
    </row>
    <row r="335" spans="19:19" x14ac:dyDescent="0.3">
      <c r="S335" s="4"/>
    </row>
    <row r="336" spans="19:19" x14ac:dyDescent="0.3">
      <c r="S336" s="4"/>
    </row>
    <row r="337" spans="19:19" x14ac:dyDescent="0.3">
      <c r="S337" s="4"/>
    </row>
    <row r="338" spans="19:19" x14ac:dyDescent="0.3">
      <c r="S338" s="4"/>
    </row>
    <row r="339" spans="19:19" x14ac:dyDescent="0.3">
      <c r="S339" s="4"/>
    </row>
    <row r="340" spans="19:19" x14ac:dyDescent="0.3">
      <c r="S340" s="4"/>
    </row>
    <row r="341" spans="19:19" x14ac:dyDescent="0.3">
      <c r="S341" s="4"/>
    </row>
    <row r="342" spans="19:19" x14ac:dyDescent="0.3">
      <c r="S342" s="4"/>
    </row>
    <row r="343" spans="19:19" x14ac:dyDescent="0.3">
      <c r="S343" s="4"/>
    </row>
    <row r="344" spans="19:19" x14ac:dyDescent="0.3">
      <c r="S344" s="4"/>
    </row>
    <row r="345" spans="19:19" x14ac:dyDescent="0.3">
      <c r="S345" s="4"/>
    </row>
    <row r="346" spans="19:19" x14ac:dyDescent="0.3">
      <c r="S346" s="4"/>
    </row>
    <row r="347" spans="19:19" x14ac:dyDescent="0.3">
      <c r="S347" s="4"/>
    </row>
    <row r="348" spans="19:19" x14ac:dyDescent="0.3">
      <c r="S348" s="4"/>
    </row>
    <row r="349" spans="19:19" x14ac:dyDescent="0.3">
      <c r="S349" s="4"/>
    </row>
    <row r="350" spans="19:19" x14ac:dyDescent="0.3">
      <c r="S350" s="4"/>
    </row>
    <row r="351" spans="19:19" x14ac:dyDescent="0.3">
      <c r="S351" s="4"/>
    </row>
    <row r="352" spans="19:19" x14ac:dyDescent="0.3">
      <c r="S352" s="4"/>
    </row>
    <row r="353" spans="19:19" x14ac:dyDescent="0.3">
      <c r="S353" s="4"/>
    </row>
    <row r="354" spans="19:19" x14ac:dyDescent="0.3">
      <c r="S354" s="4"/>
    </row>
    <row r="355" spans="19:19" x14ac:dyDescent="0.3">
      <c r="S355" s="4"/>
    </row>
    <row r="356" spans="19:19" x14ac:dyDescent="0.3">
      <c r="S356" s="4"/>
    </row>
    <row r="357" spans="19:19" x14ac:dyDescent="0.3">
      <c r="S357" s="4"/>
    </row>
    <row r="358" spans="19:19" x14ac:dyDescent="0.3">
      <c r="S358" s="4"/>
    </row>
    <row r="359" spans="19:19" x14ac:dyDescent="0.3">
      <c r="S359" s="4"/>
    </row>
    <row r="360" spans="19:19" x14ac:dyDescent="0.3">
      <c r="S360" s="4"/>
    </row>
    <row r="361" spans="19:19" x14ac:dyDescent="0.3">
      <c r="S361" s="4"/>
    </row>
    <row r="362" spans="19:19" x14ac:dyDescent="0.3">
      <c r="S362" s="4"/>
    </row>
    <row r="363" spans="19:19" x14ac:dyDescent="0.3">
      <c r="S363" s="4"/>
    </row>
    <row r="364" spans="19:19" x14ac:dyDescent="0.3">
      <c r="S364" s="4"/>
    </row>
    <row r="365" spans="19:19" x14ac:dyDescent="0.3">
      <c r="S365" s="4"/>
    </row>
    <row r="366" spans="19:19" x14ac:dyDescent="0.3">
      <c r="S366" s="4"/>
    </row>
    <row r="367" spans="19:19" x14ac:dyDescent="0.3">
      <c r="S367" s="4"/>
    </row>
    <row r="368" spans="19:19" x14ac:dyDescent="0.3">
      <c r="S368" s="4"/>
    </row>
    <row r="369" spans="19:19" x14ac:dyDescent="0.3">
      <c r="S369" s="4"/>
    </row>
    <row r="370" spans="19:19" x14ac:dyDescent="0.3">
      <c r="S370" s="4"/>
    </row>
    <row r="371" spans="19:19" x14ac:dyDescent="0.3">
      <c r="S371" s="4"/>
    </row>
    <row r="372" spans="19:19" x14ac:dyDescent="0.3">
      <c r="S372" s="4"/>
    </row>
    <row r="373" spans="19:19" x14ac:dyDescent="0.3">
      <c r="S373" s="4"/>
    </row>
    <row r="374" spans="19:19" x14ac:dyDescent="0.3">
      <c r="S374" s="4"/>
    </row>
    <row r="375" spans="19:19" x14ac:dyDescent="0.3">
      <c r="S375" s="4"/>
    </row>
    <row r="376" spans="19:19" x14ac:dyDescent="0.3">
      <c r="S376" s="4"/>
    </row>
    <row r="377" spans="19:19" x14ac:dyDescent="0.3">
      <c r="S377" s="4"/>
    </row>
    <row r="378" spans="19:19" x14ac:dyDescent="0.3">
      <c r="S378" s="4"/>
    </row>
    <row r="379" spans="19:19" x14ac:dyDescent="0.3">
      <c r="S379" s="4"/>
    </row>
    <row r="380" spans="19:19" x14ac:dyDescent="0.3">
      <c r="S380" s="4"/>
    </row>
    <row r="381" spans="19:19" x14ac:dyDescent="0.3">
      <c r="S381" s="4"/>
    </row>
    <row r="382" spans="19:19" x14ac:dyDescent="0.3">
      <c r="S382" s="4"/>
    </row>
    <row r="383" spans="19:19" x14ac:dyDescent="0.3">
      <c r="S383" s="4"/>
    </row>
    <row r="384" spans="19:19" x14ac:dyDescent="0.3">
      <c r="S384" s="4"/>
    </row>
    <row r="385" spans="19:19" x14ac:dyDescent="0.3">
      <c r="S385" s="4"/>
    </row>
    <row r="386" spans="19:19" x14ac:dyDescent="0.3">
      <c r="S386" s="4"/>
    </row>
    <row r="387" spans="19:19" x14ac:dyDescent="0.3">
      <c r="S387" s="4"/>
    </row>
    <row r="388" spans="19:19" x14ac:dyDescent="0.3">
      <c r="S388" s="4"/>
    </row>
    <row r="389" spans="19:19" x14ac:dyDescent="0.3">
      <c r="S389" s="4"/>
    </row>
    <row r="390" spans="19:19" x14ac:dyDescent="0.3">
      <c r="S390" s="4"/>
    </row>
    <row r="391" spans="19:19" x14ac:dyDescent="0.3">
      <c r="S391" s="4"/>
    </row>
    <row r="392" spans="19:19" x14ac:dyDescent="0.3">
      <c r="S392" s="4"/>
    </row>
    <row r="393" spans="19:19" x14ac:dyDescent="0.3">
      <c r="S393" s="4"/>
    </row>
    <row r="394" spans="19:19" x14ac:dyDescent="0.3">
      <c r="S394" s="4"/>
    </row>
    <row r="395" spans="19:19" x14ac:dyDescent="0.3">
      <c r="S395" s="4"/>
    </row>
    <row r="396" spans="19:19" x14ac:dyDescent="0.3">
      <c r="S396" s="4"/>
    </row>
    <row r="397" spans="19:19" x14ac:dyDescent="0.3">
      <c r="S397" s="4"/>
    </row>
    <row r="398" spans="19:19" x14ac:dyDescent="0.3">
      <c r="S398" s="4"/>
    </row>
    <row r="399" spans="19:19" x14ac:dyDescent="0.3">
      <c r="S399" s="4"/>
    </row>
    <row r="400" spans="19:19" x14ac:dyDescent="0.3">
      <c r="S400" s="4"/>
    </row>
    <row r="401" spans="19:19" x14ac:dyDescent="0.3">
      <c r="S401" s="4"/>
    </row>
    <row r="402" spans="19:19" x14ac:dyDescent="0.3">
      <c r="S402" s="4"/>
    </row>
    <row r="403" spans="19:19" x14ac:dyDescent="0.3">
      <c r="S403" s="4"/>
    </row>
    <row r="404" spans="19:19" x14ac:dyDescent="0.3">
      <c r="S404" s="4"/>
    </row>
    <row r="405" spans="19:19" x14ac:dyDescent="0.3">
      <c r="S405" s="4"/>
    </row>
    <row r="406" spans="19:19" x14ac:dyDescent="0.3">
      <c r="S406" s="4"/>
    </row>
    <row r="407" spans="19:19" x14ac:dyDescent="0.3">
      <c r="S407" s="4"/>
    </row>
    <row r="408" spans="19:19" x14ac:dyDescent="0.3">
      <c r="S408" s="4"/>
    </row>
    <row r="409" spans="19:19" x14ac:dyDescent="0.3">
      <c r="S409" s="4"/>
    </row>
    <row r="410" spans="19:19" x14ac:dyDescent="0.3">
      <c r="S410" s="4"/>
    </row>
    <row r="411" spans="19:19" x14ac:dyDescent="0.3">
      <c r="S411" s="4"/>
    </row>
    <row r="412" spans="19:19" x14ac:dyDescent="0.3">
      <c r="S412" s="4"/>
    </row>
    <row r="413" spans="19:19" x14ac:dyDescent="0.3">
      <c r="S413" s="4"/>
    </row>
    <row r="414" spans="19:19" x14ac:dyDescent="0.3">
      <c r="S414" s="4"/>
    </row>
    <row r="415" spans="19:19" x14ac:dyDescent="0.3">
      <c r="S415" s="4"/>
    </row>
    <row r="416" spans="19:19" x14ac:dyDescent="0.3">
      <c r="S416" s="4"/>
    </row>
    <row r="417" spans="19:19" x14ac:dyDescent="0.3">
      <c r="S417" s="4"/>
    </row>
    <row r="418" spans="19:19" x14ac:dyDescent="0.3">
      <c r="S418" s="4"/>
    </row>
    <row r="419" spans="19:19" x14ac:dyDescent="0.3">
      <c r="S419" s="4"/>
    </row>
    <row r="420" spans="19:19" x14ac:dyDescent="0.3">
      <c r="S420" s="4"/>
    </row>
    <row r="421" spans="19:19" x14ac:dyDescent="0.3">
      <c r="S421" s="4"/>
    </row>
    <row r="422" spans="19:19" x14ac:dyDescent="0.3">
      <c r="S422" s="4"/>
    </row>
    <row r="423" spans="19:19" x14ac:dyDescent="0.3">
      <c r="S423" s="4"/>
    </row>
    <row r="424" spans="19:19" x14ac:dyDescent="0.3">
      <c r="S424" s="4"/>
    </row>
    <row r="425" spans="19:19" x14ac:dyDescent="0.3">
      <c r="S425" s="4"/>
    </row>
    <row r="426" spans="19:19" x14ac:dyDescent="0.3">
      <c r="S426" s="4"/>
    </row>
    <row r="427" spans="19:19" x14ac:dyDescent="0.3">
      <c r="S427" s="4"/>
    </row>
    <row r="428" spans="19:19" x14ac:dyDescent="0.3">
      <c r="S428" s="4"/>
    </row>
    <row r="429" spans="19:19" x14ac:dyDescent="0.3">
      <c r="S429" s="4"/>
    </row>
    <row r="430" spans="19:19" x14ac:dyDescent="0.3">
      <c r="S430" s="4"/>
    </row>
    <row r="431" spans="19:19" x14ac:dyDescent="0.3">
      <c r="S431" s="4"/>
    </row>
    <row r="432" spans="19:19" x14ac:dyDescent="0.3">
      <c r="S432" s="4"/>
    </row>
    <row r="433" spans="19:19" x14ac:dyDescent="0.3">
      <c r="S433" s="4"/>
    </row>
    <row r="434" spans="19:19" x14ac:dyDescent="0.3">
      <c r="S434" s="4"/>
    </row>
    <row r="435" spans="19:19" x14ac:dyDescent="0.3">
      <c r="S435" s="4"/>
    </row>
    <row r="436" spans="19:19" x14ac:dyDescent="0.3">
      <c r="S436" s="4"/>
    </row>
    <row r="437" spans="19:19" x14ac:dyDescent="0.3">
      <c r="S437" s="4"/>
    </row>
    <row r="438" spans="19:19" x14ac:dyDescent="0.3">
      <c r="S438" s="4"/>
    </row>
    <row r="439" spans="19:19" x14ac:dyDescent="0.3">
      <c r="S439" s="4"/>
    </row>
    <row r="440" spans="19:19" x14ac:dyDescent="0.3">
      <c r="S440" s="4"/>
    </row>
    <row r="441" spans="19:19" x14ac:dyDescent="0.3">
      <c r="S441" s="4"/>
    </row>
    <row r="442" spans="19:19" x14ac:dyDescent="0.3">
      <c r="S442" s="4"/>
    </row>
    <row r="443" spans="19:19" x14ac:dyDescent="0.3">
      <c r="S443" s="4"/>
    </row>
    <row r="444" spans="19:19" x14ac:dyDescent="0.3">
      <c r="S444" s="4"/>
    </row>
    <row r="445" spans="19:19" x14ac:dyDescent="0.3">
      <c r="S445" s="4"/>
    </row>
    <row r="446" spans="19:19" x14ac:dyDescent="0.3">
      <c r="S446" s="4"/>
    </row>
    <row r="447" spans="19:19" x14ac:dyDescent="0.3">
      <c r="S447" s="4"/>
    </row>
    <row r="448" spans="19:19" x14ac:dyDescent="0.3">
      <c r="S448" s="4"/>
    </row>
    <row r="449" spans="19:19" x14ac:dyDescent="0.3">
      <c r="S449" s="4"/>
    </row>
    <row r="450" spans="19:19" x14ac:dyDescent="0.3">
      <c r="S450" s="4"/>
    </row>
    <row r="451" spans="19:19" x14ac:dyDescent="0.3">
      <c r="S451" s="4"/>
    </row>
    <row r="452" spans="19:19" x14ac:dyDescent="0.3">
      <c r="S452" s="4"/>
    </row>
    <row r="453" spans="19:19" x14ac:dyDescent="0.3">
      <c r="S453" s="4"/>
    </row>
    <row r="454" spans="19:19" x14ac:dyDescent="0.3">
      <c r="S454" s="4"/>
    </row>
    <row r="455" spans="19:19" x14ac:dyDescent="0.3">
      <c r="S455" s="4"/>
    </row>
    <row r="456" spans="19:19" x14ac:dyDescent="0.3">
      <c r="S456" s="4"/>
    </row>
    <row r="457" spans="19:19" x14ac:dyDescent="0.3">
      <c r="S457" s="4"/>
    </row>
    <row r="458" spans="19:19" x14ac:dyDescent="0.3">
      <c r="S458" s="4"/>
    </row>
    <row r="459" spans="19:19" x14ac:dyDescent="0.3">
      <c r="S459" s="4"/>
    </row>
    <row r="460" spans="19:19" x14ac:dyDescent="0.3">
      <c r="S460" s="4"/>
    </row>
    <row r="461" spans="19:19" x14ac:dyDescent="0.3">
      <c r="S461" s="4"/>
    </row>
    <row r="462" spans="19:19" x14ac:dyDescent="0.3">
      <c r="S462" s="4"/>
    </row>
    <row r="463" spans="19:19" x14ac:dyDescent="0.3">
      <c r="S463" s="4"/>
    </row>
    <row r="464" spans="19:19" x14ac:dyDescent="0.3">
      <c r="S464" s="4"/>
    </row>
    <row r="465" spans="19:19" x14ac:dyDescent="0.3">
      <c r="S465" s="4"/>
    </row>
    <row r="466" spans="19:19" x14ac:dyDescent="0.3">
      <c r="S466" s="4"/>
    </row>
    <row r="467" spans="19:19" x14ac:dyDescent="0.3">
      <c r="S467" s="4"/>
    </row>
    <row r="468" spans="19:19" x14ac:dyDescent="0.3">
      <c r="S468" s="4"/>
    </row>
    <row r="469" spans="19:19" x14ac:dyDescent="0.3">
      <c r="S469" s="4"/>
    </row>
    <row r="470" spans="19:19" x14ac:dyDescent="0.3">
      <c r="S470" s="4"/>
    </row>
    <row r="471" spans="19:19" x14ac:dyDescent="0.3">
      <c r="S471" s="4"/>
    </row>
    <row r="472" spans="19:19" x14ac:dyDescent="0.3">
      <c r="S472" s="4"/>
    </row>
    <row r="473" spans="19:19" x14ac:dyDescent="0.3">
      <c r="S473" s="4"/>
    </row>
    <row r="474" spans="19:19" x14ac:dyDescent="0.3">
      <c r="S474" s="4"/>
    </row>
    <row r="475" spans="19:19" x14ac:dyDescent="0.3">
      <c r="S475" s="4"/>
    </row>
    <row r="476" spans="19:19" x14ac:dyDescent="0.3">
      <c r="S476" s="4"/>
    </row>
    <row r="477" spans="19:19" x14ac:dyDescent="0.3">
      <c r="S477" s="4"/>
    </row>
    <row r="478" spans="19:19" x14ac:dyDescent="0.3">
      <c r="S478" s="4"/>
    </row>
    <row r="479" spans="19:19" x14ac:dyDescent="0.3">
      <c r="S479" s="4"/>
    </row>
    <row r="480" spans="19:19" x14ac:dyDescent="0.3">
      <c r="S480" s="4"/>
    </row>
    <row r="481" spans="19:19" x14ac:dyDescent="0.3">
      <c r="S481" s="4"/>
    </row>
    <row r="482" spans="19:19" x14ac:dyDescent="0.3">
      <c r="S482" s="4"/>
    </row>
    <row r="483" spans="19:19" x14ac:dyDescent="0.3">
      <c r="S483" s="4"/>
    </row>
    <row r="484" spans="19:19" x14ac:dyDescent="0.3">
      <c r="S484" s="4"/>
    </row>
    <row r="485" spans="19:19" x14ac:dyDescent="0.3">
      <c r="S485" s="4"/>
    </row>
    <row r="486" spans="19:19" x14ac:dyDescent="0.3">
      <c r="S486" s="4"/>
    </row>
    <row r="487" spans="19:19" x14ac:dyDescent="0.3">
      <c r="S487" s="4"/>
    </row>
    <row r="488" spans="19:19" x14ac:dyDescent="0.3">
      <c r="S488" s="4"/>
    </row>
    <row r="489" spans="19:19" x14ac:dyDescent="0.3">
      <c r="S489" s="4"/>
    </row>
    <row r="490" spans="19:19" x14ac:dyDescent="0.3">
      <c r="S490" s="4"/>
    </row>
    <row r="491" spans="19:19" x14ac:dyDescent="0.3">
      <c r="S491" s="4"/>
    </row>
    <row r="492" spans="19:19" x14ac:dyDescent="0.3">
      <c r="S492" s="4"/>
    </row>
    <row r="493" spans="19:19" x14ac:dyDescent="0.3">
      <c r="S493" s="4"/>
    </row>
    <row r="494" spans="19:19" x14ac:dyDescent="0.3">
      <c r="S494" s="4"/>
    </row>
    <row r="495" spans="19:19" x14ac:dyDescent="0.3">
      <c r="S495" s="4"/>
    </row>
    <row r="496" spans="19:19" x14ac:dyDescent="0.3">
      <c r="S496" s="4"/>
    </row>
    <row r="497" spans="19:19" x14ac:dyDescent="0.3">
      <c r="S497" s="4"/>
    </row>
    <row r="498" spans="19:19" x14ac:dyDescent="0.3">
      <c r="S498" s="4"/>
    </row>
    <row r="499" spans="19:19" x14ac:dyDescent="0.3">
      <c r="S499" s="4"/>
    </row>
    <row r="500" spans="19:19" x14ac:dyDescent="0.3">
      <c r="S500" s="4"/>
    </row>
  </sheetData>
  <sheetProtection algorithmName="SHA-512" hashValue="cT75vON+Fmwu1Q+Vsm4NFmTL54OvjRcJnaCIarSSz48iJkTUC0qyPZDa2QrUT6loAaYNszVWuHh7kp+KAU/0RQ==" saltValue="7N8XI7GUJR3nX07TJACKZw==" spinCount="100000" sheet="1" objects="1" scenarios="1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A9038-884D-4D04-A5FD-AE9176065A52}">
  <sheetPr codeName="Sheet9">
    <tabColor rgb="FFFAFDCF"/>
    <pageSetUpPr fitToPage="1"/>
  </sheetPr>
  <dimension ref="A1:N13"/>
  <sheetViews>
    <sheetView showGridLines="0" showRowColHeaders="0" zoomScale="120" zoomScaleNormal="120" workbookViewId="0">
      <selection activeCell="E4" sqref="E4"/>
    </sheetView>
  </sheetViews>
  <sheetFormatPr defaultRowHeight="14.4" x14ac:dyDescent="0.3"/>
  <cols>
    <col min="1" max="2" width="5.77734375" customWidth="1"/>
    <col min="3" max="3" width="0.88671875" customWidth="1"/>
    <col min="4" max="4" width="15.77734375" customWidth="1"/>
    <col min="5" max="5" width="6.77734375" customWidth="1"/>
    <col min="6" max="6" width="5.77734375" customWidth="1"/>
    <col min="7" max="7" width="22.77734375" customWidth="1"/>
    <col min="8" max="8" width="20.77734375" customWidth="1"/>
    <col min="9" max="9" width="6.77734375" customWidth="1"/>
    <col min="10" max="11" width="18.77734375" customWidth="1"/>
    <col min="12" max="12" width="5.77734375" customWidth="1"/>
    <col min="13" max="13" width="22.77734375" customWidth="1"/>
    <col min="14" max="14" width="0.88671875" customWidth="1"/>
  </cols>
  <sheetData>
    <row r="1" spans="1:14" ht="4.95" customHeight="1" x14ac:dyDescent="0.3">
      <c r="A1" s="205"/>
      <c r="C1" s="86"/>
      <c r="D1" s="86"/>
      <c r="E1" s="86"/>
      <c r="F1" s="86"/>
      <c r="G1" s="152"/>
      <c r="H1" s="152"/>
      <c r="I1" s="86"/>
      <c r="J1" s="86"/>
      <c r="K1" s="86"/>
      <c r="L1" s="86"/>
      <c r="M1" s="86"/>
      <c r="N1" s="86"/>
    </row>
    <row r="2" spans="1:14" ht="19.95" customHeight="1" x14ac:dyDescent="0.3">
      <c r="C2" s="86"/>
      <c r="D2" s="86"/>
      <c r="E2" s="86"/>
      <c r="F2" s="86"/>
      <c r="G2" s="207" t="s">
        <v>4</v>
      </c>
      <c r="H2" s="208">
        <f>Data4!A1*10^6+Data4!A2*10^5+Data4!A3*100+Data4!S1*10+Data4!T2</f>
        <v>2301253</v>
      </c>
      <c r="I2" s="153"/>
      <c r="J2" s="87"/>
      <c r="K2" s="87"/>
      <c r="L2" s="86"/>
      <c r="M2" s="86"/>
      <c r="N2" s="86"/>
    </row>
    <row r="3" spans="1:14" ht="7.05" customHeight="1" x14ac:dyDescent="0.3">
      <c r="C3" s="86"/>
      <c r="D3" s="86"/>
      <c r="E3" s="86"/>
      <c r="F3" s="86"/>
      <c r="G3" s="260"/>
      <c r="H3" s="117"/>
      <c r="I3" s="86"/>
      <c r="J3" s="87"/>
      <c r="K3" s="87"/>
      <c r="L3" s="86"/>
      <c r="M3" s="86"/>
      <c r="N3" s="86"/>
    </row>
    <row r="4" spans="1:14" ht="22.8" customHeight="1" x14ac:dyDescent="0.3">
      <c r="C4" s="86"/>
      <c r="D4" s="192" t="s">
        <v>22</v>
      </c>
      <c r="E4" s="176">
        <v>0</v>
      </c>
      <c r="F4" s="122"/>
      <c r="G4" s="263" t="s">
        <v>13</v>
      </c>
      <c r="H4" s="193">
        <f>Data4!A8</f>
        <v>0.3</v>
      </c>
      <c r="I4" s="86"/>
      <c r="J4" s="269" t="s">
        <v>0</v>
      </c>
      <c r="K4" s="240">
        <f>Data4!$AH$2</f>
        <v>1.101870125E-2</v>
      </c>
      <c r="L4" s="137"/>
      <c r="M4" s="128"/>
      <c r="N4" s="86"/>
    </row>
    <row r="5" spans="1:14" ht="4.95" customHeight="1" x14ac:dyDescent="0.3">
      <c r="C5" s="86"/>
      <c r="D5" s="258"/>
      <c r="E5" s="119"/>
      <c r="F5" s="86"/>
      <c r="G5" s="264"/>
      <c r="H5" s="261"/>
      <c r="I5" s="86"/>
      <c r="J5" s="270"/>
      <c r="K5" s="108"/>
      <c r="L5" s="118"/>
      <c r="M5" s="129"/>
      <c r="N5" s="86"/>
    </row>
    <row r="6" spans="1:14" ht="22.8" customHeight="1" x14ac:dyDescent="0.3">
      <c r="C6" s="86"/>
      <c r="D6" s="259" t="s">
        <v>16</v>
      </c>
      <c r="E6" s="176">
        <v>1</v>
      </c>
      <c r="F6" s="86"/>
      <c r="G6" s="263" t="s">
        <v>9</v>
      </c>
      <c r="H6" s="266">
        <f>Data4!A5</f>
        <v>0.15000000000000002</v>
      </c>
      <c r="I6" s="86"/>
      <c r="J6" s="272" t="s">
        <v>23</v>
      </c>
      <c r="K6" s="273">
        <f>DEGREES(2*ATAN(Data4!$Z$1*(H8/0.2)))</f>
        <v>15.984173813250223</v>
      </c>
      <c r="L6" s="225"/>
      <c r="M6" s="129"/>
      <c r="N6" s="86"/>
    </row>
    <row r="7" spans="1:14" ht="4.95" customHeight="1" x14ac:dyDescent="0.3">
      <c r="C7" s="86"/>
      <c r="D7" s="121"/>
      <c r="E7" s="86"/>
      <c r="F7" s="86"/>
      <c r="G7" s="262"/>
      <c r="H7" s="261"/>
      <c r="I7" s="86"/>
      <c r="J7" s="243"/>
      <c r="K7" s="271"/>
      <c r="L7" s="88"/>
      <c r="M7" s="129"/>
      <c r="N7" s="86"/>
    </row>
    <row r="8" spans="1:14" ht="22.8" customHeight="1" x14ac:dyDescent="0.3">
      <c r="C8" s="86"/>
      <c r="D8" s="126"/>
      <c r="E8" s="127"/>
      <c r="F8" s="86"/>
      <c r="G8" s="276" t="s">
        <v>8</v>
      </c>
      <c r="H8" s="265">
        <f>Data4!A7</f>
        <v>0.12</v>
      </c>
      <c r="I8" s="122"/>
      <c r="J8" s="297" t="s">
        <v>14</v>
      </c>
      <c r="K8" s="298"/>
      <c r="L8" s="74"/>
      <c r="M8" s="129"/>
      <c r="N8" s="86"/>
    </row>
    <row r="9" spans="1:14" ht="4.95" customHeight="1" x14ac:dyDescent="0.3">
      <c r="C9" s="86"/>
      <c r="D9" s="123"/>
      <c r="E9" s="86"/>
      <c r="F9" s="86"/>
      <c r="G9" s="268"/>
      <c r="H9" s="120"/>
      <c r="I9" s="86"/>
      <c r="J9" s="90"/>
      <c r="K9" s="90"/>
      <c r="L9" s="124"/>
      <c r="M9" s="129"/>
      <c r="N9" s="122"/>
    </row>
    <row r="10" spans="1:14" ht="22.8" customHeight="1" x14ac:dyDescent="0.3">
      <c r="A10" s="57"/>
      <c r="C10" s="86"/>
      <c r="D10" s="86"/>
      <c r="E10" s="86"/>
      <c r="F10" s="86"/>
      <c r="G10" s="277" t="s">
        <v>12</v>
      </c>
      <c r="H10" s="274">
        <f>Data4!S1</f>
        <v>5</v>
      </c>
      <c r="I10" s="122"/>
      <c r="J10" s="86"/>
      <c r="K10" s="86"/>
      <c r="L10" s="86"/>
      <c r="M10" s="130"/>
      <c r="N10" s="122"/>
    </row>
    <row r="11" spans="1:14" ht="4.95" customHeight="1" x14ac:dyDescent="0.3">
      <c r="C11" s="86"/>
      <c r="D11" s="86"/>
      <c r="E11" s="86"/>
      <c r="F11" s="86"/>
      <c r="G11" s="279"/>
      <c r="H11" s="267"/>
      <c r="I11" s="86"/>
      <c r="J11" s="86"/>
      <c r="K11" s="86"/>
      <c r="L11" s="86"/>
      <c r="M11" s="86"/>
      <c r="N11" s="86"/>
    </row>
    <row r="12" spans="1:14" ht="22.8" customHeight="1" x14ac:dyDescent="0.3">
      <c r="C12" s="86"/>
      <c r="D12" s="86"/>
      <c r="E12" s="86"/>
      <c r="F12" s="86"/>
      <c r="G12" s="278" t="s">
        <v>6</v>
      </c>
      <c r="H12" s="275">
        <f>Data4!T1</f>
        <v>0.3</v>
      </c>
      <c r="I12" s="86"/>
      <c r="J12" s="125"/>
      <c r="K12" s="86"/>
      <c r="L12" s="86"/>
      <c r="M12" s="86"/>
      <c r="N12" s="86"/>
    </row>
    <row r="13" spans="1:14" ht="4.95" customHeight="1" x14ac:dyDescent="0.3">
      <c r="C13" s="86"/>
      <c r="D13" s="86"/>
      <c r="E13" s="86"/>
      <c r="F13" s="86"/>
      <c r="G13" s="166"/>
      <c r="H13" s="86"/>
      <c r="I13" s="86"/>
      <c r="J13" s="86"/>
      <c r="K13" s="86"/>
      <c r="L13" s="86"/>
      <c r="M13" s="86"/>
      <c r="N13" s="86"/>
    </row>
  </sheetData>
  <sheetProtection algorithmName="SHA-512" hashValue="qIqiu7CV9tT7vqHOmtrt6Oet6fnQZ/p51cmpuCpIzLYvwFQWs7BzGU5RQFD8wYqIy4r2Yimj05D/ecdSElZaXg==" saltValue="QpMuH0aLVOFGrAgHVXGMtg==" spinCount="100000" sheet="1" objects="1" scenarios="1" selectLockedCells="1"/>
  <mergeCells count="1">
    <mergeCell ref="J8:K8"/>
  </mergeCells>
  <pageMargins left="0.25" right="0.25" top="0.75" bottom="0.75" header="0.3" footer="0.3"/>
  <pageSetup paperSize="9" scale="7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3" r:id="rId4" name="Spinner 11">
              <controlPr defaultSize="0" print="0" autoPict="0">
                <anchor moveWithCells="1">
                  <from>
                    <xdr:col>8</xdr:col>
                    <xdr:colOff>0</xdr:colOff>
                    <xdr:row>10</xdr:row>
                    <xdr:rowOff>60960</xdr:rowOff>
                  </from>
                  <to>
                    <xdr:col>8</xdr:col>
                    <xdr:colOff>144780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4" r:id="rId5" name="Spinner 12">
              <controlPr defaultSize="0" print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8</xdr:col>
                    <xdr:colOff>144780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5" r:id="rId6" name="Spinner 13">
              <controlPr defaultSize="0" print="0" autoPict="0">
                <anchor moveWithCells="1">
                  <from>
                    <xdr:col>8</xdr:col>
                    <xdr:colOff>0</xdr:colOff>
                    <xdr:row>2</xdr:row>
                    <xdr:rowOff>83820</xdr:rowOff>
                  </from>
                  <to>
                    <xdr:col>8</xdr:col>
                    <xdr:colOff>144780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6" r:id="rId7" name="Spinner 14">
              <controlPr defaultSize="0" print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8</xdr:col>
                    <xdr:colOff>144780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7" r:id="rId8" name="Spinner 15">
              <controlPr defaultSize="0" print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8</xdr:col>
                    <xdr:colOff>144780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9" r:id="rId9" name="Check Box 17">
              <controlPr defaultSize="0" autoFill="0" autoLine="0" autoPict="0">
                <anchor moveWithCells="1">
                  <from>
                    <xdr:col>12</xdr:col>
                    <xdr:colOff>83820</xdr:colOff>
                    <xdr:row>4</xdr:row>
                    <xdr:rowOff>53340</xdr:rowOff>
                  </from>
                  <to>
                    <xdr:col>12</xdr:col>
                    <xdr:colOff>1493520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0" r:id="rId10" name="Check Box 18">
              <controlPr defaultSize="0" autoFill="0" autoLine="0" autoPict="0">
                <anchor moveWithCells="1">
                  <from>
                    <xdr:col>12</xdr:col>
                    <xdr:colOff>83820</xdr:colOff>
                    <xdr:row>5</xdr:row>
                    <xdr:rowOff>274320</xdr:rowOff>
                  </from>
                  <to>
                    <xdr:col>13</xdr:col>
                    <xdr:colOff>0</xdr:colOff>
                    <xdr:row>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1" r:id="rId11" name="Check Box 19">
              <controlPr defaultSize="0" autoFill="0" autoLine="0" autoPict="0">
                <anchor moveWithCells="1">
                  <from>
                    <xdr:col>12</xdr:col>
                    <xdr:colOff>83820</xdr:colOff>
                    <xdr:row>7</xdr:row>
                    <xdr:rowOff>220980</xdr:rowOff>
                  </from>
                  <to>
                    <xdr:col>12</xdr:col>
                    <xdr:colOff>1554480</xdr:colOff>
                    <xdr:row>9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2" r:id="rId12" name="Check Box 20">
              <controlPr defaultSize="0" autoFill="0" autoLine="0" autoPict="0">
                <anchor moveWithCells="1">
                  <from>
                    <xdr:col>12</xdr:col>
                    <xdr:colOff>83820</xdr:colOff>
                    <xdr:row>3</xdr:row>
                    <xdr:rowOff>129540</xdr:rowOff>
                  </from>
                  <to>
                    <xdr:col>12</xdr:col>
                    <xdr:colOff>1226820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3" r:id="rId13" name="Check Box 21">
              <controlPr defaultSize="0" autoFill="0" autoLine="0" autoPict="0" macro="[0]!n5m_axes.ToggleAxesAndGridlinesKeepingFormat">
                <anchor moveWithCells="1">
                  <from>
                    <xdr:col>3</xdr:col>
                    <xdr:colOff>83820</xdr:colOff>
                    <xdr:row>7</xdr:row>
                    <xdr:rowOff>30480</xdr:rowOff>
                  </from>
                  <to>
                    <xdr:col>4</xdr:col>
                    <xdr:colOff>365760</xdr:colOff>
                    <xdr:row>7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80E96-6F49-4BB8-A34D-7EA084417182}">
  <sheetPr codeName="Sheet15">
    <tabColor rgb="FFFAFDCF"/>
  </sheetPr>
  <dimension ref="A1:B103"/>
  <sheetViews>
    <sheetView showGridLines="0" showRowColHeaders="0" workbookViewId="0">
      <selection sqref="A1:B1"/>
    </sheetView>
  </sheetViews>
  <sheetFormatPr defaultRowHeight="14.4" x14ac:dyDescent="0.3"/>
  <cols>
    <col min="1" max="2" width="12.77734375" style="35" customWidth="1"/>
    <col min="3" max="16384" width="8.88671875" style="3"/>
  </cols>
  <sheetData>
    <row r="1" spans="1:2" ht="19.95" customHeight="1" x14ac:dyDescent="0.3">
      <c r="A1" s="306">
        <f>naca_5_mod_plot!H2</f>
        <v>2301253</v>
      </c>
      <c r="B1" s="306"/>
    </row>
    <row r="2" spans="1:2" ht="15" x14ac:dyDescent="0.35">
      <c r="A2" s="191">
        <f>IFERROR(ROUND(Data4!P1*Data4!$A$15, 5-INT(LOG10(ABS(Data4!P1*Data4!$A$15)))), 0)</f>
        <v>1</v>
      </c>
      <c r="B2" s="191">
        <f>IFERROR(ROUND(Data4!Q1*Data4!$A$15, 4-INT(LOG10(ABS(Data4!Q1*Data4!$A$15)))), 0)</f>
        <v>0</v>
      </c>
    </row>
    <row r="3" spans="1:2" ht="15" x14ac:dyDescent="0.35">
      <c r="A3" s="191">
        <f>IFERROR(ROUND(Data4!P2*Data4!$A$15, 5-INT(LOG10(ABS(Data4!P2*Data4!$A$15)))), 0)</f>
        <v>0.99904300000000001</v>
      </c>
      <c r="B3" s="191">
        <f>IFERROR(ROUND(Data4!Q2*Data4!$A$15, 4-INT(LOG10(ABS(Data4!Q2*Data4!$A$15)))), 0)</f>
        <v>1.3600000000000001E-3</v>
      </c>
    </row>
    <row r="4" spans="1:2" ht="15" x14ac:dyDescent="0.35">
      <c r="A4" s="191">
        <f>IFERROR(ROUND(Data4!P3*Data4!$A$15, 5-INT(LOG10(ABS(Data4!P3*Data4!$A$15)))), 0)</f>
        <v>0.99609599999999998</v>
      </c>
      <c r="B4" s="191">
        <f>IFERROR(ROUND(Data4!Q3*Data4!$A$15, 4-INT(LOG10(ABS(Data4!Q3*Data4!$A$15)))), 0)</f>
        <v>1.8397999999999999E-3</v>
      </c>
    </row>
    <row r="5" spans="1:2" ht="15" x14ac:dyDescent="0.35">
      <c r="A5" s="191">
        <f>IFERROR(ROUND(Data4!P4*Data4!$A$15, 5-INT(LOG10(ABS(Data4!P4*Data4!$A$15)))), 0)</f>
        <v>0.99119800000000002</v>
      </c>
      <c r="B5" s="191">
        <f>IFERROR(ROUND(Data4!Q4*Data4!$A$15, 4-INT(LOG10(ABS(Data4!Q4*Data4!$A$15)))), 0)</f>
        <v>2.6356999999999999E-3</v>
      </c>
    </row>
    <row r="6" spans="1:2" ht="15" x14ac:dyDescent="0.35">
      <c r="A6" s="191">
        <f>IFERROR(ROUND(Data4!P5*Data4!$A$15, 5-INT(LOG10(ABS(Data4!P5*Data4!$A$15)))), 0)</f>
        <v>0.98436699999999999</v>
      </c>
      <c r="B6" s="191">
        <f>IFERROR(ROUND(Data4!Q5*Data4!$A$15, 4-INT(LOG10(ABS(Data4!Q5*Data4!$A$15)))), 0)</f>
        <v>3.7420999999999999E-3</v>
      </c>
    </row>
    <row r="7" spans="1:2" ht="15" x14ac:dyDescent="0.35">
      <c r="A7" s="191">
        <f>IFERROR(ROUND(Data4!P6*Data4!$A$15, 5-INT(LOG10(ABS(Data4!P6*Data4!$A$15)))), 0)</f>
        <v>0.97563</v>
      </c>
      <c r="B7" s="191">
        <f>IFERROR(ROUND(Data4!Q6*Data4!$A$15, 4-INT(LOG10(ABS(Data4!Q6*Data4!$A$15)))), 0)</f>
        <v>5.1510999999999996E-3</v>
      </c>
    </row>
    <row r="8" spans="1:2" ht="15" x14ac:dyDescent="0.35">
      <c r="A8" s="191">
        <f>IFERROR(ROUND(Data4!P7*Data4!$A$15, 5-INT(LOG10(ABS(Data4!P7*Data4!$A$15)))), 0)</f>
        <v>0.96502299999999996</v>
      </c>
      <c r="B8" s="191">
        <f>IFERROR(ROUND(Data4!Q7*Data4!$A$15, 4-INT(LOG10(ABS(Data4!Q7*Data4!$A$15)))), 0)</f>
        <v>6.8525000000000001E-3</v>
      </c>
    </row>
    <row r="9" spans="1:2" ht="15" x14ac:dyDescent="0.35">
      <c r="A9" s="191">
        <f>IFERROR(ROUND(Data4!P8*Data4!$A$15, 5-INT(LOG10(ABS(Data4!P8*Data4!$A$15)))), 0)</f>
        <v>0.95258600000000004</v>
      </c>
      <c r="B9" s="191">
        <f>IFERROR(ROUND(Data4!Q8*Data4!$A$15, 4-INT(LOG10(ABS(Data4!Q8*Data4!$A$15)))), 0)</f>
        <v>8.8336999999999999E-3</v>
      </c>
    </row>
    <row r="10" spans="1:2" ht="15" x14ac:dyDescent="0.35">
      <c r="A10" s="191">
        <f>IFERROR(ROUND(Data4!P9*Data4!$A$15, 5-INT(LOG10(ABS(Data4!P9*Data4!$A$15)))), 0)</f>
        <v>0.93836799999999998</v>
      </c>
      <c r="B10" s="191">
        <f>IFERROR(ROUND(Data4!Q9*Data4!$A$15, 4-INT(LOG10(ABS(Data4!Q9*Data4!$A$15)))), 0)</f>
        <v>1.108E-2</v>
      </c>
    </row>
    <row r="11" spans="1:2" ht="15" x14ac:dyDescent="0.35">
      <c r="A11" s="191">
        <f>IFERROR(ROUND(Data4!P10*Data4!$A$15, 5-INT(LOG10(ABS(Data4!P10*Data4!$A$15)))), 0)</f>
        <v>0.92242599999999997</v>
      </c>
      <c r="B11" s="191">
        <f>IFERROR(ROUND(Data4!Q10*Data4!$A$15, 4-INT(LOG10(ABS(Data4!Q10*Data4!$A$15)))), 0)</f>
        <v>1.3573E-2</v>
      </c>
    </row>
    <row r="12" spans="1:2" ht="15" x14ac:dyDescent="0.35">
      <c r="A12" s="191">
        <f>IFERROR(ROUND(Data4!P11*Data4!$A$15, 5-INT(LOG10(ABS(Data4!P11*Data4!$A$15)))), 0)</f>
        <v>0.90482200000000002</v>
      </c>
      <c r="B12" s="191">
        <f>IFERROR(ROUND(Data4!Q11*Data4!$A$15, 4-INT(LOG10(ABS(Data4!Q11*Data4!$A$15)))), 0)</f>
        <v>1.6293999999999999E-2</v>
      </c>
    </row>
    <row r="13" spans="1:2" ht="15" x14ac:dyDescent="0.35">
      <c r="A13" s="191">
        <f>IFERROR(ROUND(Data4!P12*Data4!$A$15, 5-INT(LOG10(ABS(Data4!P12*Data4!$A$15)))), 0)</f>
        <v>0.88562600000000002</v>
      </c>
      <c r="B13" s="191">
        <f>IFERROR(ROUND(Data4!Q12*Data4!$A$15, 4-INT(LOG10(ABS(Data4!Q12*Data4!$A$15)))), 0)</f>
        <v>1.9220000000000001E-2</v>
      </c>
    </row>
    <row r="14" spans="1:2" ht="15" x14ac:dyDescent="0.35">
      <c r="A14" s="191">
        <f>IFERROR(ROUND(Data4!P13*Data4!$A$15, 5-INT(LOG10(ABS(Data4!P13*Data4!$A$15)))), 0)</f>
        <v>0.86491200000000001</v>
      </c>
      <c r="B14" s="191">
        <f>IFERROR(ROUND(Data4!Q13*Data4!$A$15, 4-INT(LOG10(ABS(Data4!Q13*Data4!$A$15)))), 0)</f>
        <v>2.2327E-2</v>
      </c>
    </row>
    <row r="15" spans="1:2" ht="15" x14ac:dyDescent="0.35">
      <c r="A15" s="191">
        <f>IFERROR(ROUND(Data4!P14*Data4!$A$15, 5-INT(LOG10(ABS(Data4!P14*Data4!$A$15)))), 0)</f>
        <v>0.84276300000000004</v>
      </c>
      <c r="B15" s="191">
        <f>IFERROR(ROUND(Data4!Q14*Data4!$A$15, 4-INT(LOG10(ABS(Data4!Q14*Data4!$A$15)))), 0)</f>
        <v>2.5586999999999999E-2</v>
      </c>
    </row>
    <row r="16" spans="1:2" ht="15" x14ac:dyDescent="0.35">
      <c r="A16" s="191">
        <f>IFERROR(ROUND(Data4!P15*Data4!$A$15, 5-INT(LOG10(ABS(Data4!P15*Data4!$A$15)))), 0)</f>
        <v>0.81926500000000002</v>
      </c>
      <c r="B16" s="191">
        <f>IFERROR(ROUND(Data4!Q15*Data4!$A$15, 4-INT(LOG10(ABS(Data4!Q15*Data4!$A$15)))), 0)</f>
        <v>2.8972999999999999E-2</v>
      </c>
    </row>
    <row r="17" spans="1:2" ht="15" x14ac:dyDescent="0.35">
      <c r="A17" s="191">
        <f>IFERROR(ROUND(Data4!P16*Data4!$A$15, 5-INT(LOG10(ABS(Data4!P16*Data4!$A$15)))), 0)</f>
        <v>0.79451000000000005</v>
      </c>
      <c r="B17" s="191">
        <f>IFERROR(ROUND(Data4!Q16*Data4!$A$15, 4-INT(LOG10(ABS(Data4!Q16*Data4!$A$15)))), 0)</f>
        <v>3.2453999999999997E-2</v>
      </c>
    </row>
    <row r="18" spans="1:2" ht="15" x14ac:dyDescent="0.35">
      <c r="A18" s="191">
        <f>IFERROR(ROUND(Data4!P17*Data4!$A$15, 5-INT(LOG10(ABS(Data4!P17*Data4!$A$15)))), 0)</f>
        <v>0.76859699999999997</v>
      </c>
      <c r="B18" s="191">
        <f>IFERROR(ROUND(Data4!Q17*Data4!$A$15, 4-INT(LOG10(ABS(Data4!Q17*Data4!$A$15)))), 0)</f>
        <v>3.5996E-2</v>
      </c>
    </row>
    <row r="19" spans="1:2" ht="15" x14ac:dyDescent="0.35">
      <c r="A19" s="191">
        <f>IFERROR(ROUND(Data4!P18*Data4!$A$15, 5-INT(LOG10(ABS(Data4!P18*Data4!$A$15)))), 0)</f>
        <v>0.74162600000000001</v>
      </c>
      <c r="B19" s="191">
        <f>IFERROR(ROUND(Data4!Q18*Data4!$A$15, 4-INT(LOG10(ABS(Data4!Q18*Data4!$A$15)))), 0)</f>
        <v>3.9567999999999999E-2</v>
      </c>
    </row>
    <row r="20" spans="1:2" ht="15" x14ac:dyDescent="0.35">
      <c r="A20" s="191">
        <f>IFERROR(ROUND(Data4!P19*Data4!$A$15, 5-INT(LOG10(ABS(Data4!P19*Data4!$A$15)))), 0)</f>
        <v>0.71370400000000001</v>
      </c>
      <c r="B20" s="191">
        <f>IFERROR(ROUND(Data4!Q19*Data4!$A$15, 4-INT(LOG10(ABS(Data4!Q19*Data4!$A$15)))), 0)</f>
        <v>4.3133999999999999E-2</v>
      </c>
    </row>
    <row r="21" spans="1:2" ht="15" x14ac:dyDescent="0.35">
      <c r="A21" s="191">
        <f>IFERROR(ROUND(Data4!P20*Data4!$A$15, 5-INT(LOG10(ABS(Data4!P20*Data4!$A$15)))), 0)</f>
        <v>0.68494100000000002</v>
      </c>
      <c r="B21" s="191">
        <f>IFERROR(ROUND(Data4!Q20*Data4!$A$15, 4-INT(LOG10(ABS(Data4!Q20*Data4!$A$15)))), 0)</f>
        <v>4.6661000000000001E-2</v>
      </c>
    </row>
    <row r="22" spans="1:2" ht="15" x14ac:dyDescent="0.35">
      <c r="A22" s="191">
        <f>IFERROR(ROUND(Data4!P21*Data4!$A$15, 5-INT(LOG10(ABS(Data4!P21*Data4!$A$15)))), 0)</f>
        <v>0.65544899999999995</v>
      </c>
      <c r="B22" s="191">
        <f>IFERROR(ROUND(Data4!Q21*Data4!$A$15, 4-INT(LOG10(ABS(Data4!Q21*Data4!$A$15)))), 0)</f>
        <v>5.0112999999999998E-2</v>
      </c>
    </row>
    <row r="23" spans="1:2" ht="15" x14ac:dyDescent="0.35">
      <c r="A23" s="191">
        <f>IFERROR(ROUND(Data4!P22*Data4!$A$15, 5-INT(LOG10(ABS(Data4!P22*Data4!$A$15)))), 0)</f>
        <v>0.62534400000000001</v>
      </c>
      <c r="B23" s="191">
        <f>IFERROR(ROUND(Data4!Q22*Data4!$A$15, 4-INT(LOG10(ABS(Data4!Q22*Data4!$A$15)))), 0)</f>
        <v>5.3456999999999998E-2</v>
      </c>
    </row>
    <row r="24" spans="1:2" ht="15" x14ac:dyDescent="0.35">
      <c r="A24" s="191">
        <f>IFERROR(ROUND(Data4!P23*Data4!$A$15, 5-INT(LOG10(ABS(Data4!P23*Data4!$A$15)))), 0)</f>
        <v>0.594746</v>
      </c>
      <c r="B24" s="191">
        <f>IFERROR(ROUND(Data4!Q23*Data4!$A$15, 4-INT(LOG10(ABS(Data4!Q23*Data4!$A$15)))), 0)</f>
        <v>5.6661000000000003E-2</v>
      </c>
    </row>
    <row r="25" spans="1:2" ht="15" x14ac:dyDescent="0.35">
      <c r="A25" s="191">
        <f>IFERROR(ROUND(Data4!P24*Data4!$A$15, 5-INT(LOG10(ABS(Data4!P24*Data4!$A$15)))), 0)</f>
        <v>0.563774</v>
      </c>
      <c r="B25" s="191">
        <f>IFERROR(ROUND(Data4!Q24*Data4!$A$15, 4-INT(LOG10(ABS(Data4!Q24*Data4!$A$15)))), 0)</f>
        <v>5.9693000000000003E-2</v>
      </c>
    </row>
    <row r="26" spans="1:2" ht="15" x14ac:dyDescent="0.35">
      <c r="A26" s="191">
        <f>IFERROR(ROUND(Data4!P25*Data4!$A$15, 5-INT(LOG10(ABS(Data4!P25*Data4!$A$15)))), 0)</f>
        <v>0.53254999999999997</v>
      </c>
      <c r="B26" s="191">
        <f>IFERROR(ROUND(Data4!Q25*Data4!$A$15, 4-INT(LOG10(ABS(Data4!Q25*Data4!$A$15)))), 0)</f>
        <v>6.2524999999999997E-2</v>
      </c>
    </row>
    <row r="27" spans="1:2" ht="15" x14ac:dyDescent="0.35">
      <c r="A27" s="191">
        <f>IFERROR(ROUND(Data4!P26*Data4!$A$15, 5-INT(LOG10(ABS(Data4!P26*Data4!$A$15)))), 0)</f>
        <v>0.501197</v>
      </c>
      <c r="B27" s="191">
        <f>IFERROR(ROUND(Data4!Q26*Data4!$A$15, 4-INT(LOG10(ABS(Data4!Q26*Data4!$A$15)))), 0)</f>
        <v>6.5131999999999995E-2</v>
      </c>
    </row>
    <row r="28" spans="1:2" ht="15" x14ac:dyDescent="0.35">
      <c r="A28" s="191">
        <f>IFERROR(ROUND(Data4!P27*Data4!$A$15, 5-INT(LOG10(ABS(Data4!P27*Data4!$A$15)))), 0)</f>
        <v>0.46983900000000001</v>
      </c>
      <c r="B28" s="191">
        <f>IFERROR(ROUND(Data4!Q27*Data4!$A$15, 4-INT(LOG10(ABS(Data4!Q27*Data4!$A$15)))), 0)</f>
        <v>6.7490999999999995E-2</v>
      </c>
    </row>
    <row r="29" spans="1:2" ht="15" x14ac:dyDescent="0.35">
      <c r="A29" s="191">
        <f>IFERROR(ROUND(Data4!P28*Data4!$A$15, 5-INT(LOG10(ABS(Data4!P28*Data4!$A$15)))), 0)</f>
        <v>0.43859799999999999</v>
      </c>
      <c r="B29" s="191">
        <f>IFERROR(ROUND(Data4!Q28*Data4!$A$15, 4-INT(LOG10(ABS(Data4!Q28*Data4!$A$15)))), 0)</f>
        <v>6.9583999999999993E-2</v>
      </c>
    </row>
    <row r="30" spans="1:2" ht="15" x14ac:dyDescent="0.35">
      <c r="A30" s="191">
        <f>IFERROR(ROUND(Data4!P29*Data4!$A$15, 5-INT(LOG10(ABS(Data4!P29*Data4!$A$15)))), 0)</f>
        <v>0.40759899999999999</v>
      </c>
      <c r="B30" s="191">
        <f>IFERROR(ROUND(Data4!Q29*Data4!$A$15, 4-INT(LOG10(ABS(Data4!Q29*Data4!$A$15)))), 0)</f>
        <v>7.1398000000000003E-2</v>
      </c>
    </row>
    <row r="31" spans="1:2" ht="15" x14ac:dyDescent="0.35">
      <c r="A31" s="191">
        <f>IFERROR(ROUND(Data4!P30*Data4!$A$15, 5-INT(LOG10(ABS(Data4!P30*Data4!$A$15)))), 0)</f>
        <v>0.37696400000000002</v>
      </c>
      <c r="B31" s="191">
        <f>IFERROR(ROUND(Data4!Q30*Data4!$A$15, 4-INT(LOG10(ABS(Data4!Q30*Data4!$A$15)))), 0)</f>
        <v>7.2923000000000002E-2</v>
      </c>
    </row>
    <row r="32" spans="1:2" ht="15" x14ac:dyDescent="0.35">
      <c r="A32" s="191">
        <f>IFERROR(ROUND(Data4!P31*Data4!$A$15, 5-INT(LOG10(ABS(Data4!P31*Data4!$A$15)))), 0)</f>
        <v>0.34681299999999998</v>
      </c>
      <c r="B32" s="191">
        <f>IFERROR(ROUND(Data4!Q31*Data4!$A$15, 4-INT(LOG10(ABS(Data4!Q31*Data4!$A$15)))), 0)</f>
        <v>7.4153999999999998E-2</v>
      </c>
    </row>
    <row r="33" spans="1:2" ht="15" x14ac:dyDescent="0.35">
      <c r="A33" s="191">
        <f>IFERROR(ROUND(Data4!P32*Data4!$A$15, 5-INT(LOG10(ABS(Data4!P32*Data4!$A$15)))), 0)</f>
        <v>0.31726500000000002</v>
      </c>
      <c r="B33" s="191">
        <f>IFERROR(ROUND(Data4!Q32*Data4!$A$15, 4-INT(LOG10(ABS(Data4!Q32*Data4!$A$15)))), 0)</f>
        <v>7.5092999999999993E-2</v>
      </c>
    </row>
    <row r="34" spans="1:2" ht="15" x14ac:dyDescent="0.35">
      <c r="A34" s="191">
        <f>IFERROR(ROUND(Data4!P33*Data4!$A$15, 5-INT(LOG10(ABS(Data4!P33*Data4!$A$15)))), 0)</f>
        <v>0.28843800000000003</v>
      </c>
      <c r="B34" s="191">
        <f>IFERROR(ROUND(Data4!Q33*Data4!$A$15, 4-INT(LOG10(ABS(Data4!Q33*Data4!$A$15)))), 0)</f>
        <v>7.5743000000000005E-2</v>
      </c>
    </row>
    <row r="35" spans="1:2" ht="15" x14ac:dyDescent="0.35">
      <c r="A35" s="191">
        <f>IFERROR(ROUND(Data4!P34*Data4!$A$15, 5-INT(LOG10(ABS(Data4!P34*Data4!$A$15)))), 0)</f>
        <v>0.26044400000000001</v>
      </c>
      <c r="B35" s="191">
        <f>IFERROR(ROUND(Data4!Q34*Data4!$A$15, 4-INT(LOG10(ABS(Data4!Q34*Data4!$A$15)))), 0)</f>
        <v>7.6072000000000001E-2</v>
      </c>
    </row>
    <row r="36" spans="1:2" ht="15" x14ac:dyDescent="0.35">
      <c r="A36" s="191">
        <f>IFERROR(ROUND(Data4!P35*Data4!$A$15, 5-INT(LOG10(ABS(Data4!P35*Data4!$A$15)))), 0)</f>
        <v>0.23339299999999999</v>
      </c>
      <c r="B36" s="191">
        <f>IFERROR(ROUND(Data4!Q35*Data4!$A$15, 4-INT(LOG10(ABS(Data4!Q35*Data4!$A$15)))), 0)</f>
        <v>7.6009999999999994E-2</v>
      </c>
    </row>
    <row r="37" spans="1:2" ht="15" x14ac:dyDescent="0.35">
      <c r="A37" s="191">
        <f>IFERROR(ROUND(Data4!P36*Data4!$A$15, 5-INT(LOG10(ABS(Data4!P36*Data4!$A$15)))), 0)</f>
        <v>0.20738999999999999</v>
      </c>
      <c r="B37" s="191">
        <f>IFERROR(ROUND(Data4!Q36*Data4!$A$15, 4-INT(LOG10(ABS(Data4!Q36*Data4!$A$15)))), 0)</f>
        <v>7.5499999999999998E-2</v>
      </c>
    </row>
    <row r="38" spans="1:2" ht="15" x14ac:dyDescent="0.35">
      <c r="A38" s="191">
        <f>IFERROR(ROUND(Data4!P37*Data4!$A$15, 5-INT(LOG10(ABS(Data4!P37*Data4!$A$15)))), 0)</f>
        <v>0.18233099999999999</v>
      </c>
      <c r="B38" s="191">
        <f>IFERROR(ROUND(Data4!Q37*Data4!$A$15, 4-INT(LOG10(ABS(Data4!Q37*Data4!$A$15)))), 0)</f>
        <v>7.4483999999999995E-2</v>
      </c>
    </row>
    <row r="39" spans="1:2" ht="15" x14ac:dyDescent="0.35">
      <c r="A39" s="191">
        <f>IFERROR(ROUND(Data4!P38*Data4!$A$15, 5-INT(LOG10(ABS(Data4!P38*Data4!$A$15)))), 0)</f>
        <v>0.158054</v>
      </c>
      <c r="B39" s="191">
        <f>IFERROR(ROUND(Data4!Q38*Data4!$A$15, 4-INT(LOG10(ABS(Data4!Q38*Data4!$A$15)))), 0)</f>
        <v>7.2776999999999994E-2</v>
      </c>
    </row>
    <row r="40" spans="1:2" ht="15" x14ac:dyDescent="0.35">
      <c r="A40" s="191">
        <f>IFERROR(ROUND(Data4!P39*Data4!$A$15, 5-INT(LOG10(ABS(Data4!P39*Data4!$A$15)))), 0)</f>
        <v>0.134797</v>
      </c>
      <c r="B40" s="191">
        <f>IFERROR(ROUND(Data4!Q39*Data4!$A$15, 4-INT(LOG10(ABS(Data4!Q39*Data4!$A$15)))), 0)</f>
        <v>7.0204000000000003E-2</v>
      </c>
    </row>
    <row r="41" spans="1:2" ht="15" x14ac:dyDescent="0.35">
      <c r="A41" s="191">
        <f>IFERROR(ROUND(Data4!P40*Data4!$A$15, 5-INT(LOG10(ABS(Data4!P40*Data4!$A$15)))), 0)</f>
        <v>0.11280999999999999</v>
      </c>
      <c r="B41" s="191">
        <f>IFERROR(ROUND(Data4!Q40*Data4!$A$15, 4-INT(LOG10(ABS(Data4!Q40*Data4!$A$15)))), 0)</f>
        <v>6.6670999999999994E-2</v>
      </c>
    </row>
    <row r="42" spans="1:2" ht="15" x14ac:dyDescent="0.35">
      <c r="A42" s="191">
        <f>IFERROR(ROUND(Data4!P41*Data4!$A$15, 5-INT(LOG10(ABS(Data4!P41*Data4!$A$15)))), 0)</f>
        <v>9.2333499999999999E-2</v>
      </c>
      <c r="B42" s="191">
        <f>IFERROR(ROUND(Data4!Q41*Data4!$A$15, 4-INT(LOG10(ABS(Data4!Q41*Data4!$A$15)))), 0)</f>
        <v>6.2175000000000001E-2</v>
      </c>
    </row>
    <row r="43" spans="1:2" ht="15" x14ac:dyDescent="0.35">
      <c r="A43" s="191">
        <f>IFERROR(ROUND(Data4!P42*Data4!$A$15, 5-INT(LOG10(ABS(Data4!P42*Data4!$A$15)))), 0)</f>
        <v>7.3589600000000005E-2</v>
      </c>
      <c r="B43" s="191">
        <f>IFERROR(ROUND(Data4!Q42*Data4!$A$15, 4-INT(LOG10(ABS(Data4!Q42*Data4!$A$15)))), 0)</f>
        <v>5.679E-2</v>
      </c>
    </row>
    <row r="44" spans="1:2" ht="15" x14ac:dyDescent="0.35">
      <c r="A44" s="191">
        <f>IFERROR(ROUND(Data4!P43*Data4!$A$15, 5-INT(LOG10(ABS(Data4!P43*Data4!$A$15)))), 0)</f>
        <v>5.6767600000000001E-2</v>
      </c>
      <c r="B44" s="191">
        <f>IFERROR(ROUND(Data4!Q43*Data4!$A$15, 4-INT(LOG10(ABS(Data4!Q43*Data4!$A$15)))), 0)</f>
        <v>5.0660999999999998E-2</v>
      </c>
    </row>
    <row r="45" spans="1:2" ht="15" x14ac:dyDescent="0.35">
      <c r="A45" s="191">
        <f>IFERROR(ROUND(Data4!P44*Data4!$A$15, 5-INT(LOG10(ABS(Data4!P44*Data4!$A$15)))), 0)</f>
        <v>4.2014799999999998E-2</v>
      </c>
      <c r="B45" s="191">
        <f>IFERROR(ROUND(Data4!Q44*Data4!$A$15, 4-INT(LOG10(ABS(Data4!Q44*Data4!$A$15)))), 0)</f>
        <v>4.3985999999999997E-2</v>
      </c>
    </row>
    <row r="46" spans="1:2" ht="15" x14ac:dyDescent="0.35">
      <c r="A46" s="191">
        <f>IFERROR(ROUND(Data4!P45*Data4!$A$15, 5-INT(LOG10(ABS(Data4!P45*Data4!$A$15)))), 0)</f>
        <v>2.9430999999999999E-2</v>
      </c>
      <c r="B46" s="191">
        <f>IFERROR(ROUND(Data4!Q45*Data4!$A$15, 4-INT(LOG10(ABS(Data4!Q45*Data4!$A$15)))), 0)</f>
        <v>3.6990000000000002E-2</v>
      </c>
    </row>
    <row r="47" spans="1:2" ht="15" x14ac:dyDescent="0.35">
      <c r="A47" s="191">
        <f>IFERROR(ROUND(Data4!P46*Data4!$A$15, 5-INT(LOG10(ABS(Data4!P46*Data4!$A$15)))), 0)</f>
        <v>1.9069800000000001E-2</v>
      </c>
      <c r="B47" s="191">
        <f>IFERROR(ROUND(Data4!Q46*Data4!$A$15, 4-INT(LOG10(ABS(Data4!Q46*Data4!$A$15)))), 0)</f>
        <v>2.9909999999999999E-2</v>
      </c>
    </row>
    <row r="48" spans="1:2" ht="15" x14ac:dyDescent="0.35">
      <c r="A48" s="191">
        <f>IFERROR(ROUND(Data4!P47*Data4!$A$15, 5-INT(LOG10(ABS(Data4!P47*Data4!$A$15)))), 0)</f>
        <v>1.0942500000000001E-2</v>
      </c>
      <c r="B48" s="191">
        <f>IFERROR(ROUND(Data4!Q47*Data4!$A$15, 4-INT(LOG10(ABS(Data4!Q47*Data4!$A$15)))), 0)</f>
        <v>2.2973E-2</v>
      </c>
    </row>
    <row r="49" spans="1:2" ht="15" x14ac:dyDescent="0.35">
      <c r="A49" s="191">
        <f>IFERROR(ROUND(Data4!P48*Data4!$A$15, 5-INT(LOG10(ABS(Data4!P48*Data4!$A$15)))), 0)</f>
        <v>5.0268300000000004E-3</v>
      </c>
      <c r="B49" s="191">
        <f>IFERROR(ROUND(Data4!Q48*Data4!$A$15, 4-INT(LOG10(ABS(Data4!Q48*Data4!$A$15)))), 0)</f>
        <v>1.6376999999999999E-2</v>
      </c>
    </row>
    <row r="50" spans="1:2" ht="15" x14ac:dyDescent="0.35">
      <c r="A50" s="191">
        <f>IFERROR(ROUND(Data4!P49*Data4!$A$15, 5-INT(LOG10(ABS(Data4!P49*Data4!$A$15)))), 0)</f>
        <v>1.27546E-3</v>
      </c>
      <c r="B50" s="191">
        <f>IFERROR(ROUND(Data4!Q49*Data4!$A$15, 4-INT(LOG10(ABS(Data4!Q49*Data4!$A$15)))), 0)</f>
        <v>1.0283E-2</v>
      </c>
    </row>
    <row r="51" spans="1:2" ht="15" x14ac:dyDescent="0.35">
      <c r="A51" s="191">
        <f>IFERROR(ROUND(Data4!P50*Data4!$A$15, 5-INT(LOG10(ABS(Data4!P50*Data4!$A$15)))), 0)</f>
        <v>-3.7560099999999998E-4</v>
      </c>
      <c r="B51" s="191">
        <f>IFERROR(ROUND(Data4!Q50*Data4!$A$15, 4-INT(LOG10(ABS(Data4!Q50*Data4!$A$15)))), 0)</f>
        <v>4.8043000000000001E-3</v>
      </c>
    </row>
    <row r="52" spans="1:2" ht="15" x14ac:dyDescent="0.35">
      <c r="A52" s="191">
        <f>IFERROR(ROUND(Data4!P51*Data4!$A$15, 5-INT(LOG10(ABS(Data4!P51*Data4!$A$15)))), 0)</f>
        <v>0</v>
      </c>
      <c r="B52" s="191">
        <f>IFERROR(ROUND(Data4!Q51*Data4!$A$15, 4-INT(LOG10(ABS(Data4!Q51*Data4!$A$15)))), 0)</f>
        <v>0</v>
      </c>
    </row>
    <row r="53" spans="1:2" ht="15" x14ac:dyDescent="0.35">
      <c r="A53" s="191">
        <f>IFERROR(ROUND(Data4!P52*Data4!$A$15, 5-INT(LOG10(ABS(Data4!P52*Data4!$A$15)))), 0)</f>
        <v>0</v>
      </c>
      <c r="B53" s="191">
        <f>IFERROR(ROUND(Data4!Q52*Data4!$A$15, 4-INT(LOG10(ABS(Data4!Q52*Data4!$A$15)))), 0)</f>
        <v>0</v>
      </c>
    </row>
    <row r="54" spans="1:2" ht="15" x14ac:dyDescent="0.35">
      <c r="A54" s="191">
        <f>IFERROR(ROUND(Data4!P53*Data4!$A$15, 5-INT(LOG10(ABS(Data4!P53*Data4!$A$15)))), 0)</f>
        <v>2.3488699999999999E-3</v>
      </c>
      <c r="B54" s="191">
        <f>IFERROR(ROUND(Data4!Q53*Data4!$A$15, 4-INT(LOG10(ABS(Data4!Q53*Data4!$A$15)))), 0)</f>
        <v>-4.2043000000000002E-3</v>
      </c>
    </row>
    <row r="55" spans="1:2" ht="15" x14ac:dyDescent="0.35">
      <c r="A55" s="191">
        <f>IFERROR(ROUND(Data4!P54*Data4!$A$15, 5-INT(LOG10(ABS(Data4!P54*Data4!$A$15)))), 0)</f>
        <v>6.6098299999999997E-3</v>
      </c>
      <c r="B55" s="191">
        <f>IFERROR(ROUND(Data4!Q54*Data4!$A$15, 4-INT(LOG10(ABS(Data4!Q54*Data4!$A$15)))), 0)</f>
        <v>-7.9235E-3</v>
      </c>
    </row>
    <row r="56" spans="1:2" ht="15" x14ac:dyDescent="0.35">
      <c r="A56" s="191">
        <f>IFERROR(ROUND(Data4!P55*Data4!$A$15, 5-INT(LOG10(ABS(Data4!P55*Data4!$A$15)))), 0)</f>
        <v>1.26859E-2</v>
      </c>
      <c r="B56" s="191">
        <f>IFERROR(ROUND(Data4!Q55*Data4!$A$15, 4-INT(LOG10(ABS(Data4!Q55*Data4!$A$15)))), 0)</f>
        <v>-1.1214E-2</v>
      </c>
    </row>
    <row r="57" spans="1:2" ht="15" x14ac:dyDescent="0.35">
      <c r="A57" s="191">
        <f>IFERROR(ROUND(Data4!P56*Data4!$A$15, 5-INT(LOG10(ABS(Data4!P56*Data4!$A$15)))), 0)</f>
        <v>2.04744E-2</v>
      </c>
      <c r="B57" s="191">
        <f>IFERROR(ROUND(Data4!Q56*Data4!$A$15, 4-INT(LOG10(ABS(Data4!Q56*Data4!$A$15)))), 0)</f>
        <v>-1.4149E-2</v>
      </c>
    </row>
    <row r="58" spans="1:2" ht="15" x14ac:dyDescent="0.35">
      <c r="A58" s="191">
        <f>IFERROR(ROUND(Data4!P57*Data4!$A$15, 5-INT(LOG10(ABS(Data4!P57*Data4!$A$15)))), 0)</f>
        <v>2.98737E-2</v>
      </c>
      <c r="B58" s="191">
        <f>IFERROR(ROUND(Data4!Q57*Data4!$A$15, 4-INT(LOG10(ABS(Data4!Q57*Data4!$A$15)))), 0)</f>
        <v>-1.6811E-2</v>
      </c>
    </row>
    <row r="59" spans="1:2" ht="15" x14ac:dyDescent="0.35">
      <c r="A59" s="191">
        <f>IFERROR(ROUND(Data4!P58*Data4!$A$15, 5-INT(LOG10(ABS(Data4!P58*Data4!$A$15)))), 0)</f>
        <v>4.0792500000000002E-2</v>
      </c>
      <c r="B59" s="191">
        <f>IFERROR(ROUND(Data4!Q58*Data4!$A$15, 4-INT(LOG10(ABS(Data4!Q58*Data4!$A$15)))), 0)</f>
        <v>-1.9285E-2</v>
      </c>
    </row>
    <row r="60" spans="1:2" ht="15" x14ac:dyDescent="0.35">
      <c r="A60" s="191">
        <f>IFERROR(ROUND(Data4!P59*Data4!$A$15, 5-INT(LOG10(ABS(Data4!P59*Data4!$A$15)))), 0)</f>
        <v>5.3158200000000003E-2</v>
      </c>
      <c r="B60" s="191">
        <f>IFERROR(ROUND(Data4!Q59*Data4!$A$15, 4-INT(LOG10(ABS(Data4!Q59*Data4!$A$15)))), 0)</f>
        <v>-2.1649999999999999E-2</v>
      </c>
    </row>
    <row r="61" spans="1:2" ht="15" x14ac:dyDescent="0.35">
      <c r="A61" s="191">
        <f>IFERROR(ROUND(Data4!P60*Data4!$A$15, 5-INT(LOG10(ABS(Data4!P60*Data4!$A$15)))), 0)</f>
        <v>6.6925700000000005E-2</v>
      </c>
      <c r="B61" s="191">
        <f>IFERROR(ROUND(Data4!Q60*Data4!$A$15, 4-INT(LOG10(ABS(Data4!Q60*Data4!$A$15)))), 0)</f>
        <v>-2.3972E-2</v>
      </c>
    </row>
    <row r="62" spans="1:2" ht="15" x14ac:dyDescent="0.35">
      <c r="A62" s="191">
        <f>IFERROR(ROUND(Data4!P61*Data4!$A$15, 5-INT(LOG10(ABS(Data4!P61*Data4!$A$15)))), 0)</f>
        <v>8.2082500000000003E-2</v>
      </c>
      <c r="B62" s="191">
        <f>IFERROR(ROUND(Data4!Q61*Data4!$A$15, 4-INT(LOG10(ABS(Data4!Q61*Data4!$A$15)))), 0)</f>
        <v>-2.63E-2</v>
      </c>
    </row>
    <row r="63" spans="1:2" ht="15" x14ac:dyDescent="0.35">
      <c r="A63" s="191">
        <f>IFERROR(ROUND(Data4!P62*Data4!$A$15, 5-INT(LOG10(ABS(Data4!P62*Data4!$A$15)))), 0)</f>
        <v>9.8649500000000001E-2</v>
      </c>
      <c r="B63" s="191">
        <f>IFERROR(ROUND(Data4!Q62*Data4!$A$15, 4-INT(LOG10(ABS(Data4!Q62*Data4!$A$15)))), 0)</f>
        <v>-2.8667999999999999E-2</v>
      </c>
    </row>
    <row r="64" spans="1:2" ht="15" x14ac:dyDescent="0.35">
      <c r="A64" s="191">
        <f>IFERROR(ROUND(Data4!P63*Data4!$A$15, 5-INT(LOG10(ABS(Data4!P63*Data4!$A$15)))), 0)</f>
        <v>0.116677</v>
      </c>
      <c r="B64" s="191">
        <f>IFERROR(ROUND(Data4!Q63*Data4!$A$15, 4-INT(LOG10(ABS(Data4!Q63*Data4!$A$15)))), 0)</f>
        <v>-3.1083E-2</v>
      </c>
    </row>
    <row r="65" spans="1:2" ht="15" x14ac:dyDescent="0.35">
      <c r="A65" s="191">
        <f>IFERROR(ROUND(Data4!P64*Data4!$A$15, 5-INT(LOG10(ABS(Data4!P64*Data4!$A$15)))), 0)</f>
        <v>0.13623399999999999</v>
      </c>
      <c r="B65" s="191">
        <f>IFERROR(ROUND(Data4!Q64*Data4!$A$15, 4-INT(LOG10(ABS(Data4!Q64*Data4!$A$15)))), 0)</f>
        <v>-3.3529999999999997E-2</v>
      </c>
    </row>
    <row r="66" spans="1:2" ht="15" x14ac:dyDescent="0.35">
      <c r="A66" s="191">
        <f>IFERROR(ROUND(Data4!P65*Data4!$A$15, 5-INT(LOG10(ABS(Data4!P65*Data4!$A$15)))), 0)</f>
        <v>0.15739900000000001</v>
      </c>
      <c r="B66" s="191">
        <f>IFERROR(ROUND(Data4!Q65*Data4!$A$15, 4-INT(LOG10(ABS(Data4!Q65*Data4!$A$15)))), 0)</f>
        <v>-3.5958999999999998E-2</v>
      </c>
    </row>
    <row r="67" spans="1:2" ht="15" x14ac:dyDescent="0.35">
      <c r="A67" s="191">
        <f>IFERROR(ROUND(Data4!P66*Data4!$A$15, 5-INT(LOG10(ABS(Data4!P66*Data4!$A$15)))), 0)</f>
        <v>0.18024499999999999</v>
      </c>
      <c r="B67" s="191">
        <f>IFERROR(ROUND(Data4!Q66*Data4!$A$15, 4-INT(LOG10(ABS(Data4!Q66*Data4!$A$15)))), 0)</f>
        <v>-3.8278E-2</v>
      </c>
    </row>
    <row r="68" spans="1:2" ht="15" x14ac:dyDescent="0.35">
      <c r="A68" s="191">
        <f>IFERROR(ROUND(Data4!P67*Data4!$A$15, 5-INT(LOG10(ABS(Data4!P67*Data4!$A$15)))), 0)</f>
        <v>0.20482500000000001</v>
      </c>
      <c r="B68" s="191">
        <f>IFERROR(ROUND(Data4!Q67*Data4!$A$15, 4-INT(LOG10(ABS(Data4!Q67*Data4!$A$15)))), 0)</f>
        <v>-4.0341000000000002E-2</v>
      </c>
    </row>
    <row r="69" spans="1:2" ht="15" x14ac:dyDescent="0.35">
      <c r="A69" s="191">
        <f>IFERROR(ROUND(Data4!P68*Data4!$A$15, 5-INT(LOG10(ABS(Data4!P68*Data4!$A$15)))), 0)</f>
        <v>0.23078000000000001</v>
      </c>
      <c r="B69" s="191">
        <f>IFERROR(ROUND(Data4!Q68*Data4!$A$15, 4-INT(LOG10(ABS(Data4!Q68*Data4!$A$15)))), 0)</f>
        <v>-4.2000999999999997E-2</v>
      </c>
    </row>
    <row r="70" spans="1:2" ht="15" x14ac:dyDescent="0.35">
      <c r="A70" s="191">
        <f>IFERROR(ROUND(Data4!P69*Data4!$A$15, 5-INT(LOG10(ABS(Data4!P69*Data4!$A$15)))), 0)</f>
        <v>0.25780199999999998</v>
      </c>
      <c r="B70" s="191">
        <f>IFERROR(ROUND(Data4!Q69*Data4!$A$15, 4-INT(LOG10(ABS(Data4!Q69*Data4!$A$15)))), 0)</f>
        <v>-4.3261000000000001E-2</v>
      </c>
    </row>
    <row r="71" spans="1:2" ht="15" x14ac:dyDescent="0.35">
      <c r="A71" s="191">
        <f>IFERROR(ROUND(Data4!P70*Data4!$A$15, 5-INT(LOG10(ABS(Data4!P70*Data4!$A$15)))), 0)</f>
        <v>0.28578300000000001</v>
      </c>
      <c r="B71" s="191">
        <f>IFERROR(ROUND(Data4!Q70*Data4!$A$15, 4-INT(LOG10(ABS(Data4!Q70*Data4!$A$15)))), 0)</f>
        <v>-4.4171000000000002E-2</v>
      </c>
    </row>
    <row r="72" spans="1:2" ht="15" x14ac:dyDescent="0.35">
      <c r="A72" s="191">
        <f>IFERROR(ROUND(Data4!P71*Data4!$A$15, 5-INT(LOG10(ABS(Data4!P71*Data4!$A$15)))), 0)</f>
        <v>0.31461</v>
      </c>
      <c r="B72" s="191">
        <f>IFERROR(ROUND(Data4!Q71*Data4!$A$15, 4-INT(LOG10(ABS(Data4!Q71*Data4!$A$15)))), 0)</f>
        <v>-4.4797999999999998E-2</v>
      </c>
    </row>
    <row r="73" spans="1:2" ht="15" x14ac:dyDescent="0.35">
      <c r="A73" s="191">
        <f>IFERROR(ROUND(Data4!P72*Data4!$A$15, 5-INT(LOG10(ABS(Data4!P72*Data4!$A$15)))), 0)</f>
        <v>0.34416999999999998</v>
      </c>
      <c r="B73" s="191">
        <f>IFERROR(ROUND(Data4!Q72*Data4!$A$15, 4-INT(LOG10(ABS(Data4!Q72*Data4!$A$15)))), 0)</f>
        <v>-4.5168E-2</v>
      </c>
    </row>
    <row r="74" spans="1:2" ht="15" x14ac:dyDescent="0.35">
      <c r="A74" s="191">
        <f>IFERROR(ROUND(Data4!P73*Data4!$A$15, 5-INT(LOG10(ABS(Data4!P73*Data4!$A$15)))), 0)</f>
        <v>0.37434600000000001</v>
      </c>
      <c r="B74" s="191">
        <f>IFERROR(ROUND(Data4!Q73*Data4!$A$15, 4-INT(LOG10(ABS(Data4!Q73*Data4!$A$15)))), 0)</f>
        <v>-4.5272E-2</v>
      </c>
    </row>
    <row r="75" spans="1:2" ht="15" x14ac:dyDescent="0.35">
      <c r="A75" s="191">
        <f>IFERROR(ROUND(Data4!P74*Data4!$A$15, 5-INT(LOG10(ABS(Data4!P74*Data4!$A$15)))), 0)</f>
        <v>0.40501900000000002</v>
      </c>
      <c r="B75" s="191">
        <f>IFERROR(ROUND(Data4!Q74*Data4!$A$15, 4-INT(LOG10(ABS(Data4!Q74*Data4!$A$15)))), 0)</f>
        <v>-4.5104999999999999E-2</v>
      </c>
    </row>
    <row r="76" spans="1:2" ht="15" x14ac:dyDescent="0.35">
      <c r="A76" s="191">
        <f>IFERROR(ROUND(Data4!P75*Data4!$A$15, 5-INT(LOG10(ABS(Data4!P75*Data4!$A$15)))), 0)</f>
        <v>0.43606800000000001</v>
      </c>
      <c r="B76" s="191">
        <f>IFERROR(ROUND(Data4!Q75*Data4!$A$15, 4-INT(LOG10(ABS(Data4!Q75*Data4!$A$15)))), 0)</f>
        <v>-4.4665999999999997E-2</v>
      </c>
    </row>
    <row r="77" spans="1:2" ht="15" x14ac:dyDescent="0.35">
      <c r="A77" s="191">
        <f>IFERROR(ROUND(Data4!P76*Data4!$A$15, 5-INT(LOG10(ABS(Data4!P76*Data4!$A$15)))), 0)</f>
        <v>0.46737099999999998</v>
      </c>
      <c r="B77" s="191">
        <f>IFERROR(ROUND(Data4!Q76*Data4!$A$15, 4-INT(LOG10(ABS(Data4!Q76*Data4!$A$15)))), 0)</f>
        <v>-4.3957000000000003E-2</v>
      </c>
    </row>
    <row r="78" spans="1:2" ht="15" x14ac:dyDescent="0.35">
      <c r="A78" s="191">
        <f>IFERROR(ROUND(Data4!P77*Data4!$A$15, 5-INT(LOG10(ABS(Data4!P77*Data4!$A$15)))), 0)</f>
        <v>0.498803</v>
      </c>
      <c r="B78" s="191">
        <f>IFERROR(ROUND(Data4!Q77*Data4!$A$15, 4-INT(LOG10(ABS(Data4!Q77*Data4!$A$15)))), 0)</f>
        <v>-4.2987999999999998E-2</v>
      </c>
    </row>
    <row r="79" spans="1:2" ht="15" x14ac:dyDescent="0.35">
      <c r="A79" s="191">
        <f>IFERROR(ROUND(Data4!P78*Data4!$A$15, 5-INT(LOG10(ABS(Data4!P78*Data4!$A$15)))), 0)</f>
        <v>0.53024099999999996</v>
      </c>
      <c r="B79" s="191">
        <f>IFERROR(ROUND(Data4!Q78*Data4!$A$15, 4-INT(LOG10(ABS(Data4!Q78*Data4!$A$15)))), 0)</f>
        <v>-4.1771999999999997E-2</v>
      </c>
    </row>
    <row r="80" spans="1:2" ht="15" x14ac:dyDescent="0.35">
      <c r="A80" s="191">
        <f>IFERROR(ROUND(Data4!P79*Data4!$A$15, 5-INT(LOG10(ABS(Data4!P79*Data4!$A$15)))), 0)</f>
        <v>0.56155900000000003</v>
      </c>
      <c r="B80" s="191">
        <f>IFERROR(ROUND(Data4!Q79*Data4!$A$15, 4-INT(LOG10(ABS(Data4!Q79*Data4!$A$15)))), 0)</f>
        <v>-4.0325E-2</v>
      </c>
    </row>
    <row r="81" spans="1:2" ht="15" x14ac:dyDescent="0.35">
      <c r="A81" s="191">
        <f>IFERROR(ROUND(Data4!P80*Data4!$A$15, 5-INT(LOG10(ABS(Data4!P80*Data4!$A$15)))), 0)</f>
        <v>0.59263500000000002</v>
      </c>
      <c r="B81" s="191">
        <f>IFERROR(ROUND(Data4!Q80*Data4!$A$15, 4-INT(LOG10(ABS(Data4!Q80*Data4!$A$15)))), 0)</f>
        <v>-3.8667E-2</v>
      </c>
    </row>
    <row r="82" spans="1:2" ht="15" x14ac:dyDescent="0.35">
      <c r="A82" s="191">
        <f>IFERROR(ROUND(Data4!P81*Data4!$A$15, 5-INT(LOG10(ABS(Data4!P81*Data4!$A$15)))), 0)</f>
        <v>0.62334500000000004</v>
      </c>
      <c r="B82" s="191">
        <f>IFERROR(ROUND(Data4!Q81*Data4!$A$15, 4-INT(LOG10(ABS(Data4!Q81*Data4!$A$15)))), 0)</f>
        <v>-3.6821E-2</v>
      </c>
    </row>
    <row r="83" spans="1:2" ht="15" x14ac:dyDescent="0.35">
      <c r="A83" s="191">
        <f>IFERROR(ROUND(Data4!P82*Data4!$A$15, 5-INT(LOG10(ABS(Data4!P82*Data4!$A$15)))), 0)</f>
        <v>0.65356800000000004</v>
      </c>
      <c r="B83" s="191">
        <f>IFERROR(ROUND(Data4!Q82*Data4!$A$15, 4-INT(LOG10(ABS(Data4!Q82*Data4!$A$15)))), 0)</f>
        <v>-3.4812000000000003E-2</v>
      </c>
    </row>
    <row r="84" spans="1:2" ht="15" x14ac:dyDescent="0.35">
      <c r="A84" s="191">
        <f>IFERROR(ROUND(Data4!P83*Data4!$A$15, 5-INT(LOG10(ABS(Data4!P83*Data4!$A$15)))), 0)</f>
        <v>0.68318400000000001</v>
      </c>
      <c r="B84" s="191">
        <f>IFERROR(ROUND(Data4!Q83*Data4!$A$15, 4-INT(LOG10(ABS(Data4!Q83*Data4!$A$15)))), 0)</f>
        <v>-3.2668999999999997E-2</v>
      </c>
    </row>
    <row r="85" spans="1:2" ht="15" x14ac:dyDescent="0.35">
      <c r="A85" s="191">
        <f>IFERROR(ROUND(Data4!P84*Data4!$A$15, 5-INT(LOG10(ABS(Data4!P84*Data4!$A$15)))), 0)</f>
        <v>0.71207500000000001</v>
      </c>
      <c r="B85" s="191">
        <f>IFERROR(ROUND(Data4!Q84*Data4!$A$15, 4-INT(LOG10(ABS(Data4!Q84*Data4!$A$15)))), 0)</f>
        <v>-3.0419000000000002E-2</v>
      </c>
    </row>
    <row r="86" spans="1:2" ht="15" x14ac:dyDescent="0.35">
      <c r="A86" s="191">
        <f>IFERROR(ROUND(Data4!P85*Data4!$A$15, 5-INT(LOG10(ABS(Data4!P85*Data4!$A$15)))), 0)</f>
        <v>0.74012800000000001</v>
      </c>
      <c r="B86" s="191">
        <f>IFERROR(ROUND(Data4!Q85*Data4!$A$15, 4-INT(LOG10(ABS(Data4!Q85*Data4!$A$15)))), 0)</f>
        <v>-2.8091999999999999E-2</v>
      </c>
    </row>
    <row r="87" spans="1:2" ht="15" x14ac:dyDescent="0.35">
      <c r="A87" s="191">
        <f>IFERROR(ROUND(Data4!P86*Data4!$A$15, 5-INT(LOG10(ABS(Data4!P86*Data4!$A$15)))), 0)</f>
        <v>0.76722999999999997</v>
      </c>
      <c r="B87" s="191">
        <f>IFERROR(ROUND(Data4!Q86*Data4!$A$15, 4-INT(LOG10(ABS(Data4!Q86*Data4!$A$15)))), 0)</f>
        <v>-2.5718000000000001E-2</v>
      </c>
    </row>
    <row r="88" spans="1:2" ht="15" x14ac:dyDescent="0.35">
      <c r="A88" s="191">
        <f>IFERROR(ROUND(Data4!P87*Data4!$A$15, 5-INT(LOG10(ABS(Data4!P87*Data4!$A$15)))), 0)</f>
        <v>0.79327499999999995</v>
      </c>
      <c r="B88" s="191">
        <f>IFERROR(ROUND(Data4!Q87*Data4!$A$15, 4-INT(LOG10(ABS(Data4!Q87*Data4!$A$15)))), 0)</f>
        <v>-2.3326E-2</v>
      </c>
    </row>
    <row r="89" spans="1:2" ht="15" x14ac:dyDescent="0.35">
      <c r="A89" s="191">
        <f>IFERROR(ROUND(Data4!P88*Data4!$A$15, 5-INT(LOG10(ABS(Data4!P88*Data4!$A$15)))), 0)</f>
        <v>0.81815899999999997</v>
      </c>
      <c r="B89" s="191">
        <f>IFERROR(ROUND(Data4!Q88*Data4!$A$15, 4-INT(LOG10(ABS(Data4!Q88*Data4!$A$15)))), 0)</f>
        <v>-2.0944999999999998E-2</v>
      </c>
    </row>
    <row r="90" spans="1:2" ht="15" x14ac:dyDescent="0.35">
      <c r="A90" s="191">
        <f>IFERROR(ROUND(Data4!P89*Data4!$A$15, 5-INT(LOG10(ABS(Data4!P89*Data4!$A$15)))), 0)</f>
        <v>0.84178399999999998</v>
      </c>
      <c r="B90" s="191">
        <f>IFERROR(ROUND(Data4!Q89*Data4!$A$15, 4-INT(LOG10(ABS(Data4!Q89*Data4!$A$15)))), 0)</f>
        <v>-1.8602E-2</v>
      </c>
    </row>
    <row r="91" spans="1:2" ht="15" x14ac:dyDescent="0.35">
      <c r="A91" s="191">
        <f>IFERROR(ROUND(Data4!P90*Data4!$A$15, 5-INT(LOG10(ABS(Data4!P90*Data4!$A$15)))), 0)</f>
        <v>0.86405600000000005</v>
      </c>
      <c r="B91" s="191">
        <f>IFERROR(ROUND(Data4!Q90*Data4!$A$15, 4-INT(LOG10(ABS(Data4!Q90*Data4!$A$15)))), 0)</f>
        <v>-1.6324999999999999E-2</v>
      </c>
    </row>
    <row r="92" spans="1:2" ht="15" x14ac:dyDescent="0.35">
      <c r="A92" s="191">
        <f>IFERROR(ROUND(Data4!P91*Data4!$A$15, 5-INT(LOG10(ABS(Data4!P91*Data4!$A$15)))), 0)</f>
        <v>0.88488699999999998</v>
      </c>
      <c r="B92" s="191">
        <f>IFERROR(ROUND(Data4!Q91*Data4!$A$15, 4-INT(LOG10(ABS(Data4!Q91*Data4!$A$15)))), 0)</f>
        <v>-1.4138E-2</v>
      </c>
    </row>
    <row r="93" spans="1:2" ht="15" x14ac:dyDescent="0.35">
      <c r="A93" s="191">
        <f>IFERROR(ROUND(Data4!P92*Data4!$A$15, 5-INT(LOG10(ABS(Data4!P92*Data4!$A$15)))), 0)</f>
        <v>0.90419499999999997</v>
      </c>
      <c r="B93" s="191">
        <f>IFERROR(ROUND(Data4!Q92*Data4!$A$15, 4-INT(LOG10(ABS(Data4!Q92*Data4!$A$15)))), 0)</f>
        <v>-1.2064999999999999E-2</v>
      </c>
    </row>
    <row r="94" spans="1:2" ht="15" x14ac:dyDescent="0.35">
      <c r="A94" s="191">
        <f>IFERROR(ROUND(Data4!P93*Data4!$A$15, 5-INT(LOG10(ABS(Data4!P93*Data4!$A$15)))), 0)</f>
        <v>0.921902</v>
      </c>
      <c r="B94" s="191">
        <f>IFERROR(ROUND(Data4!Q93*Data4!$A$15, 4-INT(LOG10(ABS(Data4!Q93*Data4!$A$15)))), 0)</f>
        <v>-1.0126E-2</v>
      </c>
    </row>
    <row r="95" spans="1:2" ht="15" x14ac:dyDescent="0.35">
      <c r="A95" s="191">
        <f>IFERROR(ROUND(Data4!P94*Data4!$A$15, 5-INT(LOG10(ABS(Data4!P94*Data4!$A$15)))), 0)</f>
        <v>0.93793800000000005</v>
      </c>
      <c r="B95" s="191">
        <f>IFERROR(ROUND(Data4!Q94*Data4!$A$15, 4-INT(LOG10(ABS(Data4!Q94*Data4!$A$15)))), 0)</f>
        <v>-8.3406999999999995E-3</v>
      </c>
    </row>
    <row r="96" spans="1:2" ht="15" x14ac:dyDescent="0.35">
      <c r="A96" s="191">
        <f>IFERROR(ROUND(Data4!P95*Data4!$A$15, 5-INT(LOG10(ABS(Data4!P95*Data4!$A$15)))), 0)</f>
        <v>0.952241</v>
      </c>
      <c r="B96" s="191">
        <f>IFERROR(ROUND(Data4!Q95*Data4!$A$15, 4-INT(LOG10(ABS(Data4!Q95*Data4!$A$15)))), 0)</f>
        <v>-6.7263000000000002E-3</v>
      </c>
    </row>
    <row r="97" spans="1:2" ht="15" x14ac:dyDescent="0.35">
      <c r="A97" s="191">
        <f>IFERROR(ROUND(Data4!P96*Data4!$A$15, 5-INT(LOG10(ABS(Data4!P96*Data4!$A$15)))), 0)</f>
        <v>0.964754</v>
      </c>
      <c r="B97" s="191">
        <f>IFERROR(ROUND(Data4!Q96*Data4!$A$15, 4-INT(LOG10(ABS(Data4!Q96*Data4!$A$15)))), 0)</f>
        <v>-5.2975000000000001E-3</v>
      </c>
    </row>
    <row r="98" spans="1:2" ht="15" x14ac:dyDescent="0.35">
      <c r="A98" s="191">
        <f>IFERROR(ROUND(Data4!P97*Data4!$A$15, 5-INT(LOG10(ABS(Data4!P97*Data4!$A$15)))), 0)</f>
        <v>0.97542600000000002</v>
      </c>
      <c r="B98" s="191">
        <f>IFERROR(ROUND(Data4!Q97*Data4!$A$15, 4-INT(LOG10(ABS(Data4!Q97*Data4!$A$15)))), 0)</f>
        <v>-4.0673000000000003E-3</v>
      </c>
    </row>
    <row r="99" spans="1:2" ht="15" x14ac:dyDescent="0.35">
      <c r="A99" s="191">
        <f>IFERROR(ROUND(Data4!P98*Data4!$A$15, 5-INT(LOG10(ABS(Data4!P98*Data4!$A$15)))), 0)</f>
        <v>0.98421599999999998</v>
      </c>
      <c r="B99" s="191">
        <f>IFERROR(ROUND(Data4!Q98*Data4!$A$15, 4-INT(LOG10(ABS(Data4!Q98*Data4!$A$15)))), 0)</f>
        <v>-3.0463999999999999E-3</v>
      </c>
    </row>
    <row r="100" spans="1:2" ht="15" x14ac:dyDescent="0.35">
      <c r="A100" s="191">
        <f>IFERROR(ROUND(Data4!P99*Data4!$A$15, 5-INT(LOG10(ABS(Data4!P99*Data4!$A$15)))), 0)</f>
        <v>0.99109000000000003</v>
      </c>
      <c r="B100" s="191">
        <f>IFERROR(ROUND(Data4!Q99*Data4!$A$15, 4-INT(LOG10(ABS(Data4!Q99*Data4!$A$15)))), 0)</f>
        <v>-2.2434999999999998E-3</v>
      </c>
    </row>
    <row r="101" spans="1:2" ht="15" x14ac:dyDescent="0.35">
      <c r="A101" s="191">
        <f>IFERROR(ROUND(Data4!P100*Data4!$A$15, 5-INT(LOG10(ABS(Data4!P100*Data4!$A$15)))), 0)</f>
        <v>0.99601899999999999</v>
      </c>
      <c r="B101" s="191">
        <f>IFERROR(ROUND(Data4!Q100*Data4!$A$15, 4-INT(LOG10(ABS(Data4!Q100*Data4!$A$15)))), 0)</f>
        <v>-1.6651999999999999E-3</v>
      </c>
    </row>
    <row r="102" spans="1:2" ht="15" x14ac:dyDescent="0.35">
      <c r="A102" s="191">
        <f>IFERROR(ROUND(Data4!P101*Data4!$A$15, 5-INT(LOG10(ABS(Data4!P101*Data4!$A$15)))), 0)</f>
        <v>0.99898399999999998</v>
      </c>
      <c r="B102" s="191">
        <f>IFERROR(ROUND(Data4!Q101*Data4!$A$15, 4-INT(LOG10(ABS(Data4!Q101*Data4!$A$15)))), 0)</f>
        <v>-1.3163000000000001E-3</v>
      </c>
    </row>
    <row r="103" spans="1:2" ht="15" x14ac:dyDescent="0.35">
      <c r="A103" s="191">
        <f>IFERROR(ROUND(Data4!P102*Data4!$A$15, 5-INT(LOG10(ABS(Data4!P102*Data4!$A$15)))), 0)</f>
        <v>1</v>
      </c>
      <c r="B103" s="191">
        <f>IFERROR(ROUND(Data4!Q102*Data4!$A$15, 4-INT(LOG10(ABS(Data4!Q102*Data4!$A$15)))), 0)</f>
        <v>0</v>
      </c>
    </row>
  </sheetData>
  <sheetProtection algorithmName="SHA-512" hashValue="Z7KXmIwv1OxddIzqTYhGh6fzi/mvpIGV+/OtLnkiWgyCzAnwfpjF44oDC09aaoQOFYZ1kygsTonZw47bcXb8Qg==" saltValue="Flk12L16tRNYE6k5qlFhKw==" spinCount="100000" sheet="1" objects="1" scenarios="1"/>
  <mergeCells count="1">
    <mergeCell ref="A1:B1"/>
  </mergeCell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16031-0AE5-472D-BAAD-7D922E74477A}">
  <sheetPr codeName="Sheet10">
    <tabColor theme="8" tint="0.79998168889431442"/>
  </sheetPr>
  <dimension ref="A1:AJ102"/>
  <sheetViews>
    <sheetView topLeftCell="D1" zoomScaleNormal="100" workbookViewId="0">
      <selection activeCell="AF5" sqref="AF5"/>
    </sheetView>
  </sheetViews>
  <sheetFormatPr defaultRowHeight="14.4" x14ac:dyDescent="0.3"/>
  <cols>
    <col min="1" max="1" width="8.88671875" style="3"/>
    <col min="2" max="2" width="9" style="7" bestFit="1" customWidth="1"/>
    <col min="3" max="3" width="9.21875" style="7" bestFit="1" customWidth="1"/>
    <col min="4" max="4" width="8.88671875" style="7"/>
    <col min="5" max="7" width="9.44140625" style="7" bestFit="1" customWidth="1"/>
    <col min="8" max="9" width="8.88671875" style="7"/>
    <col min="10" max="15" width="9.77734375" style="7" customWidth="1"/>
    <col min="16" max="16" width="8.88671875" style="7"/>
    <col min="17" max="18" width="9.21875" style="3" bestFit="1" customWidth="1"/>
    <col min="19" max="19" width="10.109375" style="3" customWidth="1"/>
    <col min="20" max="20" width="9.5546875" style="3" customWidth="1"/>
    <col min="21" max="21" width="10.21875" style="3" customWidth="1"/>
    <col min="22" max="22" width="10.5546875" style="3" customWidth="1"/>
    <col min="23" max="23" width="10.44140625" style="3" customWidth="1"/>
    <col min="24" max="24" width="10.33203125" style="3" customWidth="1"/>
    <col min="25" max="26" width="10.21875" style="3" customWidth="1"/>
    <col min="27" max="27" width="9.5546875" style="3" customWidth="1"/>
    <col min="28" max="29" width="9.88671875" style="3" customWidth="1"/>
    <col min="30" max="30" width="9.77734375" style="4" customWidth="1"/>
    <col min="31" max="31" width="9.6640625" style="4" customWidth="1"/>
    <col min="32" max="33" width="8.88671875" style="3"/>
    <col min="34" max="36" width="8.88671875" style="4"/>
    <col min="37" max="16384" width="8.88671875" style="3"/>
  </cols>
  <sheetData>
    <row r="1" spans="1:36" x14ac:dyDescent="0.3">
      <c r="A1" s="34">
        <f>Q1</f>
        <v>0.3</v>
      </c>
      <c r="B1" s="7" cm="1">
        <f t="array" ref="B1:B51">0.5*(1-COS((_xlfn.SEQUENCE(51,1,50,-1)*PI())/50))</f>
        <v>1</v>
      </c>
      <c r="C1" s="7">
        <f t="shared" ref="C1:C32" si="0">IFERROR(-($A$1/(4*PI()))*((1-B1)*LN(1-B1)+B1*LN(B1)), 0)</f>
        <v>0</v>
      </c>
      <c r="D1" s="7">
        <f t="shared" ref="D1:D32" si="1">IF(B1&lt;$S$1, ($A$2/0.2)*($T$1*SQRT(B1)+$U$1*B1+$V$1*(B1^2)+$W$1*(B1^3)), ($A$2/0.2)*($X$1+$Y$1*(1-B1)+$Z$1*((1-B1)^2)+$AA$1*((1-B1)^3)))</f>
        <v>1.0999999999999998E-3</v>
      </c>
      <c r="E1" s="7">
        <f>IFERROR(($A$1/(4*PI()))*(LN(1-B1)-LN(B1)), 0)</f>
        <v>0</v>
      </c>
      <c r="F1" s="7">
        <f>ATAN(E1)</f>
        <v>0</v>
      </c>
      <c r="G1" s="7">
        <v>1</v>
      </c>
      <c r="H1" s="7">
        <v>0</v>
      </c>
      <c r="J1" s="7">
        <f t="shared" ref="J1:J32" si="2">B1*COS($A$7)</f>
        <v>1</v>
      </c>
      <c r="K1" s="7">
        <f t="shared" ref="K1:K32" si="3">-B1*SIN($A$7)</f>
        <v>0</v>
      </c>
      <c r="L1" s="7">
        <f t="shared" ref="L1:L32" si="4">B1*COS($A$7)+C1*SIN($A$7)</f>
        <v>1</v>
      </c>
      <c r="M1" s="7">
        <f t="shared" ref="M1:M32" si="5">-B1*SIN($A$7)+C1*COS($A$7)</f>
        <v>0</v>
      </c>
      <c r="N1" s="7">
        <f t="shared" ref="N1:N32" si="6">G1*COS($A$7)+H1*SIN($A$7)</f>
        <v>1</v>
      </c>
      <c r="O1" s="7">
        <f t="shared" ref="O1:O32" si="7">-G1*SIN($A$7)+H1*COS($A$7)</f>
        <v>0</v>
      </c>
      <c r="Q1" s="3">
        <f>A4/10</f>
        <v>0.3</v>
      </c>
      <c r="R1" s="35">
        <v>4</v>
      </c>
      <c r="S1" s="32">
        <f>0.5</f>
        <v>0.5</v>
      </c>
      <c r="T1" s="33">
        <f>IF($R$1=9, 0.2969*SQRT(3),0.2969*(R1/6))</f>
        <v>0.19793333333333332</v>
      </c>
      <c r="U1" s="33">
        <f>(0.3/S1)-1.875*(T1/SQRT(S1))-0.1*(S1/AB1)</f>
        <v>-4.7850008335714789E-2</v>
      </c>
      <c r="V1" s="33">
        <f>-(0.3/(S1^2))+1.25*(T1/POWER(S1, 3/2))+(0.2/AB1)</f>
        <v>-8.199988885713716E-3</v>
      </c>
      <c r="W1" s="33">
        <f>(0.1/S1^3)-0.375*(T1/POWER(S1, 5/2))-(0.1/(AB1*S1))</f>
        <v>-0.11188000666857156</v>
      </c>
      <c r="X1" s="33">
        <f>IF(AF4, 0, 0.002)</f>
        <v>2E-3</v>
      </c>
      <c r="Y1" s="33">
        <f>IF(S1=0.2, 0.2, IF(S1=0.3, 0.234, IF(S1=0.4, 0.315, IF(S1=0.5, 0.465, 0.7))))</f>
        <v>0.46500000000000002</v>
      </c>
      <c r="Z1" s="33">
        <f>(3*(0.1-X1)-2*(1-S1)*Y1)/((1-S1)^2)</f>
        <v>-0.68399999999999994</v>
      </c>
      <c r="AA1" s="33">
        <f>(-2*(0.1-X1)+(1-S1)*Y1)/((1-S1)^3)</f>
        <v>0.29200000000000004</v>
      </c>
      <c r="AB1" s="1">
        <f>0.2*((1-S1)^2/(0.588-2*Y1*(1-S1)))</f>
        <v>0.40650406504065062</v>
      </c>
      <c r="AC1" s="1"/>
      <c r="AD1" s="4">
        <f>IF($AF$1, K1, -1)</f>
        <v>-1</v>
      </c>
      <c r="AE1" s="4">
        <f>IF($AF$2, M1, -1)</f>
        <v>-1</v>
      </c>
      <c r="AF1" s="12" t="b">
        <v>0</v>
      </c>
      <c r="AG1" s="7">
        <f>$F$50-A7</f>
        <v>0.16372923769153419</v>
      </c>
      <c r="AH1" s="4" cm="1">
        <f t="array" ref="AH1:AH51">_xlfn.SEQUENCE(51, 1, 0, (2*PI())/50)</f>
        <v>0</v>
      </c>
      <c r="AI1" s="4">
        <f>$AG$2*(COS($AG$1)+COS(AH1))</f>
        <v>1.1771977886457619E-2</v>
      </c>
      <c r="AJ1" s="4">
        <f>IF($AF$3, $AG$2*(SIN($AG$1)+SIN(AH1)), -1)</f>
        <v>-1</v>
      </c>
    </row>
    <row r="2" spans="1:36" x14ac:dyDescent="0.3">
      <c r="A2" s="3">
        <f>A5/100</f>
        <v>0.11</v>
      </c>
      <c r="B2" s="7">
        <v>0.99901336421413578</v>
      </c>
      <c r="C2" s="7">
        <f t="shared" si="0"/>
        <v>1.8656608684924122E-4</v>
      </c>
      <c r="D2" s="7">
        <f t="shared" si="1"/>
        <v>1.3519660445261237E-3</v>
      </c>
      <c r="E2" s="7">
        <f t="shared" ref="E2:E65" si="8">IFERROR(($A$1/(4*PI()))*(LN(1-B2)-LN(B2)), 0)</f>
        <v>-0.16520814213077126</v>
      </c>
      <c r="F2" s="7">
        <f t="shared" ref="F2:F65" si="9">ATAN(E2)</f>
        <v>-0.16372923769153419</v>
      </c>
      <c r="G2" s="7">
        <f t="shared" ref="G2:G51" si="10">B2-D2*SIN(F2)</f>
        <v>0.9992337329156743</v>
      </c>
      <c r="H2" s="7">
        <f t="shared" ref="H2:H51" si="11">C2+D2*COS(F2)</f>
        <v>1.5204513221426866E-3</v>
      </c>
      <c r="J2" s="7">
        <f t="shared" si="2"/>
        <v>0.99901336421413578</v>
      </c>
      <c r="K2" s="7">
        <f t="shared" si="3"/>
        <v>0</v>
      </c>
      <c r="L2" s="7">
        <f t="shared" si="4"/>
        <v>0.99901336421413578</v>
      </c>
      <c r="M2" s="7">
        <f t="shared" si="5"/>
        <v>1.8656608684924122E-4</v>
      </c>
      <c r="N2" s="7">
        <f t="shared" si="6"/>
        <v>0.9992337329156743</v>
      </c>
      <c r="O2" s="7">
        <f t="shared" si="7"/>
        <v>1.5204513221426866E-3</v>
      </c>
      <c r="R2" s="1"/>
      <c r="S2" s="35"/>
      <c r="T2" s="1"/>
      <c r="U2" s="1"/>
      <c r="V2" s="1"/>
      <c r="W2" s="1"/>
      <c r="X2" s="1"/>
      <c r="Y2" s="1"/>
      <c r="Z2" s="1"/>
      <c r="AA2" s="1"/>
      <c r="AB2" s="1"/>
      <c r="AC2" s="1"/>
      <c r="AD2" s="4">
        <f t="shared" ref="AD2:AD50" si="12">IF($AF$1, K2, -1)</f>
        <v>-1</v>
      </c>
      <c r="AE2" s="4">
        <f t="shared" ref="AE2:AE51" si="13">IF($AF$2, M2, -1)</f>
        <v>-1</v>
      </c>
      <c r="AF2" s="12" t="b">
        <v>0</v>
      </c>
      <c r="AG2" s="3">
        <f>0.5*(0.2969*($R$1/6)*($A$2/0.2))^2</f>
        <v>5.92561267222222E-3</v>
      </c>
      <c r="AH2" s="4">
        <v>0.12566370614359174</v>
      </c>
      <c r="AI2" s="4">
        <f t="shared" ref="AI2:AI51" si="14">$AG$2*(COS($AG$1)+COS(AH2))</f>
        <v>1.1725252660642432E-2</v>
      </c>
      <c r="AJ2" s="4">
        <f t="shared" ref="AJ2:AJ51" si="15">IF($AF$3, $AG$2*(SIN($AG$1)+SIN(AH2)), -1)</f>
        <v>-1</v>
      </c>
    </row>
    <row r="3" spans="1:36" x14ac:dyDescent="0.3">
      <c r="B3" s="7">
        <v>0.99605735065723888</v>
      </c>
      <c r="C3" s="7">
        <f t="shared" si="0"/>
        <v>6.1499830276967853E-4</v>
      </c>
      <c r="D3" s="7">
        <f t="shared" si="1"/>
        <v>2.1024945771942658E-3</v>
      </c>
      <c r="E3" s="7">
        <f t="shared" si="8"/>
        <v>-0.13206562389376353</v>
      </c>
      <c r="F3" s="7">
        <f t="shared" si="9"/>
        <v>-0.13130576000555835</v>
      </c>
      <c r="G3" s="7">
        <f t="shared" si="10"/>
        <v>0.99633262769373565</v>
      </c>
      <c r="H3" s="7">
        <f t="shared" si="11"/>
        <v>2.6993941385717118E-3</v>
      </c>
      <c r="J3" s="7">
        <f t="shared" si="2"/>
        <v>0.99605735065723888</v>
      </c>
      <c r="K3" s="7">
        <f t="shared" si="3"/>
        <v>0</v>
      </c>
      <c r="L3" s="7">
        <f t="shared" si="4"/>
        <v>0.99605735065723888</v>
      </c>
      <c r="M3" s="7">
        <f t="shared" si="5"/>
        <v>6.1499830276967853E-4</v>
      </c>
      <c r="N3" s="7">
        <f t="shared" si="6"/>
        <v>0.99633262769373565</v>
      </c>
      <c r="O3" s="7">
        <f t="shared" si="7"/>
        <v>2.6993941385717118E-3</v>
      </c>
      <c r="AD3" s="4">
        <f t="shared" si="12"/>
        <v>-1</v>
      </c>
      <c r="AE3" s="4">
        <f t="shared" si="13"/>
        <v>-1</v>
      </c>
      <c r="AF3" s="12" t="b">
        <v>0</v>
      </c>
      <c r="AH3" s="4">
        <v>0.25132741228718347</v>
      </c>
      <c r="AI3" s="4">
        <f t="shared" si="14"/>
        <v>1.1585813867920271E-2</v>
      </c>
      <c r="AJ3" s="4">
        <f t="shared" si="15"/>
        <v>-1</v>
      </c>
    </row>
    <row r="4" spans="1:36" x14ac:dyDescent="0.3">
      <c r="A4" s="12">
        <v>3</v>
      </c>
      <c r="B4" s="7">
        <v>0.99114362536434442</v>
      </c>
      <c r="C4" s="7">
        <f t="shared" si="0"/>
        <v>1.2098418878307387E-3</v>
      </c>
      <c r="D4" s="7">
        <f t="shared" si="1"/>
        <v>3.3356219875178717E-3</v>
      </c>
      <c r="E4" s="7">
        <f t="shared" si="8"/>
        <v>-0.11262731541498011</v>
      </c>
      <c r="F4" s="7">
        <f t="shared" si="9"/>
        <v>-0.11215468486495847</v>
      </c>
      <c r="G4" s="7">
        <f t="shared" si="10"/>
        <v>0.9915169471982116</v>
      </c>
      <c r="H4" s="7">
        <f t="shared" si="11"/>
        <v>4.524507006959777E-3</v>
      </c>
      <c r="J4" s="7">
        <f t="shared" si="2"/>
        <v>0.99114362536434442</v>
      </c>
      <c r="K4" s="7">
        <f t="shared" si="3"/>
        <v>0</v>
      </c>
      <c r="L4" s="7">
        <f t="shared" si="4"/>
        <v>0.99114362536434442</v>
      </c>
      <c r="M4" s="7">
        <f t="shared" si="5"/>
        <v>1.2098418878307387E-3</v>
      </c>
      <c r="N4" s="7">
        <f t="shared" si="6"/>
        <v>0.9915169471982116</v>
      </c>
      <c r="O4" s="7">
        <f t="shared" si="7"/>
        <v>4.524507006959777E-3</v>
      </c>
      <c r="AD4" s="4">
        <f t="shared" si="12"/>
        <v>-1</v>
      </c>
      <c r="AE4" s="4">
        <f t="shared" si="13"/>
        <v>-1</v>
      </c>
      <c r="AF4" s="12" t="b">
        <v>0</v>
      </c>
      <c r="AH4" s="4">
        <v>0.37699111843077521</v>
      </c>
      <c r="AI4" s="4">
        <f t="shared" si="14"/>
        <v>1.1355860541349065E-2</v>
      </c>
      <c r="AJ4" s="4">
        <f t="shared" si="15"/>
        <v>-1</v>
      </c>
    </row>
    <row r="5" spans="1:36" x14ac:dyDescent="0.3">
      <c r="A5" s="12">
        <v>11</v>
      </c>
      <c r="B5" s="7">
        <v>0.98429158056431554</v>
      </c>
      <c r="C5" s="7">
        <f t="shared" si="0"/>
        <v>1.9296795794479429E-3</v>
      </c>
      <c r="D5" s="7">
        <f t="shared" si="1"/>
        <v>5.0252217551440001E-3</v>
      </c>
      <c r="E5" s="7">
        <f t="shared" si="8"/>
        <v>-9.8780916068307301E-2</v>
      </c>
      <c r="F5" s="7">
        <f t="shared" si="9"/>
        <v>-9.8461493577960954E-2</v>
      </c>
      <c r="G5" s="7">
        <f t="shared" si="10"/>
        <v>0.9847855723193637</v>
      </c>
      <c r="H5" s="7">
        <f t="shared" si="11"/>
        <v>6.9305620849980315E-3</v>
      </c>
      <c r="J5" s="7">
        <f t="shared" si="2"/>
        <v>0.98429158056431554</v>
      </c>
      <c r="K5" s="7">
        <f t="shared" si="3"/>
        <v>0</v>
      </c>
      <c r="L5" s="7">
        <f t="shared" si="4"/>
        <v>0.98429158056431554</v>
      </c>
      <c r="M5" s="7">
        <f t="shared" si="5"/>
        <v>1.9296795794479429E-3</v>
      </c>
      <c r="N5" s="7">
        <f t="shared" si="6"/>
        <v>0.9847855723193637</v>
      </c>
      <c r="O5" s="7">
        <f t="shared" si="7"/>
        <v>6.9305620849980315E-3</v>
      </c>
      <c r="AD5" s="4">
        <f t="shared" si="12"/>
        <v>-1</v>
      </c>
      <c r="AE5" s="4">
        <f t="shared" si="13"/>
        <v>-1</v>
      </c>
      <c r="AF5" s="12" t="b">
        <v>0</v>
      </c>
      <c r="AH5" s="4">
        <v>0.50265482457436694</v>
      </c>
      <c r="AI5" s="4">
        <f t="shared" si="14"/>
        <v>1.1039019182256299E-2</v>
      </c>
      <c r="AJ5" s="4">
        <f t="shared" si="15"/>
        <v>-1</v>
      </c>
    </row>
    <row r="6" spans="1:36" x14ac:dyDescent="0.3">
      <c r="B6" s="7">
        <v>0.97552825814757682</v>
      </c>
      <c r="C6" s="7">
        <f t="shared" si="0"/>
        <v>2.744605799852147E-3</v>
      </c>
      <c r="D6" s="7">
        <f t="shared" si="1"/>
        <v>7.1357081742219374E-3</v>
      </c>
      <c r="E6" s="7">
        <f t="shared" si="8"/>
        <v>-8.7983878141974614E-2</v>
      </c>
      <c r="F6" s="7">
        <f t="shared" si="9"/>
        <v>-8.7757894334951764E-2</v>
      </c>
      <c r="G6" s="7">
        <f t="shared" si="10"/>
        <v>0.9761536693876397</v>
      </c>
      <c r="H6" s="7">
        <f t="shared" si="11"/>
        <v>9.8528539615626541E-3</v>
      </c>
      <c r="J6" s="7">
        <f t="shared" si="2"/>
        <v>0.97552825814757682</v>
      </c>
      <c r="K6" s="7">
        <f t="shared" si="3"/>
        <v>0</v>
      </c>
      <c r="L6" s="7">
        <f t="shared" si="4"/>
        <v>0.97552825814757682</v>
      </c>
      <c r="M6" s="7">
        <f t="shared" si="5"/>
        <v>2.744605799852147E-3</v>
      </c>
      <c r="N6" s="7">
        <f t="shared" si="6"/>
        <v>0.9761536693876397</v>
      </c>
      <c r="O6" s="7">
        <f t="shared" si="7"/>
        <v>9.8528539615626541E-3</v>
      </c>
      <c r="AD6" s="4">
        <f t="shared" si="12"/>
        <v>-1</v>
      </c>
      <c r="AE6" s="4">
        <f t="shared" si="13"/>
        <v>-1</v>
      </c>
      <c r="AH6" s="4">
        <v>0.62831853071795862</v>
      </c>
      <c r="AI6" s="4">
        <f t="shared" si="14"/>
        <v>1.0640286568146719E-2</v>
      </c>
      <c r="AJ6" s="4">
        <f t="shared" si="15"/>
        <v>-1</v>
      </c>
    </row>
    <row r="7" spans="1:36" x14ac:dyDescent="0.3">
      <c r="A7" s="7">
        <f>RADIANS('naca_16-series_plot'!E4)</f>
        <v>0</v>
      </c>
      <c r="B7" s="7">
        <v>0.96488824294412567</v>
      </c>
      <c r="C7" s="7">
        <f t="shared" si="0"/>
        <v>3.6307611618016894E-3</v>
      </c>
      <c r="D7" s="7">
        <f t="shared" si="1"/>
        <v>9.6229910535381904E-3</v>
      </c>
      <c r="E7" s="7">
        <f t="shared" si="8"/>
        <v>-7.9103418623907268E-2</v>
      </c>
      <c r="F7" s="7">
        <f t="shared" si="9"/>
        <v>-7.8939042704391463E-2</v>
      </c>
      <c r="G7" s="7">
        <f t="shared" si="10"/>
        <v>0.96564708396901111</v>
      </c>
      <c r="H7" s="7">
        <f t="shared" si="11"/>
        <v>1.3223785560573275E-2</v>
      </c>
      <c r="J7" s="7">
        <f t="shared" si="2"/>
        <v>0.96488824294412567</v>
      </c>
      <c r="K7" s="7">
        <f t="shared" si="3"/>
        <v>0</v>
      </c>
      <c r="L7" s="7">
        <f t="shared" si="4"/>
        <v>0.96488824294412567</v>
      </c>
      <c r="M7" s="7">
        <f t="shared" si="5"/>
        <v>3.6307611618016894E-3</v>
      </c>
      <c r="N7" s="7">
        <f t="shared" si="6"/>
        <v>0.96564708396901111</v>
      </c>
      <c r="O7" s="7">
        <f t="shared" si="7"/>
        <v>1.3223785560573275E-2</v>
      </c>
      <c r="AD7" s="4">
        <f t="shared" si="12"/>
        <v>-1</v>
      </c>
      <c r="AE7" s="4">
        <f t="shared" si="13"/>
        <v>-1</v>
      </c>
      <c r="AH7" s="4">
        <v>0.7539822368615503</v>
      </c>
      <c r="AI7" s="4">
        <f t="shared" si="14"/>
        <v>1.0165950950536155E-2</v>
      </c>
      <c r="AJ7" s="4">
        <f t="shared" si="15"/>
        <v>-1</v>
      </c>
    </row>
    <row r="8" spans="1:36" x14ac:dyDescent="0.3">
      <c r="A8" s="3">
        <f>'naca_16-series_plot'!E6</f>
        <v>1</v>
      </c>
      <c r="B8" s="7">
        <v>0.95241352623300968</v>
      </c>
      <c r="C8" s="7">
        <f t="shared" si="0"/>
        <v>4.568060904518792E-3</v>
      </c>
      <c r="D8" s="7">
        <f t="shared" si="1"/>
        <v>1.2435652093475183E-2</v>
      </c>
      <c r="E8" s="7">
        <f t="shared" si="8"/>
        <v>-7.153499253919611E-2</v>
      </c>
      <c r="F8" s="7">
        <f t="shared" si="9"/>
        <v>-7.141334488607308E-2</v>
      </c>
      <c r="G8" s="7">
        <f t="shared" si="10"/>
        <v>0.95330084309637431</v>
      </c>
      <c r="H8" s="7">
        <f t="shared" si="11"/>
        <v>1.6972016393553026E-2</v>
      </c>
      <c r="J8" s="7">
        <f t="shared" si="2"/>
        <v>0.95241352623300968</v>
      </c>
      <c r="K8" s="7">
        <f t="shared" si="3"/>
        <v>0</v>
      </c>
      <c r="L8" s="7">
        <f t="shared" si="4"/>
        <v>0.95241352623300968</v>
      </c>
      <c r="M8" s="7">
        <f t="shared" si="5"/>
        <v>4.568060904518792E-3</v>
      </c>
      <c r="N8" s="7">
        <f t="shared" si="6"/>
        <v>0.95330084309637431</v>
      </c>
      <c r="O8" s="7">
        <f t="shared" si="7"/>
        <v>1.6972016393553026E-2</v>
      </c>
      <c r="AD8" s="4">
        <f t="shared" si="12"/>
        <v>-1</v>
      </c>
      <c r="AE8" s="4">
        <f t="shared" si="13"/>
        <v>-1</v>
      </c>
      <c r="AH8" s="4">
        <v>0.87964594300514198</v>
      </c>
      <c r="AI8" s="4">
        <f t="shared" si="14"/>
        <v>9.6234928854686819E-3</v>
      </c>
      <c r="AJ8" s="4">
        <f t="shared" si="15"/>
        <v>-1</v>
      </c>
    </row>
    <row r="9" spans="1:36" x14ac:dyDescent="0.3">
      <c r="B9" s="7">
        <v>0.93815334002193174</v>
      </c>
      <c r="C9" s="7">
        <f t="shared" si="0"/>
        <v>5.5390390875733591E-3</v>
      </c>
      <c r="D9" s="7">
        <f t="shared" si="1"/>
        <v>1.5516306958619568E-2</v>
      </c>
      <c r="E9" s="7">
        <f t="shared" si="8"/>
        <v>-6.491743875433427E-2</v>
      </c>
      <c r="F9" s="7">
        <f t="shared" si="9"/>
        <v>-6.4826475362301142E-2</v>
      </c>
      <c r="G9" s="7">
        <f t="shared" si="10"/>
        <v>0.9391585031390749</v>
      </c>
      <c r="H9" s="7">
        <f t="shared" si="11"/>
        <v>2.1022754040453402E-2</v>
      </c>
      <c r="J9" s="7">
        <f t="shared" si="2"/>
        <v>0.93815334002193174</v>
      </c>
      <c r="K9" s="7">
        <f t="shared" si="3"/>
        <v>0</v>
      </c>
      <c r="L9" s="7">
        <f t="shared" si="4"/>
        <v>0.93815334002193174</v>
      </c>
      <c r="M9" s="7">
        <f t="shared" si="5"/>
        <v>5.5390390875733591E-3</v>
      </c>
      <c r="N9" s="7">
        <f t="shared" si="6"/>
        <v>0.9391585031390749</v>
      </c>
      <c r="O9" s="7">
        <f t="shared" si="7"/>
        <v>2.1022754040453402E-2</v>
      </c>
      <c r="AD9" s="4">
        <f t="shared" si="12"/>
        <v>-1</v>
      </c>
      <c r="AE9" s="4">
        <f t="shared" si="13"/>
        <v>-1</v>
      </c>
      <c r="AH9" s="4">
        <v>1.0053096491487337</v>
      </c>
      <c r="AI9" s="4">
        <f t="shared" si="14"/>
        <v>9.0214672606791606E-3</v>
      </c>
      <c r="AJ9" s="4">
        <f t="shared" si="15"/>
        <v>-1</v>
      </c>
    </row>
    <row r="10" spans="1:36" x14ac:dyDescent="0.3">
      <c r="B10" s="7">
        <v>0.92216396275100743</v>
      </c>
      <c r="C10" s="7">
        <f t="shared" si="0"/>
        <v>6.5281891145447116E-3</v>
      </c>
      <c r="D10" s="7">
        <f t="shared" si="1"/>
        <v>1.8803111569016869E-2</v>
      </c>
      <c r="E10" s="7">
        <f t="shared" si="8"/>
        <v>-5.9017482208929814E-2</v>
      </c>
      <c r="F10" s="7">
        <f t="shared" si="9"/>
        <v>-5.894910451018634E-2</v>
      </c>
      <c r="G10" s="7">
        <f t="shared" si="10"/>
        <v>0.9232717474883736</v>
      </c>
      <c r="H10" s="7">
        <f t="shared" si="11"/>
        <v>2.5298639765835813E-2</v>
      </c>
      <c r="J10" s="7">
        <f t="shared" si="2"/>
        <v>0.92216396275100743</v>
      </c>
      <c r="K10" s="7">
        <f t="shared" si="3"/>
        <v>0</v>
      </c>
      <c r="L10" s="7">
        <f t="shared" si="4"/>
        <v>0.92216396275100743</v>
      </c>
      <c r="M10" s="7">
        <f t="shared" si="5"/>
        <v>6.5281891145447116E-3</v>
      </c>
      <c r="N10" s="7">
        <f t="shared" si="6"/>
        <v>0.9232717474883736</v>
      </c>
      <c r="O10" s="7">
        <f t="shared" si="7"/>
        <v>2.5298639765835813E-2</v>
      </c>
      <c r="AD10" s="4">
        <f t="shared" si="12"/>
        <v>-1</v>
      </c>
      <c r="AE10" s="4">
        <f t="shared" si="13"/>
        <v>-1</v>
      </c>
      <c r="AH10" s="4">
        <v>1.1309733552923253</v>
      </c>
      <c r="AI10" s="4">
        <f t="shared" si="14"/>
        <v>8.3693683799031943E-3</v>
      </c>
      <c r="AJ10" s="4">
        <f t="shared" si="15"/>
        <v>-1</v>
      </c>
    </row>
    <row r="11" spans="1:36" x14ac:dyDescent="0.3">
      <c r="B11" s="7">
        <v>0.90450849718747373</v>
      </c>
      <c r="C11" s="7">
        <f t="shared" si="0"/>
        <v>7.5215589215334652E-3</v>
      </c>
      <c r="D11" s="7">
        <f t="shared" si="1"/>
        <v>2.2231367001595163E-2</v>
      </c>
      <c r="E11" s="7">
        <f t="shared" si="8"/>
        <v>-5.3675508236882823E-2</v>
      </c>
      <c r="F11" s="7">
        <f t="shared" si="9"/>
        <v>-5.3624049704160216E-2</v>
      </c>
      <c r="G11" s="7">
        <f t="shared" si="10"/>
        <v>0.90570006185986385</v>
      </c>
      <c r="H11" s="7">
        <f t="shared" si="11"/>
        <v>2.9720970003612339E-2</v>
      </c>
      <c r="J11" s="7">
        <f t="shared" si="2"/>
        <v>0.90450849718747373</v>
      </c>
      <c r="K11" s="7">
        <f t="shared" si="3"/>
        <v>0</v>
      </c>
      <c r="L11" s="7">
        <f t="shared" si="4"/>
        <v>0.90450849718747373</v>
      </c>
      <c r="M11" s="7">
        <f t="shared" si="5"/>
        <v>7.5215589215334652E-3</v>
      </c>
      <c r="N11" s="7">
        <f t="shared" si="6"/>
        <v>0.90570006185986385</v>
      </c>
      <c r="O11" s="7">
        <f t="shared" si="7"/>
        <v>2.9720970003612339E-2</v>
      </c>
      <c r="AD11" s="4">
        <f t="shared" si="12"/>
        <v>-1</v>
      </c>
      <c r="AE11" s="4">
        <f t="shared" si="13"/>
        <v>-1</v>
      </c>
      <c r="AH11" s="4">
        <v>1.256637061435917</v>
      </c>
      <c r="AI11" s="4">
        <f t="shared" si="14"/>
        <v>7.6774802320356125E-3</v>
      </c>
      <c r="AJ11" s="4">
        <f t="shared" si="15"/>
        <v>-1</v>
      </c>
    </row>
    <row r="12" spans="1:36" x14ac:dyDescent="0.3">
      <c r="B12" s="7">
        <v>0.88525662138789452</v>
      </c>
      <c r="C12" s="7">
        <f t="shared" si="0"/>
        <v>8.506489973898702E-3</v>
      </c>
      <c r="D12" s="7">
        <f t="shared" si="1"/>
        <v>2.5735174757423956E-2</v>
      </c>
      <c r="E12" s="7">
        <f t="shared" si="8"/>
        <v>-4.8777315793033883E-2</v>
      </c>
      <c r="F12" s="7">
        <f t="shared" si="9"/>
        <v>-4.8738686827597397E-2</v>
      </c>
      <c r="G12" s="7">
        <f t="shared" si="10"/>
        <v>0.88651042348054532</v>
      </c>
      <c r="H12" s="7">
        <f t="shared" si="11"/>
        <v>3.4211104347734694E-2</v>
      </c>
      <c r="J12" s="7">
        <f t="shared" si="2"/>
        <v>0.88525662138789452</v>
      </c>
      <c r="K12" s="7">
        <f t="shared" si="3"/>
        <v>0</v>
      </c>
      <c r="L12" s="7">
        <f t="shared" si="4"/>
        <v>0.88525662138789452</v>
      </c>
      <c r="M12" s="7">
        <f t="shared" si="5"/>
        <v>8.506489973898702E-3</v>
      </c>
      <c r="N12" s="7">
        <f t="shared" si="6"/>
        <v>0.88651042348054532</v>
      </c>
      <c r="O12" s="7">
        <f t="shared" si="7"/>
        <v>3.4211104347734694E-2</v>
      </c>
      <c r="AD12" s="4">
        <f t="shared" si="12"/>
        <v>-1</v>
      </c>
      <c r="AE12" s="4">
        <f t="shared" si="13"/>
        <v>-1</v>
      </c>
      <c r="AH12" s="4">
        <v>1.3823007675795087</v>
      </c>
      <c r="AI12" s="4">
        <f t="shared" si="14"/>
        <v>6.9567143064822295E-3</v>
      </c>
      <c r="AJ12" s="4">
        <f t="shared" si="15"/>
        <v>-1</v>
      </c>
    </row>
    <row r="13" spans="1:36" x14ac:dyDescent="0.3">
      <c r="B13" s="7">
        <v>0.86448431371070567</v>
      </c>
      <c r="C13" s="7">
        <f t="shared" si="0"/>
        <v>9.4714432450788786E-3</v>
      </c>
      <c r="D13" s="7">
        <f t="shared" si="1"/>
        <v>2.9249093090398109E-2</v>
      </c>
      <c r="E13" s="7">
        <f t="shared" si="8"/>
        <v>-4.423820888242095E-2</v>
      </c>
      <c r="F13" s="7">
        <f t="shared" si="9"/>
        <v>-4.4209384380637894E-2</v>
      </c>
      <c r="G13" s="7">
        <f t="shared" si="10"/>
        <v>0.86577697693537892</v>
      </c>
      <c r="H13" s="7">
        <f t="shared" si="11"/>
        <v>3.8691957757974633E-2</v>
      </c>
      <c r="J13" s="7">
        <f t="shared" si="2"/>
        <v>0.86448431371070567</v>
      </c>
      <c r="K13" s="7">
        <f t="shared" si="3"/>
        <v>0</v>
      </c>
      <c r="L13" s="7">
        <f t="shared" si="4"/>
        <v>0.86448431371070567</v>
      </c>
      <c r="M13" s="7">
        <f t="shared" si="5"/>
        <v>9.4714432450788786E-3</v>
      </c>
      <c r="N13" s="7">
        <f t="shared" si="6"/>
        <v>0.86577697693537892</v>
      </c>
      <c r="O13" s="7">
        <f t="shared" si="7"/>
        <v>3.8691957757974633E-2</v>
      </c>
      <c r="AD13" s="4">
        <f t="shared" si="12"/>
        <v>-1</v>
      </c>
      <c r="AE13" s="4">
        <f t="shared" si="13"/>
        <v>-1</v>
      </c>
      <c r="AH13" s="4">
        <v>1.5079644737231004</v>
      </c>
      <c r="AI13" s="4">
        <f t="shared" si="14"/>
        <v>6.2184375124537178E-3</v>
      </c>
      <c r="AJ13" s="4">
        <f t="shared" si="15"/>
        <v>-1</v>
      </c>
    </row>
    <row r="14" spans="1:36" x14ac:dyDescent="0.3">
      <c r="B14" s="7">
        <v>0.84227355296434436</v>
      </c>
      <c r="C14" s="7">
        <f t="shared" si="0"/>
        <v>1.0405880561552708E-2</v>
      </c>
      <c r="D14" s="7">
        <f t="shared" si="1"/>
        <v>3.2709745635081687E-2</v>
      </c>
      <c r="E14" s="7">
        <f t="shared" si="8"/>
        <v>-3.9993472570762016E-2</v>
      </c>
      <c r="F14" s="7">
        <f t="shared" si="9"/>
        <v>-3.9972170119556553E-2</v>
      </c>
      <c r="G14" s="7">
        <f t="shared" si="10"/>
        <v>0.84358068433303823</v>
      </c>
      <c r="H14" s="7">
        <f t="shared" si="11"/>
        <v>4.3089498278946266E-2</v>
      </c>
      <c r="J14" s="7">
        <f t="shared" si="2"/>
        <v>0.84227355296434436</v>
      </c>
      <c r="K14" s="7">
        <f t="shared" si="3"/>
        <v>0</v>
      </c>
      <c r="L14" s="7">
        <f t="shared" si="4"/>
        <v>0.84227355296434436</v>
      </c>
      <c r="M14" s="7">
        <f t="shared" si="5"/>
        <v>1.0405880561552708E-2</v>
      </c>
      <c r="N14" s="7">
        <f t="shared" si="6"/>
        <v>0.84358068433303823</v>
      </c>
      <c r="O14" s="7">
        <f t="shared" si="7"/>
        <v>4.3089498278946266E-2</v>
      </c>
      <c r="AD14" s="4">
        <f t="shared" si="12"/>
        <v>-1</v>
      </c>
      <c r="AE14" s="4">
        <f t="shared" si="13"/>
        <v>-1</v>
      </c>
      <c r="AH14" s="4">
        <v>1.6336281798666921</v>
      </c>
      <c r="AI14" s="4">
        <f t="shared" si="14"/>
        <v>5.4742929160170855E-3</v>
      </c>
      <c r="AJ14" s="4">
        <f t="shared" si="15"/>
        <v>-1</v>
      </c>
    </row>
    <row r="15" spans="1:36" x14ac:dyDescent="0.3">
      <c r="B15" s="7">
        <v>0.81871199487434487</v>
      </c>
      <c r="C15" s="7">
        <f t="shared" si="0"/>
        <v>1.1300182574347166E-2</v>
      </c>
      <c r="D15" s="7">
        <f t="shared" si="1"/>
        <v>3.6057335687747501E-2</v>
      </c>
      <c r="E15" s="7">
        <f t="shared" si="8"/>
        <v>-3.5992382967022313E-2</v>
      </c>
      <c r="F15" s="7">
        <f t="shared" si="9"/>
        <v>-3.5976852905888368E-2</v>
      </c>
      <c r="G15" s="7">
        <f t="shared" si="10"/>
        <v>0.82000894451331652</v>
      </c>
      <c r="H15" s="7">
        <f t="shared" si="11"/>
        <v>4.7334185662165219E-2</v>
      </c>
      <c r="J15" s="7">
        <f t="shared" si="2"/>
        <v>0.81871199487434487</v>
      </c>
      <c r="K15" s="7">
        <f t="shared" si="3"/>
        <v>0</v>
      </c>
      <c r="L15" s="7">
        <f t="shared" si="4"/>
        <v>0.81871199487434487</v>
      </c>
      <c r="M15" s="7">
        <f t="shared" si="5"/>
        <v>1.1300182574347166E-2</v>
      </c>
      <c r="N15" s="7">
        <f t="shared" si="6"/>
        <v>0.82000894451331652</v>
      </c>
      <c r="O15" s="7">
        <f t="shared" si="7"/>
        <v>4.7334185662165219E-2</v>
      </c>
      <c r="AD15" s="4">
        <f t="shared" si="12"/>
        <v>-1</v>
      </c>
      <c r="AE15" s="4">
        <f t="shared" si="13"/>
        <v>-1</v>
      </c>
      <c r="AH15" s="4">
        <v>1.7592918860102837</v>
      </c>
      <c r="AI15" s="4">
        <f t="shared" si="14"/>
        <v>4.7360161219885738E-3</v>
      </c>
      <c r="AJ15" s="4">
        <f t="shared" si="15"/>
        <v>-1</v>
      </c>
    </row>
    <row r="16" spans="1:36" x14ac:dyDescent="0.3">
      <c r="B16" s="7">
        <v>0.79389262614623646</v>
      </c>
      <c r="C16" s="7">
        <f t="shared" si="0"/>
        <v>1.2145591673401202E-2</v>
      </c>
      <c r="D16" s="7">
        <f t="shared" si="1"/>
        <v>3.923702310369407E-2</v>
      </c>
      <c r="E16" s="7">
        <f t="shared" si="8"/>
        <v>-3.2194282580986944E-2</v>
      </c>
      <c r="F16" s="7">
        <f t="shared" si="9"/>
        <v>-3.2183166670628184E-2</v>
      </c>
      <c r="G16" s="7">
        <f t="shared" si="10"/>
        <v>0.79515517982446549</v>
      </c>
      <c r="H16" s="7">
        <f t="shared" si="11"/>
        <v>5.136229653560772E-2</v>
      </c>
      <c r="J16" s="7">
        <f t="shared" si="2"/>
        <v>0.79389262614623646</v>
      </c>
      <c r="K16" s="7">
        <f t="shared" si="3"/>
        <v>0</v>
      </c>
      <c r="L16" s="7">
        <f t="shared" si="4"/>
        <v>0.79389262614623646</v>
      </c>
      <c r="M16" s="7">
        <f t="shared" si="5"/>
        <v>1.2145591673401202E-2</v>
      </c>
      <c r="N16" s="7">
        <f t="shared" si="6"/>
        <v>0.79515517982446549</v>
      </c>
      <c r="O16" s="7">
        <f t="shared" si="7"/>
        <v>5.136229653560772E-2</v>
      </c>
      <c r="AD16" s="4">
        <f t="shared" si="12"/>
        <v>-1</v>
      </c>
      <c r="AE16" s="4">
        <f t="shared" si="13"/>
        <v>-1</v>
      </c>
      <c r="AH16" s="4">
        <v>1.8849555921538754</v>
      </c>
      <c r="AI16" s="4">
        <f t="shared" si="14"/>
        <v>4.0152501964351916E-3</v>
      </c>
      <c r="AJ16" s="4">
        <f t="shared" si="15"/>
        <v>-1</v>
      </c>
    </row>
    <row r="17" spans="2:36" x14ac:dyDescent="0.3">
      <c r="B17" s="7">
        <v>0.76791339748949849</v>
      </c>
      <c r="C17" s="7">
        <f t="shared" si="0"/>
        <v>1.2934172252742642E-2</v>
      </c>
      <c r="D17" s="7">
        <f t="shared" si="1"/>
        <v>4.2200125743913797E-2</v>
      </c>
      <c r="E17" s="7">
        <f t="shared" si="8"/>
        <v>-2.856591798369798E-2</v>
      </c>
      <c r="F17" s="7">
        <f t="shared" si="9"/>
        <v>-2.8558151744933022E-2</v>
      </c>
      <c r="G17" s="7">
        <f t="shared" si="10"/>
        <v>0.76911839127616066</v>
      </c>
      <c r="H17" s="7">
        <f t="shared" si="11"/>
        <v>5.5117090629453386E-2</v>
      </c>
      <c r="J17" s="7">
        <f t="shared" si="2"/>
        <v>0.76791339748949849</v>
      </c>
      <c r="K17" s="7">
        <f t="shared" si="3"/>
        <v>0</v>
      </c>
      <c r="L17" s="7">
        <f t="shared" si="4"/>
        <v>0.76791339748949849</v>
      </c>
      <c r="M17" s="7">
        <f t="shared" si="5"/>
        <v>1.2934172252742642E-2</v>
      </c>
      <c r="N17" s="7">
        <f t="shared" si="6"/>
        <v>0.76911839127616066</v>
      </c>
      <c r="O17" s="7">
        <f t="shared" si="7"/>
        <v>5.5117090629453386E-2</v>
      </c>
      <c r="AD17" s="4">
        <f t="shared" si="12"/>
        <v>-1</v>
      </c>
      <c r="AE17" s="4">
        <f t="shared" si="13"/>
        <v>-1</v>
      </c>
      <c r="AH17" s="4">
        <v>2.0106192982974673</v>
      </c>
      <c r="AI17" s="4">
        <f t="shared" si="14"/>
        <v>3.3233620485676072E-3</v>
      </c>
      <c r="AJ17" s="4">
        <f t="shared" si="15"/>
        <v>-1</v>
      </c>
    </row>
    <row r="18" spans="2:36" x14ac:dyDescent="0.3">
      <c r="B18" s="7">
        <v>0.74087683705085772</v>
      </c>
      <c r="C18" s="7">
        <f t="shared" si="0"/>
        <v>1.3658783221019016E-2</v>
      </c>
      <c r="D18" s="7">
        <f t="shared" si="1"/>
        <v>4.4905113557687705E-2</v>
      </c>
      <c r="E18" s="7">
        <f t="shared" si="8"/>
        <v>-2.5079578279710794E-2</v>
      </c>
      <c r="F18" s="7">
        <f t="shared" si="9"/>
        <v>-2.5074322034984779E-2</v>
      </c>
      <c r="G18" s="7">
        <f t="shared" si="10"/>
        <v>0.74200268434647632</v>
      </c>
      <c r="H18" s="7">
        <f t="shared" si="11"/>
        <v>5.8549781110303858E-2</v>
      </c>
      <c r="J18" s="7">
        <f t="shared" si="2"/>
        <v>0.74087683705085772</v>
      </c>
      <c r="K18" s="7">
        <f t="shared" si="3"/>
        <v>0</v>
      </c>
      <c r="L18" s="7">
        <f t="shared" si="4"/>
        <v>0.74087683705085772</v>
      </c>
      <c r="M18" s="7">
        <f t="shared" si="5"/>
        <v>1.3658783221019016E-2</v>
      </c>
      <c r="N18" s="7">
        <f t="shared" si="6"/>
        <v>0.74200268434647632</v>
      </c>
      <c r="O18" s="7">
        <f t="shared" si="7"/>
        <v>5.8549781110303858E-2</v>
      </c>
      <c r="AD18" s="4">
        <f t="shared" si="12"/>
        <v>-1</v>
      </c>
      <c r="AE18" s="4">
        <f t="shared" si="13"/>
        <v>-1</v>
      </c>
      <c r="AH18" s="4">
        <v>2.1362830044410592</v>
      </c>
      <c r="AI18" s="4">
        <f t="shared" si="14"/>
        <v>2.6712631677916405E-3</v>
      </c>
      <c r="AJ18" s="4">
        <f t="shared" si="15"/>
        <v>-1</v>
      </c>
    </row>
    <row r="19" spans="2:36" x14ac:dyDescent="0.3">
      <c r="B19" s="7">
        <v>0.71288964578253633</v>
      </c>
      <c r="C19" s="7">
        <f t="shared" si="0"/>
        <v>1.4313059224473073E-2</v>
      </c>
      <c r="D19" s="7">
        <f t="shared" si="1"/>
        <v>4.7318370507912412E-2</v>
      </c>
      <c r="E19" s="7">
        <f t="shared" si="8"/>
        <v>-2.171175776658418E-2</v>
      </c>
      <c r="F19" s="7">
        <f t="shared" si="9"/>
        <v>-2.1708347087261132E-2</v>
      </c>
      <c r="G19" s="7">
        <f t="shared" si="10"/>
        <v>0.71391676871634369</v>
      </c>
      <c r="H19" s="7">
        <f t="shared" si="11"/>
        <v>6.1620280723974838E-2</v>
      </c>
      <c r="J19" s="7">
        <f t="shared" si="2"/>
        <v>0.71288964578253633</v>
      </c>
      <c r="K19" s="7">
        <f t="shared" si="3"/>
        <v>0</v>
      </c>
      <c r="L19" s="7">
        <f t="shared" si="4"/>
        <v>0.71288964578253633</v>
      </c>
      <c r="M19" s="7">
        <f t="shared" si="5"/>
        <v>1.4313059224473073E-2</v>
      </c>
      <c r="N19" s="7">
        <f t="shared" si="6"/>
        <v>0.71391676871634369</v>
      </c>
      <c r="O19" s="7">
        <f t="shared" si="7"/>
        <v>6.1620280723974838E-2</v>
      </c>
      <c r="AD19" s="4">
        <f t="shared" si="12"/>
        <v>-1</v>
      </c>
      <c r="AE19" s="4">
        <f t="shared" si="13"/>
        <v>-1</v>
      </c>
      <c r="AH19" s="4">
        <v>2.2619467105846511</v>
      </c>
      <c r="AI19" s="4">
        <f t="shared" si="14"/>
        <v>2.069237543002117E-3</v>
      </c>
      <c r="AJ19" s="4">
        <f t="shared" si="15"/>
        <v>-1</v>
      </c>
    </row>
    <row r="20" spans="2:36" x14ac:dyDescent="0.3">
      <c r="B20" s="7">
        <v>0.68406227634233885</v>
      </c>
      <c r="C20" s="7">
        <f t="shared" si="0"/>
        <v>1.4891398079105569E-2</v>
      </c>
      <c r="D20" s="7">
        <f t="shared" si="1"/>
        <v>4.9414707384469778E-2</v>
      </c>
      <c r="E20" s="7">
        <f t="shared" si="8"/>
        <v>-1.8442170790684161E-2</v>
      </c>
      <c r="F20" s="7">
        <f t="shared" si="9"/>
        <v>-1.8440080405825319E-2</v>
      </c>
      <c r="G20" s="7">
        <f t="shared" si="10"/>
        <v>0.68497343587976356</v>
      </c>
      <c r="H20" s="7">
        <f t="shared" si="11"/>
        <v>6.4297704297949052E-2</v>
      </c>
      <c r="J20" s="7">
        <f t="shared" si="2"/>
        <v>0.68406227634233885</v>
      </c>
      <c r="K20" s="7">
        <f t="shared" si="3"/>
        <v>0</v>
      </c>
      <c r="L20" s="7">
        <f t="shared" si="4"/>
        <v>0.68406227634233885</v>
      </c>
      <c r="M20" s="7">
        <f t="shared" si="5"/>
        <v>1.4891398079105569E-2</v>
      </c>
      <c r="N20" s="7">
        <f t="shared" si="6"/>
        <v>0.68497343587976356</v>
      </c>
      <c r="O20" s="7">
        <f t="shared" si="7"/>
        <v>6.4297704297949052E-2</v>
      </c>
      <c r="AD20" s="4">
        <f t="shared" si="12"/>
        <v>-1</v>
      </c>
      <c r="AE20" s="4">
        <f t="shared" si="13"/>
        <v>-1</v>
      </c>
      <c r="AH20" s="4">
        <v>2.387610416728243</v>
      </c>
      <c r="AI20" s="4">
        <f t="shared" si="14"/>
        <v>1.5267794779346444E-3</v>
      </c>
      <c r="AJ20" s="4">
        <f t="shared" si="15"/>
        <v>-1</v>
      </c>
    </row>
    <row r="21" spans="2:36" x14ac:dyDescent="0.3">
      <c r="B21" s="7">
        <v>0.6545084971874735</v>
      </c>
      <c r="C21" s="7">
        <f t="shared" si="0"/>
        <v>1.538895260430935E-2</v>
      </c>
      <c r="D21" s="7">
        <f t="shared" si="1"/>
        <v>5.1177616836327787E-2</v>
      </c>
      <c r="E21" s="7">
        <f t="shared" si="8"/>
        <v>-1.5253008332374597E-2</v>
      </c>
      <c r="F21" s="7">
        <f t="shared" si="9"/>
        <v>-1.5251825604998494E-2</v>
      </c>
      <c r="G21" s="7">
        <f t="shared" si="10"/>
        <v>0.65528901901292436</v>
      </c>
      <c r="H21" s="7">
        <f t="shared" si="11"/>
        <v>6.6560617133870792E-2</v>
      </c>
      <c r="J21" s="7">
        <f t="shared" si="2"/>
        <v>0.6545084971874735</v>
      </c>
      <c r="K21" s="7">
        <f t="shared" si="3"/>
        <v>0</v>
      </c>
      <c r="L21" s="7">
        <f t="shared" si="4"/>
        <v>0.6545084971874735</v>
      </c>
      <c r="M21" s="7">
        <f t="shared" si="5"/>
        <v>1.538895260430935E-2</v>
      </c>
      <c r="N21" s="7">
        <f t="shared" si="6"/>
        <v>0.65528901901292436</v>
      </c>
      <c r="O21" s="7">
        <f t="shared" si="7"/>
        <v>6.6560617133870792E-2</v>
      </c>
      <c r="AD21" s="4">
        <f t="shared" si="12"/>
        <v>-1</v>
      </c>
      <c r="AE21" s="4">
        <f t="shared" si="13"/>
        <v>-1</v>
      </c>
      <c r="AH21" s="4">
        <v>2.5132741228718349</v>
      </c>
      <c r="AI21" s="4">
        <f t="shared" si="14"/>
        <v>1.0524438603240769E-3</v>
      </c>
      <c r="AJ21" s="4">
        <f t="shared" si="15"/>
        <v>-1</v>
      </c>
    </row>
    <row r="22" spans="2:36" x14ac:dyDescent="0.3">
      <c r="B22" s="7">
        <v>0.62434494358242743</v>
      </c>
      <c r="C22" s="7">
        <f t="shared" si="0"/>
        <v>1.5801625533945537E-2</v>
      </c>
      <c r="D22" s="7">
        <f t="shared" si="1"/>
        <v>5.2599270400495605E-2</v>
      </c>
      <c r="E22" s="7">
        <f t="shared" si="8"/>
        <v>-1.2128363222482867E-2</v>
      </c>
      <c r="F22" s="7">
        <f t="shared" si="9"/>
        <v>-1.2127768592228591E-2</v>
      </c>
      <c r="G22" s="7">
        <f t="shared" si="10"/>
        <v>0.62498283972444102</v>
      </c>
      <c r="H22" s="7">
        <f t="shared" si="11"/>
        <v>6.8397027758631088E-2</v>
      </c>
      <c r="J22" s="7">
        <f t="shared" si="2"/>
        <v>0.62434494358242743</v>
      </c>
      <c r="K22" s="7">
        <f t="shared" si="3"/>
        <v>0</v>
      </c>
      <c r="L22" s="7">
        <f t="shared" si="4"/>
        <v>0.62434494358242743</v>
      </c>
      <c r="M22" s="7">
        <f t="shared" si="5"/>
        <v>1.5801625533945537E-2</v>
      </c>
      <c r="N22" s="7">
        <f t="shared" si="6"/>
        <v>0.62498283972444102</v>
      </c>
      <c r="O22" s="7">
        <f t="shared" si="7"/>
        <v>6.8397027758631088E-2</v>
      </c>
      <c r="AD22" s="4">
        <f t="shared" si="12"/>
        <v>-1</v>
      </c>
      <c r="AE22" s="4">
        <f t="shared" si="13"/>
        <v>-1</v>
      </c>
      <c r="AH22" s="4">
        <v>2.6389378290154268</v>
      </c>
      <c r="AI22" s="4">
        <f t="shared" si="14"/>
        <v>6.5371124621449754E-4</v>
      </c>
      <c r="AJ22" s="4">
        <f t="shared" si="15"/>
        <v>-1</v>
      </c>
    </row>
    <row r="23" spans="2:36" x14ac:dyDescent="0.3">
      <c r="B23" s="7">
        <v>0.5936906572928623</v>
      </c>
      <c r="C23" s="7">
        <f t="shared" si="0"/>
        <v>1.612606652681951E-2</v>
      </c>
      <c r="D23" s="7">
        <f t="shared" si="1"/>
        <v>5.3680265627154576E-2</v>
      </c>
      <c r="E23" s="7">
        <f t="shared" si="8"/>
        <v>-9.0537742132901864E-3</v>
      </c>
      <c r="F23" s="7">
        <f t="shared" si="9"/>
        <v>-9.0535268436682248E-3</v>
      </c>
      <c r="G23" s="7">
        <f t="shared" si="10"/>
        <v>0.5941766463795044</v>
      </c>
      <c r="H23" s="7">
        <f t="shared" si="11"/>
        <v>6.9804132181326264E-2</v>
      </c>
      <c r="J23" s="7">
        <f t="shared" si="2"/>
        <v>0.5936906572928623</v>
      </c>
      <c r="K23" s="7">
        <f t="shared" si="3"/>
        <v>0</v>
      </c>
      <c r="L23" s="7">
        <f t="shared" si="4"/>
        <v>0.5936906572928623</v>
      </c>
      <c r="M23" s="7">
        <f t="shared" si="5"/>
        <v>1.612606652681951E-2</v>
      </c>
      <c r="N23" s="7">
        <f t="shared" si="6"/>
        <v>0.5941766463795044</v>
      </c>
      <c r="O23" s="7">
        <f t="shared" si="7"/>
        <v>6.9804132181326264E-2</v>
      </c>
      <c r="AD23" s="4">
        <f t="shared" si="12"/>
        <v>-1</v>
      </c>
      <c r="AE23" s="4">
        <f t="shared" si="13"/>
        <v>-1</v>
      </c>
      <c r="AH23" s="4">
        <v>2.7646015351590187</v>
      </c>
      <c r="AI23" s="4">
        <f t="shared" si="14"/>
        <v>3.3686988712173106E-4</v>
      </c>
      <c r="AJ23" s="4">
        <f t="shared" si="15"/>
        <v>-1</v>
      </c>
    </row>
    <row r="24" spans="2:36" x14ac:dyDescent="0.3">
      <c r="B24" s="7">
        <v>0.56266661678215213</v>
      </c>
      <c r="C24" s="7">
        <f t="shared" si="0"/>
        <v>1.6359670553251125E-2</v>
      </c>
      <c r="D24" s="7">
        <f t="shared" si="1"/>
        <v>5.4429139313521661E-2</v>
      </c>
      <c r="E24" s="7">
        <f t="shared" si="8"/>
        <v>-6.0158539962544512E-3</v>
      </c>
      <c r="F24" s="7">
        <f t="shared" si="9"/>
        <v>-6.0157814255769777E-3</v>
      </c>
      <c r="G24" s="7">
        <f t="shared" si="10"/>
        <v>0.56299404861249691</v>
      </c>
      <c r="H24" s="7">
        <f t="shared" si="11"/>
        <v>7.0787824984641007E-2</v>
      </c>
      <c r="J24" s="7">
        <f t="shared" si="2"/>
        <v>0.56266661678215213</v>
      </c>
      <c r="K24" s="7">
        <f t="shared" si="3"/>
        <v>0</v>
      </c>
      <c r="L24" s="7">
        <f t="shared" si="4"/>
        <v>0.56266661678215213</v>
      </c>
      <c r="M24" s="7">
        <f t="shared" si="5"/>
        <v>1.6359670553251125E-2</v>
      </c>
      <c r="N24" s="7">
        <f t="shared" si="6"/>
        <v>0.56299404861249691</v>
      </c>
      <c r="O24" s="7">
        <f t="shared" si="7"/>
        <v>7.0787824984641007E-2</v>
      </c>
      <c r="AD24" s="4">
        <f t="shared" si="12"/>
        <v>-1</v>
      </c>
      <c r="AE24" s="4">
        <f t="shared" si="13"/>
        <v>-1</v>
      </c>
      <c r="AH24" s="4">
        <v>2.8902652413026106</v>
      </c>
      <c r="AI24" s="4">
        <f t="shared" si="14"/>
        <v>1.0691656055052535E-4</v>
      </c>
      <c r="AJ24" s="4">
        <f t="shared" si="15"/>
        <v>-1</v>
      </c>
    </row>
    <row r="25" spans="2:36" x14ac:dyDescent="0.3">
      <c r="B25" s="7">
        <v>0.53139525976465674</v>
      </c>
      <c r="C25" s="7">
        <f t="shared" si="0"/>
        <v>1.6500577127924004E-2</v>
      </c>
      <c r="D25" s="7">
        <f t="shared" si="1"/>
        <v>5.4861670098894991E-2</v>
      </c>
      <c r="E25" s="7">
        <f t="shared" si="8"/>
        <v>-3.0019758712989124E-3</v>
      </c>
      <c r="F25" s="7">
        <f t="shared" si="9"/>
        <v>-3.0019668535531158E-3</v>
      </c>
      <c r="G25" s="7">
        <f t="shared" si="10"/>
        <v>0.5315599524324609</v>
      </c>
      <c r="H25" s="7">
        <f t="shared" si="11"/>
        <v>7.1362000025668462E-2</v>
      </c>
      <c r="J25" s="7">
        <f t="shared" si="2"/>
        <v>0.53139525976465674</v>
      </c>
      <c r="K25" s="7">
        <f t="shared" si="3"/>
        <v>0</v>
      </c>
      <c r="L25" s="7">
        <f t="shared" si="4"/>
        <v>0.53139525976465674</v>
      </c>
      <c r="M25" s="7">
        <f t="shared" si="5"/>
        <v>1.6500577127924004E-2</v>
      </c>
      <c r="N25" s="7">
        <f t="shared" si="6"/>
        <v>0.5315599524324609</v>
      </c>
      <c r="O25" s="7">
        <f t="shared" si="7"/>
        <v>7.1362000025668462E-2</v>
      </c>
      <c r="AD25" s="4">
        <f t="shared" si="12"/>
        <v>-1</v>
      </c>
      <c r="AE25" s="4">
        <f t="shared" si="13"/>
        <v>-1</v>
      </c>
      <c r="AH25" s="4">
        <v>3.0159289474462025</v>
      </c>
      <c r="AI25" s="4">
        <f t="shared" si="14"/>
        <v>-3.2522232171634204E-5</v>
      </c>
      <c r="AJ25" s="4">
        <f t="shared" si="15"/>
        <v>-1</v>
      </c>
    </row>
    <row r="26" spans="2:36" x14ac:dyDescent="0.3">
      <c r="B26" s="7">
        <v>0.49999999999999994</v>
      </c>
      <c r="C26" s="7">
        <f t="shared" si="0"/>
        <v>1.6547670011448867E-2</v>
      </c>
      <c r="D26" s="7">
        <f t="shared" si="1"/>
        <v>5.5000000000000014E-2</v>
      </c>
      <c r="E26" s="7">
        <f t="shared" si="8"/>
        <v>2.6504622345529304E-18</v>
      </c>
      <c r="F26" s="7">
        <f t="shared" si="9"/>
        <v>2.6504622345529304E-18</v>
      </c>
      <c r="G26" s="7">
        <f t="shared" si="10"/>
        <v>0.49999999999999994</v>
      </c>
      <c r="H26" s="7">
        <f t="shared" si="11"/>
        <v>7.1547670011448877E-2</v>
      </c>
      <c r="J26" s="7">
        <f t="shared" si="2"/>
        <v>0.49999999999999994</v>
      </c>
      <c r="K26" s="7">
        <f t="shared" si="3"/>
        <v>0</v>
      </c>
      <c r="L26" s="7">
        <f t="shared" si="4"/>
        <v>0.49999999999999994</v>
      </c>
      <c r="M26" s="7">
        <f t="shared" si="5"/>
        <v>1.6547670011448867E-2</v>
      </c>
      <c r="N26" s="7">
        <f t="shared" si="6"/>
        <v>0.49999999999999994</v>
      </c>
      <c r="O26" s="7">
        <f t="shared" si="7"/>
        <v>7.1547670011448877E-2</v>
      </c>
      <c r="AD26" s="4">
        <f t="shared" si="12"/>
        <v>-1</v>
      </c>
      <c r="AE26" s="4">
        <f t="shared" si="13"/>
        <v>-1</v>
      </c>
      <c r="AH26" s="4">
        <v>3.1415926535897944</v>
      </c>
      <c r="AI26" s="4">
        <f t="shared" si="14"/>
        <v>-7.924745798682065E-5</v>
      </c>
      <c r="AJ26" s="4">
        <f t="shared" si="15"/>
        <v>-1</v>
      </c>
    </row>
    <row r="27" spans="2:36" x14ac:dyDescent="0.3">
      <c r="B27" s="7">
        <v>0.46860474023534326</v>
      </c>
      <c r="C27" s="7">
        <f t="shared" si="0"/>
        <v>1.6500577127924004E-2</v>
      </c>
      <c r="D27" s="7">
        <f t="shared" si="1"/>
        <v>5.4867304118720164E-2</v>
      </c>
      <c r="E27" s="7">
        <f t="shared" si="8"/>
        <v>3.0019758712989124E-3</v>
      </c>
      <c r="F27" s="7">
        <f t="shared" si="9"/>
        <v>3.0019668535531158E-3</v>
      </c>
      <c r="G27" s="7">
        <f t="shared" si="10"/>
        <v>0.46844003065442374</v>
      </c>
      <c r="H27" s="7">
        <f t="shared" si="11"/>
        <v>7.1367634020107318E-2</v>
      </c>
      <c r="J27" s="7">
        <f t="shared" si="2"/>
        <v>0.46860474023534326</v>
      </c>
      <c r="K27" s="7">
        <f t="shared" si="3"/>
        <v>0</v>
      </c>
      <c r="L27" s="7">
        <f t="shared" si="4"/>
        <v>0.46860474023534326</v>
      </c>
      <c r="M27" s="7">
        <f t="shared" si="5"/>
        <v>1.6500577127924004E-2</v>
      </c>
      <c r="N27" s="7">
        <f t="shared" si="6"/>
        <v>0.46844003065442374</v>
      </c>
      <c r="O27" s="7">
        <f t="shared" si="7"/>
        <v>7.1367634020107318E-2</v>
      </c>
      <c r="AD27" s="4">
        <f t="shared" si="12"/>
        <v>-1</v>
      </c>
      <c r="AE27" s="4">
        <f t="shared" si="13"/>
        <v>-1</v>
      </c>
      <c r="AH27" s="4">
        <v>3.2672563597333864</v>
      </c>
      <c r="AI27" s="4">
        <f t="shared" si="14"/>
        <v>-3.2522232171632225E-5</v>
      </c>
      <c r="AJ27" s="4">
        <f t="shared" si="15"/>
        <v>-1</v>
      </c>
    </row>
    <row r="28" spans="2:36" x14ac:dyDescent="0.3">
      <c r="B28" s="7">
        <v>0.43733338321784776</v>
      </c>
      <c r="C28" s="7">
        <f t="shared" si="0"/>
        <v>1.6359670553251125E-2</v>
      </c>
      <c r="D28" s="7">
        <f t="shared" si="1"/>
        <v>5.4473520184945855E-2</v>
      </c>
      <c r="E28" s="7">
        <f t="shared" si="8"/>
        <v>6.0158539962544642E-3</v>
      </c>
      <c r="F28" s="7">
        <f t="shared" si="9"/>
        <v>6.0157814255769907E-3</v>
      </c>
      <c r="G28" s="7">
        <f t="shared" si="10"/>
        <v>0.4370056844034913</v>
      </c>
      <c r="H28" s="7">
        <f t="shared" si="11"/>
        <v>7.0832205053004055E-2</v>
      </c>
      <c r="J28" s="7">
        <f t="shared" si="2"/>
        <v>0.43733338321784776</v>
      </c>
      <c r="K28" s="7">
        <f t="shared" si="3"/>
        <v>0</v>
      </c>
      <c r="L28" s="7">
        <f t="shared" si="4"/>
        <v>0.43733338321784776</v>
      </c>
      <c r="M28" s="7">
        <f t="shared" si="5"/>
        <v>1.6359670553251125E-2</v>
      </c>
      <c r="N28" s="7">
        <f t="shared" si="6"/>
        <v>0.4370056844034913</v>
      </c>
      <c r="O28" s="7">
        <f t="shared" si="7"/>
        <v>7.0832205053004055E-2</v>
      </c>
      <c r="AD28" s="4">
        <f t="shared" si="12"/>
        <v>-1</v>
      </c>
      <c r="AE28" s="4">
        <f t="shared" si="13"/>
        <v>-1</v>
      </c>
      <c r="AH28" s="4">
        <v>3.3929200658769783</v>
      </c>
      <c r="AI28" s="4">
        <f t="shared" si="14"/>
        <v>1.0691656055052863E-4</v>
      </c>
      <c r="AJ28" s="4">
        <f t="shared" si="15"/>
        <v>-1</v>
      </c>
    </row>
    <row r="29" spans="2:36" x14ac:dyDescent="0.3">
      <c r="B29" s="7">
        <v>0.40630934270713764</v>
      </c>
      <c r="C29" s="7">
        <f t="shared" si="0"/>
        <v>1.6126066526819506E-2</v>
      </c>
      <c r="D29" s="7">
        <f t="shared" si="1"/>
        <v>5.3827023742313601E-2</v>
      </c>
      <c r="E29" s="7">
        <f t="shared" si="8"/>
        <v>9.0537742132901951E-3</v>
      </c>
      <c r="F29" s="7">
        <f t="shared" si="9"/>
        <v>9.0535268436682335E-3</v>
      </c>
      <c r="G29" s="7">
        <f t="shared" si="10"/>
        <v>0.40582202496011155</v>
      </c>
      <c r="H29" s="7">
        <f t="shared" si="11"/>
        <v>6.9950884281912984E-2</v>
      </c>
      <c r="J29" s="7">
        <f t="shared" si="2"/>
        <v>0.40630934270713764</v>
      </c>
      <c r="K29" s="7">
        <f t="shared" si="3"/>
        <v>0</v>
      </c>
      <c r="L29" s="7">
        <f t="shared" si="4"/>
        <v>0.40630934270713764</v>
      </c>
      <c r="M29" s="7">
        <f t="shared" si="5"/>
        <v>1.6126066526819506E-2</v>
      </c>
      <c r="N29" s="7">
        <f t="shared" si="6"/>
        <v>0.40582202496011155</v>
      </c>
      <c r="O29" s="7">
        <f t="shared" si="7"/>
        <v>6.9950884281912984E-2</v>
      </c>
      <c r="AD29" s="4">
        <f t="shared" si="12"/>
        <v>-1</v>
      </c>
      <c r="AE29" s="4">
        <f t="shared" si="13"/>
        <v>-1</v>
      </c>
      <c r="AH29" s="4">
        <v>3.5185837720205702</v>
      </c>
      <c r="AI29" s="4">
        <f t="shared" si="14"/>
        <v>3.3686988712173632E-4</v>
      </c>
      <c r="AJ29" s="4">
        <f t="shared" si="15"/>
        <v>-1</v>
      </c>
    </row>
    <row r="30" spans="2:36" x14ac:dyDescent="0.3">
      <c r="B30" s="7">
        <v>0.37565505641757263</v>
      </c>
      <c r="C30" s="7">
        <f t="shared" si="0"/>
        <v>1.5801625533945537E-2</v>
      </c>
      <c r="D30" s="7">
        <f t="shared" si="1"/>
        <v>5.29383736766246E-2</v>
      </c>
      <c r="E30" s="7">
        <f t="shared" si="8"/>
        <v>1.2128363222482856E-2</v>
      </c>
      <c r="F30" s="7">
        <f t="shared" si="9"/>
        <v>1.2127768592228581E-2</v>
      </c>
      <c r="G30" s="7">
        <f t="shared" si="10"/>
        <v>0.37501304781031114</v>
      </c>
      <c r="H30" s="7">
        <f t="shared" si="11"/>
        <v>6.8736106096940974E-2</v>
      </c>
      <c r="J30" s="7">
        <f t="shared" si="2"/>
        <v>0.37565505641757263</v>
      </c>
      <c r="K30" s="7">
        <f t="shared" si="3"/>
        <v>0</v>
      </c>
      <c r="L30" s="7">
        <f t="shared" si="4"/>
        <v>0.37565505641757263</v>
      </c>
      <c r="M30" s="7">
        <f t="shared" si="5"/>
        <v>1.5801625533945537E-2</v>
      </c>
      <c r="N30" s="7">
        <f t="shared" si="6"/>
        <v>0.37501304781031114</v>
      </c>
      <c r="O30" s="7">
        <f t="shared" si="7"/>
        <v>6.8736106096940974E-2</v>
      </c>
      <c r="AD30" s="4">
        <f t="shared" si="12"/>
        <v>-1</v>
      </c>
      <c r="AE30" s="4">
        <f t="shared" si="13"/>
        <v>-1</v>
      </c>
      <c r="AH30" s="4">
        <v>3.6442474781641621</v>
      </c>
      <c r="AI30" s="4">
        <f t="shared" si="14"/>
        <v>6.5371124621450415E-4</v>
      </c>
      <c r="AJ30" s="4">
        <f t="shared" si="15"/>
        <v>-1</v>
      </c>
    </row>
    <row r="31" spans="2:36" x14ac:dyDescent="0.3">
      <c r="B31" s="7">
        <v>0.34549150281252627</v>
      </c>
      <c r="C31" s="7">
        <f t="shared" si="0"/>
        <v>1.5388952604309347E-2</v>
      </c>
      <c r="D31" s="7">
        <f t="shared" si="1"/>
        <v>5.1819830953224087E-2</v>
      </c>
      <c r="E31" s="7">
        <f t="shared" si="8"/>
        <v>1.5253008332374623E-2</v>
      </c>
      <c r="F31" s="7">
        <f t="shared" si="9"/>
        <v>1.525182560499852E-2</v>
      </c>
      <c r="G31" s="7">
        <f t="shared" si="10"/>
        <v>0.3447011864291058</v>
      </c>
      <c r="H31" s="7">
        <f t="shared" si="11"/>
        <v>6.7202756556874133E-2</v>
      </c>
      <c r="J31" s="7">
        <f t="shared" si="2"/>
        <v>0.34549150281252627</v>
      </c>
      <c r="K31" s="7">
        <f t="shared" si="3"/>
        <v>0</v>
      </c>
      <c r="L31" s="7">
        <f t="shared" si="4"/>
        <v>0.34549150281252627</v>
      </c>
      <c r="M31" s="7">
        <f t="shared" si="5"/>
        <v>1.5388952604309347E-2</v>
      </c>
      <c r="N31" s="7">
        <f t="shared" si="6"/>
        <v>0.3447011864291058</v>
      </c>
      <c r="O31" s="7">
        <f t="shared" si="7"/>
        <v>6.7202756556874133E-2</v>
      </c>
      <c r="AD31" s="4">
        <f t="shared" si="12"/>
        <v>-1</v>
      </c>
      <c r="AE31" s="4">
        <f t="shared" si="13"/>
        <v>-1</v>
      </c>
      <c r="AH31" s="4">
        <v>3.769911184307754</v>
      </c>
      <c r="AI31" s="4">
        <f t="shared" si="14"/>
        <v>1.0524438603240855E-3</v>
      </c>
      <c r="AJ31" s="4">
        <f t="shared" si="15"/>
        <v>-1</v>
      </c>
    </row>
    <row r="32" spans="2:36" x14ac:dyDescent="0.3">
      <c r="B32" s="7">
        <v>0.31593772365766093</v>
      </c>
      <c r="C32" s="7">
        <f t="shared" si="0"/>
        <v>1.4891398079105564E-2</v>
      </c>
      <c r="D32" s="7">
        <f t="shared" si="1"/>
        <v>5.0484878453106431E-2</v>
      </c>
      <c r="E32" s="7">
        <f t="shared" si="8"/>
        <v>1.8442170790684186E-2</v>
      </c>
      <c r="F32" s="7">
        <f t="shared" si="9"/>
        <v>1.8440080405825343E-2</v>
      </c>
      <c r="G32" s="7">
        <f t="shared" si="10"/>
        <v>0.31500683119804607</v>
      </c>
      <c r="H32" s="7">
        <f t="shared" si="11"/>
        <v>6.5367693423094134E-2</v>
      </c>
      <c r="J32" s="7">
        <f t="shared" si="2"/>
        <v>0.31593772365766093</v>
      </c>
      <c r="K32" s="7">
        <f t="shared" si="3"/>
        <v>0</v>
      </c>
      <c r="L32" s="7">
        <f t="shared" si="4"/>
        <v>0.31593772365766093</v>
      </c>
      <c r="M32" s="7">
        <f t="shared" si="5"/>
        <v>1.4891398079105564E-2</v>
      </c>
      <c r="N32" s="7">
        <f t="shared" si="6"/>
        <v>0.31500683119804607</v>
      </c>
      <c r="O32" s="7">
        <f t="shared" si="7"/>
        <v>6.5367693423094134E-2</v>
      </c>
      <c r="AD32" s="4">
        <f t="shared" si="12"/>
        <v>-1</v>
      </c>
      <c r="AE32" s="4">
        <f t="shared" si="13"/>
        <v>-1</v>
      </c>
      <c r="AH32" s="4">
        <v>3.8955748904513459</v>
      </c>
      <c r="AI32" s="4">
        <f t="shared" si="14"/>
        <v>1.5267794779346541E-3</v>
      </c>
      <c r="AJ32" s="4">
        <f t="shared" si="15"/>
        <v>-1</v>
      </c>
    </row>
    <row r="33" spans="2:36" x14ac:dyDescent="0.3">
      <c r="B33" s="7">
        <v>0.28711035421746367</v>
      </c>
      <c r="C33" s="7">
        <f t="shared" ref="C33:C64" si="16">IFERROR(-($A$1/(4*PI()))*((1-B33)*LN(1-B33)+B33*LN(B33)), 0)</f>
        <v>1.4313059224473073E-2</v>
      </c>
      <c r="D33" s="7">
        <f t="shared" ref="D33:D64" si="17">IF(B33&lt;$S$1, ($A$2/0.2)*($T$1*SQRT(B33)+$U$1*B33+$V$1*(B33^2)+$W$1*(B33^3)), ($A$2/0.2)*($X$1+$Y$1*(1-B33)+$Z$1*((1-B33)^2)+$AA$1*((1-B33)^3)))</f>
        <v>4.8947756995536502E-2</v>
      </c>
      <c r="E33" s="7">
        <f t="shared" si="8"/>
        <v>2.171175776658418E-2</v>
      </c>
      <c r="F33" s="7">
        <f t="shared" si="9"/>
        <v>2.1708347087261132E-2</v>
      </c>
      <c r="G33" s="7">
        <f t="shared" si="10"/>
        <v>0.28604786277431188</v>
      </c>
      <c r="H33" s="7">
        <f t="shared" si="11"/>
        <v>6.3249283300583825E-2</v>
      </c>
      <c r="J33" s="7">
        <f t="shared" ref="J33:J51" si="18">B33*COS($A$7)</f>
        <v>0.28711035421746367</v>
      </c>
      <c r="K33" s="7">
        <f t="shared" ref="K33:K51" si="19">-B33*SIN($A$7)</f>
        <v>0</v>
      </c>
      <c r="L33" s="7">
        <f t="shared" ref="L33:L51" si="20">B33*COS($A$7)+C33*SIN($A$7)</f>
        <v>0.28711035421746367</v>
      </c>
      <c r="M33" s="7">
        <f t="shared" ref="M33:M51" si="21">-B33*SIN($A$7)+C33*COS($A$7)</f>
        <v>1.4313059224473073E-2</v>
      </c>
      <c r="N33" s="7">
        <f t="shared" ref="N33:N64" si="22">G33*COS($A$7)+H33*SIN($A$7)</f>
        <v>0.28604786277431188</v>
      </c>
      <c r="O33" s="7">
        <f t="shared" ref="O33:O64" si="23">-G33*SIN($A$7)+H33*COS($A$7)</f>
        <v>6.3249283300583825E-2</v>
      </c>
      <c r="AD33" s="4">
        <f t="shared" si="12"/>
        <v>-1</v>
      </c>
      <c r="AE33" s="4">
        <f t="shared" si="13"/>
        <v>-1</v>
      </c>
      <c r="AH33" s="4">
        <v>4.0212385965949373</v>
      </c>
      <c r="AI33" s="4">
        <f t="shared" si="14"/>
        <v>2.0692375430021261E-3</v>
      </c>
      <c r="AJ33" s="4">
        <f t="shared" si="15"/>
        <v>-1</v>
      </c>
    </row>
    <row r="34" spans="2:36" x14ac:dyDescent="0.3">
      <c r="B34" s="7">
        <v>0.25912316294914239</v>
      </c>
      <c r="C34" s="7">
        <f t="shared" si="16"/>
        <v>1.365878322101902E-2</v>
      </c>
      <c r="D34" s="7">
        <f t="shared" si="17"/>
        <v>4.7223031220522016E-2</v>
      </c>
      <c r="E34" s="7">
        <f t="shared" si="8"/>
        <v>2.5079578279710784E-2</v>
      </c>
      <c r="F34" s="7">
        <f t="shared" si="9"/>
        <v>2.5074322034984768E-2</v>
      </c>
      <c r="G34" s="7">
        <f t="shared" si="10"/>
        <v>0.25793920152964306</v>
      </c>
      <c r="H34" s="7">
        <f t="shared" si="11"/>
        <v>6.0866970148834132E-2</v>
      </c>
      <c r="J34" s="7">
        <f t="shared" si="18"/>
        <v>0.25912316294914239</v>
      </c>
      <c r="K34" s="7">
        <f t="shared" si="19"/>
        <v>0</v>
      </c>
      <c r="L34" s="7">
        <f t="shared" si="20"/>
        <v>0.25912316294914239</v>
      </c>
      <c r="M34" s="7">
        <f t="shared" si="21"/>
        <v>1.365878322101902E-2</v>
      </c>
      <c r="N34" s="7">
        <f t="shared" si="22"/>
        <v>0.25793920152964306</v>
      </c>
      <c r="O34" s="7">
        <f t="shared" si="23"/>
        <v>6.0866970148834132E-2</v>
      </c>
      <c r="AD34" s="4">
        <f t="shared" si="12"/>
        <v>-1</v>
      </c>
      <c r="AE34" s="4">
        <f t="shared" si="13"/>
        <v>-1</v>
      </c>
      <c r="AH34" s="4">
        <v>4.1469023027385292</v>
      </c>
      <c r="AI34" s="4">
        <f t="shared" si="14"/>
        <v>2.6712631677916505E-3</v>
      </c>
      <c r="AJ34" s="4">
        <f t="shared" si="15"/>
        <v>-1</v>
      </c>
    </row>
    <row r="35" spans="2:36" x14ac:dyDescent="0.3">
      <c r="B35" s="7">
        <v>0.23208660251050173</v>
      </c>
      <c r="C35" s="7">
        <f t="shared" si="16"/>
        <v>1.293417225274265E-2</v>
      </c>
      <c r="D35" s="7">
        <f t="shared" si="17"/>
        <v>4.5325197163333011E-2</v>
      </c>
      <c r="E35" s="7">
        <f t="shared" si="8"/>
        <v>2.8565917983697953E-2</v>
      </c>
      <c r="F35" s="7">
        <f t="shared" si="9"/>
        <v>2.8558151744932994E-2</v>
      </c>
      <c r="G35" s="7">
        <f t="shared" si="10"/>
        <v>0.23079237459060198</v>
      </c>
      <c r="H35" s="7">
        <f t="shared" si="11"/>
        <v>5.8240887781308204E-2</v>
      </c>
      <c r="J35" s="7">
        <f t="shared" si="18"/>
        <v>0.23208660251050173</v>
      </c>
      <c r="K35" s="7">
        <f t="shared" si="19"/>
        <v>0</v>
      </c>
      <c r="L35" s="7">
        <f t="shared" si="20"/>
        <v>0.23208660251050173</v>
      </c>
      <c r="M35" s="7">
        <f t="shared" si="21"/>
        <v>1.293417225274265E-2</v>
      </c>
      <c r="N35" s="7">
        <f t="shared" si="22"/>
        <v>0.23079237459060198</v>
      </c>
      <c r="O35" s="7">
        <f t="shared" si="23"/>
        <v>5.8240887781308204E-2</v>
      </c>
      <c r="AD35" s="4">
        <f t="shared" si="12"/>
        <v>-1</v>
      </c>
      <c r="AE35" s="4">
        <f t="shared" si="13"/>
        <v>-1</v>
      </c>
      <c r="AH35" s="4">
        <v>4.2725660088821211</v>
      </c>
      <c r="AI35" s="4">
        <f t="shared" si="14"/>
        <v>3.3233620485676181E-3</v>
      </c>
      <c r="AJ35" s="4">
        <f t="shared" si="15"/>
        <v>-1</v>
      </c>
    </row>
    <row r="36" spans="2:36" x14ac:dyDescent="0.3">
      <c r="B36" s="7">
        <v>0.20610737385376338</v>
      </c>
      <c r="C36" s="7">
        <f t="shared" si="16"/>
        <v>1.2145591673401197E-2</v>
      </c>
      <c r="D36" s="7">
        <f t="shared" si="17"/>
        <v>4.3268341162673439E-2</v>
      </c>
      <c r="E36" s="7">
        <f t="shared" si="8"/>
        <v>3.2194282580986971E-2</v>
      </c>
      <c r="F36" s="7">
        <f t="shared" si="9"/>
        <v>3.2183166670628212E-2</v>
      </c>
      <c r="G36" s="7">
        <f t="shared" si="10"/>
        <v>0.20471510198998227</v>
      </c>
      <c r="H36" s="7">
        <f t="shared" si="11"/>
        <v>5.5391527043408217E-2</v>
      </c>
      <c r="J36" s="7">
        <f t="shared" si="18"/>
        <v>0.20610737385376338</v>
      </c>
      <c r="K36" s="7">
        <f t="shared" si="19"/>
        <v>0</v>
      </c>
      <c r="L36" s="7">
        <f t="shared" si="20"/>
        <v>0.20610737385376338</v>
      </c>
      <c r="M36" s="7">
        <f t="shared" si="21"/>
        <v>1.2145591673401197E-2</v>
      </c>
      <c r="N36" s="7">
        <f t="shared" si="22"/>
        <v>0.20471510198998227</v>
      </c>
      <c r="O36" s="7">
        <f t="shared" si="23"/>
        <v>5.5391527043408217E-2</v>
      </c>
      <c r="AD36" s="4">
        <f t="shared" si="12"/>
        <v>-1</v>
      </c>
      <c r="AE36" s="4">
        <f t="shared" si="13"/>
        <v>-1</v>
      </c>
      <c r="AH36" s="4">
        <v>4.398229715025713</v>
      </c>
      <c r="AI36" s="4">
        <f t="shared" si="14"/>
        <v>4.015250196435202E-3</v>
      </c>
      <c r="AJ36" s="4">
        <f t="shared" si="15"/>
        <v>-1</v>
      </c>
    </row>
    <row r="37" spans="2:36" x14ac:dyDescent="0.3">
      <c r="B37" s="7">
        <v>0.18128800512565513</v>
      </c>
      <c r="C37" s="7">
        <f t="shared" si="16"/>
        <v>1.1300182574347166E-2</v>
      </c>
      <c r="D37" s="7">
        <f t="shared" si="17"/>
        <v>4.1065857292524176E-2</v>
      </c>
      <c r="E37" s="7">
        <f t="shared" si="8"/>
        <v>3.5992382967022313E-2</v>
      </c>
      <c r="F37" s="7">
        <f t="shared" si="9"/>
        <v>3.5976852905888368E-2</v>
      </c>
      <c r="G37" s="7">
        <f t="shared" si="10"/>
        <v>0.17981090351030485</v>
      </c>
      <c r="H37" s="7">
        <f t="shared" si="11"/>
        <v>5.2339466266778871E-2</v>
      </c>
      <c r="J37" s="7">
        <f t="shared" si="18"/>
        <v>0.18128800512565513</v>
      </c>
      <c r="K37" s="7">
        <f t="shared" si="19"/>
        <v>0</v>
      </c>
      <c r="L37" s="7">
        <f t="shared" si="20"/>
        <v>0.18128800512565513</v>
      </c>
      <c r="M37" s="7">
        <f t="shared" si="21"/>
        <v>1.1300182574347166E-2</v>
      </c>
      <c r="N37" s="7">
        <f t="shared" si="22"/>
        <v>0.17981090351030485</v>
      </c>
      <c r="O37" s="7">
        <f t="shared" si="23"/>
        <v>5.2339466266778871E-2</v>
      </c>
      <c r="AD37" s="4">
        <f t="shared" si="12"/>
        <v>-1</v>
      </c>
      <c r="AE37" s="4">
        <f t="shared" si="13"/>
        <v>-1</v>
      </c>
      <c r="AH37" s="4">
        <v>4.5238934211693049</v>
      </c>
      <c r="AI37" s="4">
        <f t="shared" si="14"/>
        <v>4.7360161219885868E-3</v>
      </c>
      <c r="AJ37" s="4">
        <f t="shared" si="15"/>
        <v>-1</v>
      </c>
    </row>
    <row r="38" spans="2:36" x14ac:dyDescent="0.3">
      <c r="B38" s="7">
        <v>0.15772644703565569</v>
      </c>
      <c r="C38" s="7">
        <f t="shared" si="16"/>
        <v>1.0405880561552712E-2</v>
      </c>
      <c r="D38" s="7">
        <f t="shared" si="17"/>
        <v>3.8730227891465095E-2</v>
      </c>
      <c r="E38" s="7">
        <f t="shared" si="8"/>
        <v>3.9993472570762016E-2</v>
      </c>
      <c r="F38" s="7">
        <f t="shared" si="9"/>
        <v>3.9972170119556553E-2</v>
      </c>
      <c r="G38" s="7">
        <f t="shared" si="10"/>
        <v>0.15617872800541968</v>
      </c>
      <c r="H38" s="7">
        <f t="shared" si="11"/>
        <v>4.910517148953053E-2</v>
      </c>
      <c r="J38" s="7">
        <f t="shared" si="18"/>
        <v>0.15772644703565569</v>
      </c>
      <c r="K38" s="7">
        <f t="shared" si="19"/>
        <v>0</v>
      </c>
      <c r="L38" s="7">
        <f t="shared" si="20"/>
        <v>0.15772644703565569</v>
      </c>
      <c r="M38" s="7">
        <f t="shared" si="21"/>
        <v>1.0405880561552712E-2</v>
      </c>
      <c r="N38" s="7">
        <f t="shared" si="22"/>
        <v>0.15617872800541968</v>
      </c>
      <c r="O38" s="7">
        <f t="shared" si="23"/>
        <v>4.910517148953053E-2</v>
      </c>
      <c r="AD38" s="4">
        <f t="shared" si="12"/>
        <v>-1</v>
      </c>
      <c r="AE38" s="4">
        <f t="shared" si="13"/>
        <v>-1</v>
      </c>
      <c r="AH38" s="4">
        <v>4.6495571273128968</v>
      </c>
      <c r="AI38" s="4">
        <f t="shared" si="14"/>
        <v>5.4742929160170994E-3</v>
      </c>
      <c r="AJ38" s="4">
        <f t="shared" si="15"/>
        <v>-1</v>
      </c>
    </row>
    <row r="39" spans="2:36" x14ac:dyDescent="0.3">
      <c r="B39" s="7">
        <v>0.13551568628929422</v>
      </c>
      <c r="C39" s="7">
        <f t="shared" si="16"/>
        <v>9.4714432450788734E-3</v>
      </c>
      <c r="D39" s="7">
        <f t="shared" si="17"/>
        <v>3.6272869083179844E-2</v>
      </c>
      <c r="E39" s="7">
        <f t="shared" si="8"/>
        <v>4.4238208882420971E-2</v>
      </c>
      <c r="F39" s="7">
        <f t="shared" si="9"/>
        <v>4.4209384380637914E-2</v>
      </c>
      <c r="G39" s="7">
        <f t="shared" si="10"/>
        <v>0.13391260739135027</v>
      </c>
      <c r="H39" s="7">
        <f t="shared" si="11"/>
        <v>4.5708870990056452E-2</v>
      </c>
      <c r="J39" s="7">
        <f t="shared" si="18"/>
        <v>0.13551568628929422</v>
      </c>
      <c r="K39" s="7">
        <f t="shared" si="19"/>
        <v>0</v>
      </c>
      <c r="L39" s="7">
        <f t="shared" si="20"/>
        <v>0.13551568628929422</v>
      </c>
      <c r="M39" s="7">
        <f t="shared" si="21"/>
        <v>9.4714432450788734E-3</v>
      </c>
      <c r="N39" s="7">
        <f t="shared" si="22"/>
        <v>0.13391260739135027</v>
      </c>
      <c r="O39" s="7">
        <f t="shared" si="23"/>
        <v>4.5708870990056452E-2</v>
      </c>
      <c r="AD39" s="4">
        <f t="shared" si="12"/>
        <v>-1</v>
      </c>
      <c r="AE39" s="4">
        <f t="shared" si="13"/>
        <v>-1</v>
      </c>
      <c r="AH39" s="4">
        <v>4.7752208334564887</v>
      </c>
      <c r="AI39" s="4">
        <f t="shared" si="14"/>
        <v>6.2184375124537334E-3</v>
      </c>
      <c r="AJ39" s="4">
        <f t="shared" si="15"/>
        <v>-1</v>
      </c>
    </row>
    <row r="40" spans="2:36" x14ac:dyDescent="0.3">
      <c r="B40" s="7">
        <v>0.11474337861210537</v>
      </c>
      <c r="C40" s="7">
        <f t="shared" si="16"/>
        <v>8.5064899738986968E-3</v>
      </c>
      <c r="D40" s="7">
        <f t="shared" si="17"/>
        <v>3.3704040539237125E-2</v>
      </c>
      <c r="E40" s="7">
        <f t="shared" si="8"/>
        <v>4.8777315793033904E-2</v>
      </c>
      <c r="F40" s="7">
        <f t="shared" si="9"/>
        <v>4.8738686827597417E-2</v>
      </c>
      <c r="G40" s="7">
        <f t="shared" si="10"/>
        <v>0.11310133821575287</v>
      </c>
      <c r="H40" s="7">
        <f t="shared" si="11"/>
        <v>4.2170507143679342E-2</v>
      </c>
      <c r="J40" s="7">
        <f t="shared" si="18"/>
        <v>0.11474337861210537</v>
      </c>
      <c r="K40" s="7">
        <f t="shared" si="19"/>
        <v>0</v>
      </c>
      <c r="L40" s="7">
        <f t="shared" si="20"/>
        <v>0.11474337861210537</v>
      </c>
      <c r="M40" s="7">
        <f t="shared" si="21"/>
        <v>8.5064899738986968E-3</v>
      </c>
      <c r="N40" s="7">
        <f t="shared" si="22"/>
        <v>0.11310133821575287</v>
      </c>
      <c r="O40" s="7">
        <f t="shared" si="23"/>
        <v>4.2170507143679342E-2</v>
      </c>
      <c r="AD40" s="4">
        <f t="shared" si="12"/>
        <v>-1</v>
      </c>
      <c r="AE40" s="4">
        <f t="shared" si="13"/>
        <v>-1</v>
      </c>
      <c r="AH40" s="4">
        <v>4.9008845396000806</v>
      </c>
      <c r="AI40" s="4">
        <f t="shared" si="14"/>
        <v>6.956714306482246E-3</v>
      </c>
      <c r="AJ40" s="4">
        <f t="shared" si="15"/>
        <v>-1</v>
      </c>
    </row>
    <row r="41" spans="2:36" x14ac:dyDescent="0.3">
      <c r="B41" s="7">
        <v>9.5491502812526274E-2</v>
      </c>
      <c r="C41" s="7">
        <f t="shared" si="16"/>
        <v>7.5215589215334652E-3</v>
      </c>
      <c r="D41" s="7">
        <f t="shared" si="17"/>
        <v>3.10328162284924E-2</v>
      </c>
      <c r="E41" s="7">
        <f t="shared" si="8"/>
        <v>5.3675508236882823E-2</v>
      </c>
      <c r="F41" s="7">
        <f t="shared" si="9"/>
        <v>5.3624049704160216E-2</v>
      </c>
      <c r="G41" s="7">
        <f t="shared" si="10"/>
        <v>9.3828194951161223E-2</v>
      </c>
      <c r="H41" s="7">
        <f t="shared" si="11"/>
        <v>3.8509767808619894E-2</v>
      </c>
      <c r="J41" s="7">
        <f t="shared" si="18"/>
        <v>9.5491502812526274E-2</v>
      </c>
      <c r="K41" s="7">
        <f t="shared" si="19"/>
        <v>0</v>
      </c>
      <c r="L41" s="7">
        <f t="shared" si="20"/>
        <v>9.5491502812526274E-2</v>
      </c>
      <c r="M41" s="7">
        <f t="shared" si="21"/>
        <v>7.5215589215334652E-3</v>
      </c>
      <c r="N41" s="7">
        <f t="shared" si="22"/>
        <v>9.3828194951161223E-2</v>
      </c>
      <c r="O41" s="7">
        <f t="shared" si="23"/>
        <v>3.8509767808619894E-2</v>
      </c>
      <c r="AD41" s="4">
        <f t="shared" si="12"/>
        <v>-1</v>
      </c>
      <c r="AE41" s="4">
        <f t="shared" si="13"/>
        <v>-1</v>
      </c>
      <c r="AH41" s="4">
        <v>5.0265482457436725</v>
      </c>
      <c r="AI41" s="4">
        <f t="shared" si="14"/>
        <v>7.6774802320356298E-3</v>
      </c>
      <c r="AJ41" s="4">
        <f t="shared" si="15"/>
        <v>-1</v>
      </c>
    </row>
    <row r="42" spans="2:36" x14ac:dyDescent="0.3">
      <c r="B42" s="7">
        <v>7.7836037248992462E-2</v>
      </c>
      <c r="C42" s="7">
        <f t="shared" si="16"/>
        <v>6.5281891145447047E-3</v>
      </c>
      <c r="D42" s="7">
        <f t="shared" si="17"/>
        <v>2.8267110618340183E-2</v>
      </c>
      <c r="E42" s="7">
        <f t="shared" si="8"/>
        <v>5.9017482208929849E-2</v>
      </c>
      <c r="F42" s="7">
        <f t="shared" si="9"/>
        <v>5.8949104510186374E-2</v>
      </c>
      <c r="G42" s="7">
        <f t="shared" si="10"/>
        <v>7.6170681299925158E-2</v>
      </c>
      <c r="H42" s="7">
        <f t="shared" si="11"/>
        <v>3.4746199892634402E-2</v>
      </c>
      <c r="J42" s="7">
        <f t="shared" si="18"/>
        <v>7.7836037248992462E-2</v>
      </c>
      <c r="K42" s="7">
        <f t="shared" si="19"/>
        <v>0</v>
      </c>
      <c r="L42" s="7">
        <f t="shared" si="20"/>
        <v>7.7836037248992462E-2</v>
      </c>
      <c r="M42" s="7">
        <f t="shared" si="21"/>
        <v>6.5281891145447047E-3</v>
      </c>
      <c r="N42" s="7">
        <f t="shared" si="22"/>
        <v>7.6170681299925158E-2</v>
      </c>
      <c r="O42" s="7">
        <f t="shared" si="23"/>
        <v>3.4746199892634402E-2</v>
      </c>
      <c r="AD42" s="4">
        <f t="shared" si="12"/>
        <v>-1</v>
      </c>
      <c r="AE42" s="4">
        <f t="shared" si="13"/>
        <v>-1</v>
      </c>
      <c r="AH42" s="4">
        <v>5.1522119518872644</v>
      </c>
      <c r="AI42" s="4">
        <f t="shared" si="14"/>
        <v>8.3693683799032116E-3</v>
      </c>
      <c r="AJ42" s="4">
        <f t="shared" si="15"/>
        <v>-1</v>
      </c>
    </row>
    <row r="43" spans="2:36" x14ac:dyDescent="0.3">
      <c r="B43" s="7">
        <v>6.1846659978068208E-2</v>
      </c>
      <c r="C43" s="7">
        <f t="shared" si="16"/>
        <v>5.5390390875733565E-3</v>
      </c>
      <c r="D43" s="7">
        <f t="shared" si="17"/>
        <v>2.5413752823463111E-2</v>
      </c>
      <c r="E43" s="7">
        <f t="shared" si="8"/>
        <v>6.4917438754334297E-2</v>
      </c>
      <c r="F43" s="7">
        <f t="shared" si="9"/>
        <v>6.482647536230117E-2</v>
      </c>
      <c r="G43" s="7">
        <f t="shared" si="10"/>
        <v>6.0200329631906337E-2</v>
      </c>
      <c r="H43" s="7">
        <f t="shared" si="11"/>
        <v>3.0899410318361478E-2</v>
      </c>
      <c r="J43" s="7">
        <f t="shared" si="18"/>
        <v>6.1846659978068208E-2</v>
      </c>
      <c r="K43" s="7">
        <f t="shared" si="19"/>
        <v>0</v>
      </c>
      <c r="L43" s="7">
        <f t="shared" si="20"/>
        <v>6.1846659978068208E-2</v>
      </c>
      <c r="M43" s="7">
        <f t="shared" si="21"/>
        <v>5.5390390875733565E-3</v>
      </c>
      <c r="N43" s="7">
        <f t="shared" si="22"/>
        <v>6.0200329631906337E-2</v>
      </c>
      <c r="O43" s="7">
        <f t="shared" si="23"/>
        <v>3.0899410318361478E-2</v>
      </c>
      <c r="AD43" s="4">
        <f t="shared" si="12"/>
        <v>-1</v>
      </c>
      <c r="AE43" s="4">
        <f t="shared" si="13"/>
        <v>-1</v>
      </c>
      <c r="AH43" s="4">
        <v>5.2778756580308563</v>
      </c>
      <c r="AI43" s="4">
        <f t="shared" si="14"/>
        <v>9.0214672606791779E-3</v>
      </c>
      <c r="AJ43" s="4">
        <f t="shared" si="15"/>
        <v>-1</v>
      </c>
    </row>
    <row r="44" spans="2:36" x14ac:dyDescent="0.3">
      <c r="B44" s="7">
        <v>4.7586473766990212E-2</v>
      </c>
      <c r="C44" s="7">
        <f t="shared" si="16"/>
        <v>4.5680609045187842E-3</v>
      </c>
      <c r="D44" s="7">
        <f t="shared" si="17"/>
        <v>2.2478599606769546E-2</v>
      </c>
      <c r="E44" s="7">
        <f t="shared" si="8"/>
        <v>7.1534992539196179E-2</v>
      </c>
      <c r="F44" s="7">
        <f t="shared" si="9"/>
        <v>7.1413344886073149E-2</v>
      </c>
      <c r="G44" s="7">
        <f t="shared" si="10"/>
        <v>4.5982565878125069E-2</v>
      </c>
      <c r="H44" s="7">
        <f t="shared" si="11"/>
        <v>2.69893659460523E-2</v>
      </c>
      <c r="J44" s="7">
        <f t="shared" si="18"/>
        <v>4.7586473766990212E-2</v>
      </c>
      <c r="K44" s="7">
        <f t="shared" si="19"/>
        <v>0</v>
      </c>
      <c r="L44" s="7">
        <f t="shared" si="20"/>
        <v>4.7586473766990212E-2</v>
      </c>
      <c r="M44" s="7">
        <f t="shared" si="21"/>
        <v>4.5680609045187842E-3</v>
      </c>
      <c r="N44" s="7">
        <f t="shared" si="22"/>
        <v>4.5982565878125069E-2</v>
      </c>
      <c r="O44" s="7">
        <f t="shared" si="23"/>
        <v>2.69893659460523E-2</v>
      </c>
      <c r="AD44" s="4">
        <f t="shared" si="12"/>
        <v>-1</v>
      </c>
      <c r="AE44" s="4">
        <f t="shared" si="13"/>
        <v>-1</v>
      </c>
      <c r="AH44" s="4">
        <v>5.4035393641744482</v>
      </c>
      <c r="AI44" s="4">
        <f t="shared" si="14"/>
        <v>9.6234928854686992E-3</v>
      </c>
      <c r="AJ44" s="4">
        <f t="shared" si="15"/>
        <v>-1</v>
      </c>
    </row>
    <row r="45" spans="2:36" x14ac:dyDescent="0.3">
      <c r="B45" s="7">
        <v>3.5111757055874271E-2</v>
      </c>
      <c r="C45" s="7">
        <f t="shared" si="16"/>
        <v>3.6307611618016863E-3</v>
      </c>
      <c r="D45" s="7">
        <f t="shared" si="17"/>
        <v>1.9466676978749688E-2</v>
      </c>
      <c r="E45" s="7">
        <f t="shared" si="8"/>
        <v>7.9103418623907309E-2</v>
      </c>
      <c r="F45" s="7">
        <f t="shared" si="9"/>
        <v>7.8939042704391504E-2</v>
      </c>
      <c r="G45" s="7">
        <f t="shared" si="10"/>
        <v>3.3576671651816277E-2</v>
      </c>
      <c r="H45" s="7">
        <f t="shared" si="11"/>
        <v>2.3036817572036898E-2</v>
      </c>
      <c r="J45" s="7">
        <f t="shared" si="18"/>
        <v>3.5111757055874271E-2</v>
      </c>
      <c r="K45" s="7">
        <f t="shared" si="19"/>
        <v>0</v>
      </c>
      <c r="L45" s="7">
        <f t="shared" si="20"/>
        <v>3.5111757055874271E-2</v>
      </c>
      <c r="M45" s="7">
        <f t="shared" si="21"/>
        <v>3.6307611618016863E-3</v>
      </c>
      <c r="N45" s="7">
        <f t="shared" si="22"/>
        <v>3.3576671651816277E-2</v>
      </c>
      <c r="O45" s="7">
        <f t="shared" si="23"/>
        <v>2.3036817572036898E-2</v>
      </c>
      <c r="AD45" s="4">
        <f t="shared" si="12"/>
        <v>-1</v>
      </c>
      <c r="AE45" s="4">
        <f t="shared" si="13"/>
        <v>-1</v>
      </c>
      <c r="AH45" s="4">
        <v>5.5292030703180401</v>
      </c>
      <c r="AI45" s="4">
        <f t="shared" si="14"/>
        <v>1.0165950950536171E-2</v>
      </c>
      <c r="AJ45" s="4">
        <f t="shared" si="15"/>
        <v>-1</v>
      </c>
    </row>
    <row r="46" spans="2:36" x14ac:dyDescent="0.3">
      <c r="B46" s="7">
        <v>2.4471741852423234E-2</v>
      </c>
      <c r="C46" s="7">
        <f t="shared" si="16"/>
        <v>2.7446057998521509E-3</v>
      </c>
      <c r="D46" s="7">
        <f t="shared" si="17"/>
        <v>1.6382339452279297E-2</v>
      </c>
      <c r="E46" s="7">
        <f t="shared" si="8"/>
        <v>8.7983878141974559E-2</v>
      </c>
      <c r="F46" s="7">
        <f t="shared" si="9"/>
        <v>8.7757894334951708E-2</v>
      </c>
      <c r="G46" s="7">
        <f t="shared" si="10"/>
        <v>2.3035906896476797E-2</v>
      </c>
      <c r="H46" s="7">
        <f t="shared" si="11"/>
        <v>1.9063901860313488E-2</v>
      </c>
      <c r="J46" s="7">
        <f t="shared" si="18"/>
        <v>2.4471741852423234E-2</v>
      </c>
      <c r="K46" s="7">
        <f t="shared" si="19"/>
        <v>0</v>
      </c>
      <c r="L46" s="7">
        <f t="shared" si="20"/>
        <v>2.4471741852423234E-2</v>
      </c>
      <c r="M46" s="7">
        <f t="shared" si="21"/>
        <v>2.7446057998521509E-3</v>
      </c>
      <c r="N46" s="7">
        <f t="shared" si="22"/>
        <v>2.3035906896476797E-2</v>
      </c>
      <c r="O46" s="7">
        <f t="shared" si="23"/>
        <v>1.9063901860313488E-2</v>
      </c>
      <c r="AD46" s="4">
        <f t="shared" si="12"/>
        <v>-1</v>
      </c>
      <c r="AE46" s="4">
        <f t="shared" si="13"/>
        <v>-1</v>
      </c>
      <c r="AH46" s="4">
        <v>5.654866776461632</v>
      </c>
      <c r="AI46" s="4">
        <f t="shared" si="14"/>
        <v>1.0640286568146735E-2</v>
      </c>
      <c r="AJ46" s="4">
        <f t="shared" si="15"/>
        <v>-1</v>
      </c>
    </row>
    <row r="47" spans="2:36" x14ac:dyDescent="0.3">
      <c r="B47" s="7">
        <v>1.5708419435684462E-2</v>
      </c>
      <c r="C47" s="7">
        <f t="shared" si="16"/>
        <v>1.9296795794479429E-3</v>
      </c>
      <c r="D47" s="7">
        <f t="shared" si="17"/>
        <v>1.3229435808396637E-2</v>
      </c>
      <c r="E47" s="7">
        <f t="shared" si="8"/>
        <v>9.8780916068307301E-2</v>
      </c>
      <c r="F47" s="7">
        <f t="shared" si="9"/>
        <v>9.8461493577960954E-2</v>
      </c>
      <c r="G47" s="7">
        <f t="shared" si="10"/>
        <v>1.4407933102599205E-2</v>
      </c>
      <c r="H47" s="7">
        <f t="shared" si="11"/>
        <v>1.5095039700080635E-2</v>
      </c>
      <c r="J47" s="7">
        <f t="shared" si="18"/>
        <v>1.5708419435684462E-2</v>
      </c>
      <c r="K47" s="7">
        <f t="shared" si="19"/>
        <v>0</v>
      </c>
      <c r="L47" s="7">
        <f t="shared" si="20"/>
        <v>1.5708419435684462E-2</v>
      </c>
      <c r="M47" s="7">
        <f t="shared" si="21"/>
        <v>1.9296795794479429E-3</v>
      </c>
      <c r="N47" s="7">
        <f t="shared" si="22"/>
        <v>1.4407933102599205E-2</v>
      </c>
      <c r="O47" s="7">
        <f t="shared" si="23"/>
        <v>1.5095039700080635E-2</v>
      </c>
      <c r="AD47" s="4">
        <f t="shared" si="12"/>
        <v>-1</v>
      </c>
      <c r="AE47" s="4">
        <f t="shared" si="13"/>
        <v>-1</v>
      </c>
      <c r="AH47" s="4">
        <v>5.780530482605224</v>
      </c>
      <c r="AI47" s="4">
        <f t="shared" si="14"/>
        <v>1.1039019182256311E-2</v>
      </c>
      <c r="AJ47" s="4">
        <f t="shared" si="15"/>
        <v>-1</v>
      </c>
    </row>
    <row r="48" spans="2:36" x14ac:dyDescent="0.3">
      <c r="B48" s="7">
        <v>8.8563746356556394E-3</v>
      </c>
      <c r="C48" s="7">
        <f t="shared" si="16"/>
        <v>1.2098418878307437E-3</v>
      </c>
      <c r="D48" s="7">
        <f t="shared" si="17"/>
        <v>1.0011470514324668E-2</v>
      </c>
      <c r="E48" s="7">
        <f t="shared" si="8"/>
        <v>0.11262731541497996</v>
      </c>
      <c r="F48" s="7">
        <f t="shared" si="9"/>
        <v>0.11215468486495832</v>
      </c>
      <c r="G48" s="7">
        <f t="shared" si="10"/>
        <v>7.7358937939712834E-3</v>
      </c>
      <c r="H48" s="7">
        <f t="shared" si="11"/>
        <v>1.1158412867755979E-2</v>
      </c>
      <c r="J48" s="7">
        <f t="shared" si="18"/>
        <v>8.8563746356556394E-3</v>
      </c>
      <c r="K48" s="7">
        <f t="shared" si="19"/>
        <v>0</v>
      </c>
      <c r="L48" s="7">
        <f t="shared" si="20"/>
        <v>8.8563746356556394E-3</v>
      </c>
      <c r="M48" s="7">
        <f t="shared" si="21"/>
        <v>1.2098418878307437E-3</v>
      </c>
      <c r="N48" s="7">
        <f t="shared" si="22"/>
        <v>7.7358937939712834E-3</v>
      </c>
      <c r="O48" s="7">
        <f t="shared" si="23"/>
        <v>1.1158412867755979E-2</v>
      </c>
      <c r="AD48" s="4">
        <f t="shared" si="12"/>
        <v>-1</v>
      </c>
      <c r="AE48" s="4">
        <f t="shared" si="13"/>
        <v>-1</v>
      </c>
      <c r="AH48" s="4">
        <v>5.9061941887488159</v>
      </c>
      <c r="AI48" s="4">
        <f t="shared" si="14"/>
        <v>1.1355860541349076E-2</v>
      </c>
      <c r="AJ48" s="4">
        <f t="shared" si="15"/>
        <v>-1</v>
      </c>
    </row>
    <row r="49" spans="2:36" x14ac:dyDescent="0.3">
      <c r="B49" s="7">
        <v>3.942649342761062E-3</v>
      </c>
      <c r="C49" s="7">
        <f t="shared" si="16"/>
        <v>6.1499830276966997E-4</v>
      </c>
      <c r="D49" s="7">
        <f t="shared" si="17"/>
        <v>6.7317506888113689E-3</v>
      </c>
      <c r="E49" s="7">
        <f t="shared" si="8"/>
        <v>0.13206562389376386</v>
      </c>
      <c r="F49" s="7">
        <f t="shared" si="9"/>
        <v>0.13130576000555869</v>
      </c>
      <c r="G49" s="7">
        <f t="shared" si="10"/>
        <v>3.0612694808810248E-3</v>
      </c>
      <c r="H49" s="7">
        <f t="shared" si="11"/>
        <v>7.2888005829833012E-3</v>
      </c>
      <c r="J49" s="7">
        <f t="shared" si="18"/>
        <v>3.942649342761062E-3</v>
      </c>
      <c r="K49" s="7">
        <f t="shared" si="19"/>
        <v>0</v>
      </c>
      <c r="L49" s="7">
        <f t="shared" si="20"/>
        <v>3.942649342761062E-3</v>
      </c>
      <c r="M49" s="7">
        <f t="shared" si="21"/>
        <v>6.1499830276966997E-4</v>
      </c>
      <c r="N49" s="7">
        <f t="shared" si="22"/>
        <v>3.0612694808810248E-3</v>
      </c>
      <c r="O49" s="7">
        <f t="shared" si="23"/>
        <v>7.2888005829833012E-3</v>
      </c>
      <c r="AD49" s="4">
        <f t="shared" si="12"/>
        <v>-1</v>
      </c>
      <c r="AE49" s="4">
        <f t="shared" si="13"/>
        <v>-1</v>
      </c>
      <c r="AH49" s="4">
        <v>6.0318578948924078</v>
      </c>
      <c r="AI49" s="4">
        <f t="shared" si="14"/>
        <v>1.1585813867920279E-2</v>
      </c>
      <c r="AJ49" s="4">
        <f t="shared" si="15"/>
        <v>-1</v>
      </c>
    </row>
    <row r="50" spans="2:36" x14ac:dyDescent="0.3">
      <c r="B50" s="7">
        <v>9.8663578586422052E-4</v>
      </c>
      <c r="C50" s="7">
        <f t="shared" si="16"/>
        <v>1.8656608684924122E-4</v>
      </c>
      <c r="D50" s="7">
        <f t="shared" si="17"/>
        <v>3.3935096946033538E-3</v>
      </c>
      <c r="E50" s="7">
        <f t="shared" si="8"/>
        <v>0.16520814213077126</v>
      </c>
      <c r="F50" s="7">
        <f t="shared" si="9"/>
        <v>0.16372923769153419</v>
      </c>
      <c r="G50" s="7">
        <f t="shared" si="10"/>
        <v>4.3349813267696126E-4</v>
      </c>
      <c r="H50" s="7">
        <f t="shared" si="11"/>
        <v>3.534691948281789E-3</v>
      </c>
      <c r="J50" s="7">
        <f t="shared" si="18"/>
        <v>9.8663578586422052E-4</v>
      </c>
      <c r="K50" s="7">
        <f t="shared" si="19"/>
        <v>0</v>
      </c>
      <c r="L50" s="7">
        <f t="shared" si="20"/>
        <v>9.8663578586422052E-4</v>
      </c>
      <c r="M50" s="7">
        <f t="shared" si="21"/>
        <v>1.8656608684924122E-4</v>
      </c>
      <c r="N50" s="7">
        <f t="shared" si="22"/>
        <v>4.3349813267696126E-4</v>
      </c>
      <c r="O50" s="7">
        <f t="shared" si="23"/>
        <v>3.534691948281789E-3</v>
      </c>
      <c r="AD50" s="4">
        <f t="shared" si="12"/>
        <v>-1</v>
      </c>
      <c r="AE50" s="4">
        <f t="shared" si="13"/>
        <v>-1</v>
      </c>
      <c r="AH50" s="4">
        <v>6.1575216010359997</v>
      </c>
      <c r="AI50" s="4">
        <f t="shared" si="14"/>
        <v>1.1725252660642435E-2</v>
      </c>
      <c r="AJ50" s="4">
        <f t="shared" si="15"/>
        <v>-1</v>
      </c>
    </row>
    <row r="51" spans="2:36" x14ac:dyDescent="0.3">
      <c r="B51" s="7">
        <v>0</v>
      </c>
      <c r="C51" s="7">
        <f t="shared" si="16"/>
        <v>0</v>
      </c>
      <c r="D51" s="7">
        <f t="shared" si="17"/>
        <v>0</v>
      </c>
      <c r="E51" s="7">
        <f t="shared" si="8"/>
        <v>0</v>
      </c>
      <c r="F51" s="7">
        <f t="shared" si="9"/>
        <v>0</v>
      </c>
      <c r="G51" s="7">
        <f t="shared" si="10"/>
        <v>0</v>
      </c>
      <c r="H51" s="7">
        <f t="shared" si="11"/>
        <v>0</v>
      </c>
      <c r="J51" s="7">
        <f t="shared" si="18"/>
        <v>0</v>
      </c>
      <c r="K51" s="7">
        <f t="shared" si="19"/>
        <v>0</v>
      </c>
      <c r="L51" s="7">
        <f t="shared" si="20"/>
        <v>0</v>
      </c>
      <c r="M51" s="7">
        <f t="shared" si="21"/>
        <v>0</v>
      </c>
      <c r="N51" s="7">
        <f t="shared" si="22"/>
        <v>0</v>
      </c>
      <c r="O51" s="7">
        <f t="shared" si="23"/>
        <v>0</v>
      </c>
      <c r="AD51" s="4">
        <f>IF($AF$1, K51, -1)</f>
        <v>-1</v>
      </c>
      <c r="AE51" s="4">
        <f t="shared" si="13"/>
        <v>-1</v>
      </c>
      <c r="AH51" s="4">
        <v>6.2831853071795916</v>
      </c>
      <c r="AI51" s="4">
        <f t="shared" si="14"/>
        <v>1.1771977886457619E-2</v>
      </c>
      <c r="AJ51" s="4">
        <f t="shared" si="15"/>
        <v>-1</v>
      </c>
    </row>
    <row r="52" spans="2:36" x14ac:dyDescent="0.3">
      <c r="B52" s="7" cm="1">
        <f t="array" ref="B52:B102">0.5*(1-COS((_xlfn.SEQUENCE(51,1,0,1)*PI())/50))</f>
        <v>0</v>
      </c>
      <c r="C52" s="7">
        <f t="shared" si="16"/>
        <v>0</v>
      </c>
      <c r="D52" s="7">
        <f t="shared" si="17"/>
        <v>0</v>
      </c>
      <c r="E52" s="7">
        <f t="shared" si="8"/>
        <v>0</v>
      </c>
      <c r="F52" s="7">
        <f t="shared" si="9"/>
        <v>0</v>
      </c>
      <c r="G52" s="7">
        <f>B52+D52*SIN(F52)</f>
        <v>0</v>
      </c>
      <c r="H52" s="7">
        <f>C52-D52*COS(F52)</f>
        <v>0</v>
      </c>
      <c r="N52" s="7">
        <f t="shared" si="22"/>
        <v>0</v>
      </c>
      <c r="O52" s="7">
        <f t="shared" si="23"/>
        <v>0</v>
      </c>
    </row>
    <row r="53" spans="2:36" x14ac:dyDescent="0.3">
      <c r="B53" s="7">
        <v>9.8663578586422052E-4</v>
      </c>
      <c r="C53" s="7">
        <f t="shared" si="16"/>
        <v>1.8656608684924122E-4</v>
      </c>
      <c r="D53" s="7">
        <f t="shared" si="17"/>
        <v>3.3935096946033538E-3</v>
      </c>
      <c r="E53" s="7">
        <f t="shared" si="8"/>
        <v>0.16520814213077126</v>
      </c>
      <c r="F53" s="7">
        <f t="shared" si="9"/>
        <v>0.16372923769153419</v>
      </c>
      <c r="G53" s="7">
        <f t="shared" ref="G53:G101" si="24">B53+D53*SIN(F53)</f>
        <v>1.5397734390514798E-3</v>
      </c>
      <c r="H53" s="7">
        <f t="shared" ref="H53:H101" si="25">C53-D53*COS(F53)</f>
        <v>-3.1615597745833063E-3</v>
      </c>
      <c r="N53" s="7">
        <f t="shared" si="22"/>
        <v>1.5397734390514798E-3</v>
      </c>
      <c r="O53" s="7">
        <f t="shared" si="23"/>
        <v>-3.1615597745833063E-3</v>
      </c>
    </row>
    <row r="54" spans="2:36" x14ac:dyDescent="0.3">
      <c r="B54" s="7">
        <v>3.942649342761062E-3</v>
      </c>
      <c r="C54" s="7">
        <f t="shared" si="16"/>
        <v>6.1499830276966997E-4</v>
      </c>
      <c r="D54" s="7">
        <f t="shared" si="17"/>
        <v>6.7317506888113689E-3</v>
      </c>
      <c r="E54" s="7">
        <f t="shared" si="8"/>
        <v>0.13206562389376386</v>
      </c>
      <c r="F54" s="7">
        <f t="shared" si="9"/>
        <v>0.13130576000555869</v>
      </c>
      <c r="G54" s="7">
        <f t="shared" si="24"/>
        <v>4.8240292046410988E-3</v>
      </c>
      <c r="H54" s="7">
        <f t="shared" si="25"/>
        <v>-6.0588039774439615E-3</v>
      </c>
      <c r="N54" s="7">
        <f t="shared" si="22"/>
        <v>4.8240292046410988E-3</v>
      </c>
      <c r="O54" s="7">
        <f t="shared" si="23"/>
        <v>-6.0588039774439615E-3</v>
      </c>
    </row>
    <row r="55" spans="2:36" x14ac:dyDescent="0.3">
      <c r="B55" s="7">
        <v>8.8563746356556394E-3</v>
      </c>
      <c r="C55" s="7">
        <f t="shared" si="16"/>
        <v>1.2098418878307437E-3</v>
      </c>
      <c r="D55" s="7">
        <f t="shared" si="17"/>
        <v>1.0011470514324668E-2</v>
      </c>
      <c r="E55" s="7">
        <f t="shared" si="8"/>
        <v>0.11262731541497996</v>
      </c>
      <c r="F55" s="7">
        <f t="shared" si="9"/>
        <v>0.11215468486495832</v>
      </c>
      <c r="G55" s="7">
        <f t="shared" si="24"/>
        <v>9.9768554773399954E-3</v>
      </c>
      <c r="H55" s="7">
        <f t="shared" si="25"/>
        <v>-8.7387290920944907E-3</v>
      </c>
      <c r="N55" s="7">
        <f t="shared" si="22"/>
        <v>9.9768554773399954E-3</v>
      </c>
      <c r="O55" s="7">
        <f t="shared" si="23"/>
        <v>-8.7387290920944907E-3</v>
      </c>
    </row>
    <row r="56" spans="2:36" x14ac:dyDescent="0.3">
      <c r="B56" s="7">
        <v>1.5708419435684462E-2</v>
      </c>
      <c r="C56" s="7">
        <f t="shared" si="16"/>
        <v>1.9296795794479429E-3</v>
      </c>
      <c r="D56" s="7">
        <f t="shared" si="17"/>
        <v>1.3229435808396637E-2</v>
      </c>
      <c r="E56" s="7">
        <f t="shared" si="8"/>
        <v>9.8780916068307301E-2</v>
      </c>
      <c r="F56" s="7">
        <f t="shared" si="9"/>
        <v>9.8461493577960954E-2</v>
      </c>
      <c r="G56" s="7">
        <f t="shared" si="24"/>
        <v>1.7008905768769719E-2</v>
      </c>
      <c r="H56" s="7">
        <f t="shared" si="25"/>
        <v>-1.1235680541184749E-2</v>
      </c>
      <c r="N56" s="7">
        <f t="shared" si="22"/>
        <v>1.7008905768769719E-2</v>
      </c>
      <c r="O56" s="7">
        <f t="shared" si="23"/>
        <v>-1.1235680541184749E-2</v>
      </c>
    </row>
    <row r="57" spans="2:36" x14ac:dyDescent="0.3">
      <c r="B57" s="7">
        <v>2.4471741852423234E-2</v>
      </c>
      <c r="C57" s="7">
        <f t="shared" si="16"/>
        <v>2.7446057998521509E-3</v>
      </c>
      <c r="D57" s="7">
        <f t="shared" si="17"/>
        <v>1.6382339452279297E-2</v>
      </c>
      <c r="E57" s="7">
        <f t="shared" si="8"/>
        <v>8.7983878141974559E-2</v>
      </c>
      <c r="F57" s="7">
        <f t="shared" si="9"/>
        <v>8.7757894334951708E-2</v>
      </c>
      <c r="G57" s="7">
        <f t="shared" si="24"/>
        <v>2.5907576808369671E-2</v>
      </c>
      <c r="H57" s="7">
        <f t="shared" si="25"/>
        <v>-1.3574690260609187E-2</v>
      </c>
      <c r="N57" s="7">
        <f t="shared" si="22"/>
        <v>2.5907576808369671E-2</v>
      </c>
      <c r="O57" s="7">
        <f t="shared" si="23"/>
        <v>-1.3574690260609187E-2</v>
      </c>
    </row>
    <row r="58" spans="2:36" x14ac:dyDescent="0.3">
      <c r="B58" s="7">
        <v>3.5111757055874271E-2</v>
      </c>
      <c r="C58" s="7">
        <f t="shared" si="16"/>
        <v>3.6307611618016863E-3</v>
      </c>
      <c r="D58" s="7">
        <f t="shared" si="17"/>
        <v>1.9466676978749688E-2</v>
      </c>
      <c r="E58" s="7">
        <f t="shared" si="8"/>
        <v>7.9103418623907309E-2</v>
      </c>
      <c r="F58" s="7">
        <f t="shared" si="9"/>
        <v>7.8939042704391504E-2</v>
      </c>
      <c r="G58" s="7">
        <f t="shared" si="24"/>
        <v>3.6646842459932265E-2</v>
      </c>
      <c r="H58" s="7">
        <f t="shared" si="25"/>
        <v>-1.5775295248433525E-2</v>
      </c>
      <c r="N58" s="7">
        <f t="shared" si="22"/>
        <v>3.6646842459932265E-2</v>
      </c>
      <c r="O58" s="7">
        <f t="shared" si="23"/>
        <v>-1.5775295248433525E-2</v>
      </c>
    </row>
    <row r="59" spans="2:36" x14ac:dyDescent="0.3">
      <c r="B59" s="7">
        <v>4.7586473766990212E-2</v>
      </c>
      <c r="C59" s="7">
        <f t="shared" si="16"/>
        <v>4.5680609045187842E-3</v>
      </c>
      <c r="D59" s="7">
        <f t="shared" si="17"/>
        <v>2.2478599606769546E-2</v>
      </c>
      <c r="E59" s="7">
        <f t="shared" si="8"/>
        <v>7.1534992539196179E-2</v>
      </c>
      <c r="F59" s="7">
        <f t="shared" si="9"/>
        <v>7.1413344886073149E-2</v>
      </c>
      <c r="G59" s="7">
        <f t="shared" si="24"/>
        <v>4.9190381655855354E-2</v>
      </c>
      <c r="H59" s="7">
        <f t="shared" si="25"/>
        <v>-1.785324413701473E-2</v>
      </c>
      <c r="N59" s="7">
        <f t="shared" si="22"/>
        <v>4.9190381655855354E-2</v>
      </c>
      <c r="O59" s="7">
        <f t="shared" si="23"/>
        <v>-1.785324413701473E-2</v>
      </c>
    </row>
    <row r="60" spans="2:36" x14ac:dyDescent="0.3">
      <c r="B60" s="7">
        <v>6.1846659978068208E-2</v>
      </c>
      <c r="C60" s="7">
        <f t="shared" si="16"/>
        <v>5.5390390875733565E-3</v>
      </c>
      <c r="D60" s="7">
        <f t="shared" si="17"/>
        <v>2.5413752823463111E-2</v>
      </c>
      <c r="E60" s="7">
        <f t="shared" si="8"/>
        <v>6.4917438754334297E-2</v>
      </c>
      <c r="F60" s="7">
        <f t="shared" si="9"/>
        <v>6.482647536230117E-2</v>
      </c>
      <c r="G60" s="7">
        <f t="shared" si="24"/>
        <v>6.3492990324230072E-2</v>
      </c>
      <c r="H60" s="7">
        <f t="shared" si="25"/>
        <v>-1.9821332143214763E-2</v>
      </c>
      <c r="N60" s="7">
        <f t="shared" si="22"/>
        <v>6.3492990324230072E-2</v>
      </c>
      <c r="O60" s="7">
        <f t="shared" si="23"/>
        <v>-1.9821332143214763E-2</v>
      </c>
    </row>
    <row r="61" spans="2:36" x14ac:dyDescent="0.3">
      <c r="B61" s="7">
        <v>7.7836037248992462E-2</v>
      </c>
      <c r="C61" s="7">
        <f t="shared" si="16"/>
        <v>6.5281891145447047E-3</v>
      </c>
      <c r="D61" s="7">
        <f t="shared" si="17"/>
        <v>2.8267110618340183E-2</v>
      </c>
      <c r="E61" s="7">
        <f t="shared" si="8"/>
        <v>5.9017482208929849E-2</v>
      </c>
      <c r="F61" s="7">
        <f t="shared" si="9"/>
        <v>5.8949104510186374E-2</v>
      </c>
      <c r="G61" s="7">
        <f t="shared" si="24"/>
        <v>7.9501393198059767E-2</v>
      </c>
      <c r="H61" s="7">
        <f t="shared" si="25"/>
        <v>-2.1689821663544995E-2</v>
      </c>
      <c r="N61" s="7">
        <f t="shared" si="22"/>
        <v>7.9501393198059767E-2</v>
      </c>
      <c r="O61" s="7">
        <f t="shared" si="23"/>
        <v>-2.1689821663544995E-2</v>
      </c>
    </row>
    <row r="62" spans="2:36" x14ac:dyDescent="0.3">
      <c r="B62" s="7">
        <v>9.5491502812526274E-2</v>
      </c>
      <c r="C62" s="7">
        <f t="shared" si="16"/>
        <v>7.5215589215334652E-3</v>
      </c>
      <c r="D62" s="7">
        <f t="shared" si="17"/>
        <v>3.10328162284924E-2</v>
      </c>
      <c r="E62" s="7">
        <f t="shared" si="8"/>
        <v>5.3675508236882823E-2</v>
      </c>
      <c r="F62" s="7">
        <f t="shared" si="9"/>
        <v>5.3624049704160216E-2</v>
      </c>
      <c r="G62" s="7">
        <f t="shared" si="24"/>
        <v>9.7154810673891326E-2</v>
      </c>
      <c r="H62" s="7">
        <f t="shared" si="25"/>
        <v>-2.3466649965552967E-2</v>
      </c>
      <c r="N62" s="7">
        <f t="shared" si="22"/>
        <v>9.7154810673891326E-2</v>
      </c>
      <c r="O62" s="7">
        <f t="shared" si="23"/>
        <v>-2.3466649965552967E-2</v>
      </c>
    </row>
    <row r="63" spans="2:36" x14ac:dyDescent="0.3">
      <c r="B63" s="7">
        <v>0.11474337861210537</v>
      </c>
      <c r="C63" s="7">
        <f t="shared" si="16"/>
        <v>8.5064899738986968E-3</v>
      </c>
      <c r="D63" s="7">
        <f t="shared" si="17"/>
        <v>3.3704040539237125E-2</v>
      </c>
      <c r="E63" s="7">
        <f t="shared" si="8"/>
        <v>4.8777315793033904E-2</v>
      </c>
      <c r="F63" s="7">
        <f t="shared" si="9"/>
        <v>4.8738686827597417E-2</v>
      </c>
      <c r="G63" s="7">
        <f t="shared" si="24"/>
        <v>0.11638541900845788</v>
      </c>
      <c r="H63" s="7">
        <f t="shared" si="25"/>
        <v>-2.5157527195881949E-2</v>
      </c>
      <c r="N63" s="7">
        <f t="shared" si="22"/>
        <v>0.11638541900845788</v>
      </c>
      <c r="O63" s="7">
        <f t="shared" si="23"/>
        <v>-2.5157527195881949E-2</v>
      </c>
    </row>
    <row r="64" spans="2:36" x14ac:dyDescent="0.3">
      <c r="B64" s="7">
        <v>0.13551568628929422</v>
      </c>
      <c r="C64" s="7">
        <f t="shared" si="16"/>
        <v>9.4714432450788734E-3</v>
      </c>
      <c r="D64" s="7">
        <f t="shared" si="17"/>
        <v>3.6272869083179844E-2</v>
      </c>
      <c r="E64" s="7">
        <f t="shared" si="8"/>
        <v>4.4238208882420971E-2</v>
      </c>
      <c r="F64" s="7">
        <f t="shared" si="9"/>
        <v>4.4209384380637914E-2</v>
      </c>
      <c r="G64" s="7">
        <f t="shared" si="24"/>
        <v>0.13711876518723817</v>
      </c>
      <c r="H64" s="7">
        <f t="shared" si="25"/>
        <v>-2.6765984499898709E-2</v>
      </c>
      <c r="N64" s="7">
        <f t="shared" si="22"/>
        <v>0.13711876518723817</v>
      </c>
      <c r="O64" s="7">
        <f t="shared" si="23"/>
        <v>-2.6765984499898709E-2</v>
      </c>
    </row>
    <row r="65" spans="2:15" x14ac:dyDescent="0.3">
      <c r="B65" s="7">
        <v>0.15772644703565569</v>
      </c>
      <c r="C65" s="7">
        <f t="shared" ref="C65:C96" si="26">IFERROR(-($A$1/(4*PI()))*((1-B65)*LN(1-B65)+B65*LN(B65)), 0)</f>
        <v>1.0405880561552712E-2</v>
      </c>
      <c r="D65" s="7">
        <f t="shared" ref="D65:D96" si="27">IF(B65&lt;$S$1, ($A$2/0.2)*($T$1*SQRT(B65)+$U$1*B65+$V$1*(B65^2)+$W$1*(B65^3)), ($A$2/0.2)*($X$1+$Y$1*(1-B65)+$Z$1*((1-B65)^2)+$AA$1*((1-B65)^3)))</f>
        <v>3.8730227891465095E-2</v>
      </c>
      <c r="E65" s="7">
        <f t="shared" si="8"/>
        <v>3.9993472570762016E-2</v>
      </c>
      <c r="F65" s="7">
        <f t="shared" si="9"/>
        <v>3.9972170119556553E-2</v>
      </c>
      <c r="G65" s="7">
        <f t="shared" si="24"/>
        <v>0.1592741660658917</v>
      </c>
      <c r="H65" s="7">
        <f t="shared" si="25"/>
        <v>-2.8293410366425104E-2</v>
      </c>
      <c r="N65" s="7">
        <f t="shared" ref="N65:N96" si="28">G65*COS($A$7)+H65*SIN($A$7)</f>
        <v>0.1592741660658917</v>
      </c>
      <c r="O65" s="7">
        <f t="shared" ref="O65:O96" si="29">-G65*SIN($A$7)+H65*COS($A$7)</f>
        <v>-2.8293410366425104E-2</v>
      </c>
    </row>
    <row r="66" spans="2:15" x14ac:dyDescent="0.3">
      <c r="B66" s="7">
        <v>0.18128800512565513</v>
      </c>
      <c r="C66" s="7">
        <f t="shared" si="26"/>
        <v>1.1300182574347166E-2</v>
      </c>
      <c r="D66" s="7">
        <f t="shared" si="27"/>
        <v>4.1065857292524176E-2</v>
      </c>
      <c r="E66" s="7">
        <f t="shared" ref="E66:E102" si="30">IFERROR(($A$1/(4*PI()))*(LN(1-B66)-LN(B66)), 0)</f>
        <v>3.5992382967022313E-2</v>
      </c>
      <c r="F66" s="7">
        <f t="shared" ref="F66:F102" si="31">ATAN(E66)</f>
        <v>3.5976852905888368E-2</v>
      </c>
      <c r="G66" s="7">
        <f t="shared" si="24"/>
        <v>0.18276510674100541</v>
      </c>
      <c r="H66" s="7">
        <f t="shared" si="25"/>
        <v>-2.9739101118084539E-2</v>
      </c>
      <c r="N66" s="7">
        <f t="shared" si="28"/>
        <v>0.18276510674100541</v>
      </c>
      <c r="O66" s="7">
        <f t="shared" si="29"/>
        <v>-2.9739101118084539E-2</v>
      </c>
    </row>
    <row r="67" spans="2:15" x14ac:dyDescent="0.3">
      <c r="B67" s="7">
        <v>0.20610737385376338</v>
      </c>
      <c r="C67" s="7">
        <f t="shared" si="26"/>
        <v>1.2145591673401197E-2</v>
      </c>
      <c r="D67" s="7">
        <f t="shared" si="27"/>
        <v>4.3268341162673439E-2</v>
      </c>
      <c r="E67" s="7">
        <f t="shared" si="30"/>
        <v>3.2194282580986971E-2</v>
      </c>
      <c r="F67" s="7">
        <f t="shared" si="31"/>
        <v>3.2183166670628212E-2</v>
      </c>
      <c r="G67" s="7">
        <f t="shared" si="24"/>
        <v>0.20749964571754448</v>
      </c>
      <c r="H67" s="7">
        <f t="shared" si="25"/>
        <v>-3.1100343696605821E-2</v>
      </c>
      <c r="N67" s="7">
        <f t="shared" si="28"/>
        <v>0.20749964571754448</v>
      </c>
      <c r="O67" s="7">
        <f t="shared" si="29"/>
        <v>-3.1100343696605821E-2</v>
      </c>
    </row>
    <row r="68" spans="2:15" x14ac:dyDescent="0.3">
      <c r="B68" s="7">
        <v>0.23208660251050173</v>
      </c>
      <c r="C68" s="7">
        <f t="shared" si="26"/>
        <v>1.293417225274265E-2</v>
      </c>
      <c r="D68" s="7">
        <f t="shared" si="27"/>
        <v>4.5325197163333011E-2</v>
      </c>
      <c r="E68" s="7">
        <f t="shared" si="30"/>
        <v>2.8565917983697953E-2</v>
      </c>
      <c r="F68" s="7">
        <f t="shared" si="31"/>
        <v>2.8558151744932994E-2</v>
      </c>
      <c r="G68" s="7">
        <f t="shared" si="24"/>
        <v>0.23338083043040148</v>
      </c>
      <c r="H68" s="7">
        <f t="shared" si="25"/>
        <v>-3.2372543275822896E-2</v>
      </c>
      <c r="N68" s="7">
        <f t="shared" si="28"/>
        <v>0.23338083043040148</v>
      </c>
      <c r="O68" s="7">
        <f t="shared" si="29"/>
        <v>-3.2372543275822896E-2</v>
      </c>
    </row>
    <row r="69" spans="2:15" x14ac:dyDescent="0.3">
      <c r="B69" s="7">
        <v>0.25912316294914239</v>
      </c>
      <c r="C69" s="7">
        <f t="shared" si="26"/>
        <v>1.365878322101902E-2</v>
      </c>
      <c r="D69" s="7">
        <f t="shared" si="27"/>
        <v>4.7223031220522016E-2</v>
      </c>
      <c r="E69" s="7">
        <f t="shared" si="30"/>
        <v>2.5079578279710784E-2</v>
      </c>
      <c r="F69" s="7">
        <f t="shared" si="31"/>
        <v>2.5074322034984768E-2</v>
      </c>
      <c r="G69" s="7">
        <f t="shared" si="24"/>
        <v>0.26030712436864173</v>
      </c>
      <c r="H69" s="7">
        <f t="shared" si="25"/>
        <v>-3.3549403706796099E-2</v>
      </c>
      <c r="N69" s="7">
        <f t="shared" si="28"/>
        <v>0.26030712436864173</v>
      </c>
      <c r="O69" s="7">
        <f t="shared" si="29"/>
        <v>-3.3549403706796099E-2</v>
      </c>
    </row>
    <row r="70" spans="2:15" x14ac:dyDescent="0.3">
      <c r="B70" s="7">
        <v>0.28711035421746367</v>
      </c>
      <c r="C70" s="7">
        <f t="shared" si="26"/>
        <v>1.4313059224473073E-2</v>
      </c>
      <c r="D70" s="7">
        <f t="shared" si="27"/>
        <v>4.8947756995536502E-2</v>
      </c>
      <c r="E70" s="7">
        <f t="shared" si="30"/>
        <v>2.171175776658418E-2</v>
      </c>
      <c r="F70" s="7">
        <f t="shared" si="31"/>
        <v>2.1708347087261132E-2</v>
      </c>
      <c r="G70" s="7">
        <f t="shared" si="24"/>
        <v>0.28817284566061546</v>
      </c>
      <c r="H70" s="7">
        <f t="shared" si="25"/>
        <v>-3.4623164851637675E-2</v>
      </c>
      <c r="N70" s="7">
        <f t="shared" si="28"/>
        <v>0.28817284566061546</v>
      </c>
      <c r="O70" s="7">
        <f t="shared" si="29"/>
        <v>-3.4623164851637675E-2</v>
      </c>
    </row>
    <row r="71" spans="2:15" x14ac:dyDescent="0.3">
      <c r="B71" s="7">
        <v>0.31593772365766093</v>
      </c>
      <c r="C71" s="7">
        <f t="shared" si="26"/>
        <v>1.4891398079105564E-2</v>
      </c>
      <c r="D71" s="7">
        <f t="shared" si="27"/>
        <v>5.0484878453106431E-2</v>
      </c>
      <c r="E71" s="7">
        <f t="shared" si="30"/>
        <v>1.8442170790684186E-2</v>
      </c>
      <c r="F71" s="7">
        <f t="shared" si="31"/>
        <v>1.8440080405825343E-2</v>
      </c>
      <c r="G71" s="7">
        <f t="shared" si="24"/>
        <v>0.31686861611727579</v>
      </c>
      <c r="H71" s="7">
        <f t="shared" si="25"/>
        <v>-3.5584897264883009E-2</v>
      </c>
      <c r="N71" s="7">
        <f t="shared" si="28"/>
        <v>0.31686861611727579</v>
      </c>
      <c r="O71" s="7">
        <f t="shared" si="29"/>
        <v>-3.5584897264883009E-2</v>
      </c>
    </row>
    <row r="72" spans="2:15" x14ac:dyDescent="0.3">
      <c r="B72" s="7">
        <v>0.34549150281252627</v>
      </c>
      <c r="C72" s="7">
        <f t="shared" si="26"/>
        <v>1.5388952604309347E-2</v>
      </c>
      <c r="D72" s="7">
        <f t="shared" si="27"/>
        <v>5.1819830953224087E-2</v>
      </c>
      <c r="E72" s="7">
        <f t="shared" si="30"/>
        <v>1.5253008332374623E-2</v>
      </c>
      <c r="F72" s="7">
        <f t="shared" si="31"/>
        <v>1.525182560499852E-2</v>
      </c>
      <c r="G72" s="7">
        <f t="shared" si="24"/>
        <v>0.34628181919594675</v>
      </c>
      <c r="H72" s="7">
        <f t="shared" si="25"/>
        <v>-3.6424851348255446E-2</v>
      </c>
      <c r="N72" s="7">
        <f t="shared" si="28"/>
        <v>0.34628181919594675</v>
      </c>
      <c r="O72" s="7">
        <f t="shared" si="29"/>
        <v>-3.6424851348255446E-2</v>
      </c>
    </row>
    <row r="73" spans="2:15" x14ac:dyDescent="0.3">
      <c r="B73" s="7">
        <v>0.37565505641757263</v>
      </c>
      <c r="C73" s="7">
        <f t="shared" si="26"/>
        <v>1.5801625533945537E-2</v>
      </c>
      <c r="D73" s="7">
        <f t="shared" si="27"/>
        <v>5.29383736766246E-2</v>
      </c>
      <c r="E73" s="7">
        <f t="shared" si="30"/>
        <v>1.2128363222482856E-2</v>
      </c>
      <c r="F73" s="7">
        <f t="shared" si="31"/>
        <v>1.2127768592228581E-2</v>
      </c>
      <c r="G73" s="7">
        <f t="shared" si="24"/>
        <v>0.37629706502483412</v>
      </c>
      <c r="H73" s="7">
        <f t="shared" si="25"/>
        <v>-3.7132855029049908E-2</v>
      </c>
      <c r="N73" s="7">
        <f t="shared" si="28"/>
        <v>0.37629706502483412</v>
      </c>
      <c r="O73" s="7">
        <f t="shared" si="29"/>
        <v>-3.7132855029049908E-2</v>
      </c>
    </row>
    <row r="74" spans="2:15" x14ac:dyDescent="0.3">
      <c r="B74" s="7">
        <v>0.40630934270713764</v>
      </c>
      <c r="C74" s="7">
        <f t="shared" si="26"/>
        <v>1.6126066526819506E-2</v>
      </c>
      <c r="D74" s="7">
        <f t="shared" si="27"/>
        <v>5.3827023742313601E-2</v>
      </c>
      <c r="E74" s="7">
        <f t="shared" si="30"/>
        <v>9.0537742132901951E-3</v>
      </c>
      <c r="F74" s="7">
        <f t="shared" si="31"/>
        <v>9.0535268436682335E-3</v>
      </c>
      <c r="G74" s="7">
        <f t="shared" si="24"/>
        <v>0.40679666045416374</v>
      </c>
      <c r="H74" s="7">
        <f t="shared" si="25"/>
        <v>-3.7698751228273965E-2</v>
      </c>
      <c r="N74" s="7">
        <f t="shared" si="28"/>
        <v>0.40679666045416374</v>
      </c>
      <c r="O74" s="7">
        <f t="shared" si="29"/>
        <v>-3.7698751228273965E-2</v>
      </c>
    </row>
    <row r="75" spans="2:15" x14ac:dyDescent="0.3">
      <c r="B75" s="7">
        <v>0.43733338321784776</v>
      </c>
      <c r="C75" s="7">
        <f t="shared" si="26"/>
        <v>1.6359670553251125E-2</v>
      </c>
      <c r="D75" s="7">
        <f t="shared" si="27"/>
        <v>5.4473520184945855E-2</v>
      </c>
      <c r="E75" s="7">
        <f t="shared" si="30"/>
        <v>6.0158539962544642E-3</v>
      </c>
      <c r="F75" s="7">
        <f t="shared" si="31"/>
        <v>6.0157814255769907E-3</v>
      </c>
      <c r="G75" s="7">
        <f t="shared" si="24"/>
        <v>0.43766108203220422</v>
      </c>
      <c r="H75" s="7">
        <f t="shared" si="25"/>
        <v>-3.8112863946501797E-2</v>
      </c>
      <c r="N75" s="7">
        <f t="shared" si="28"/>
        <v>0.43766108203220422</v>
      </c>
      <c r="O75" s="7">
        <f t="shared" si="29"/>
        <v>-3.8112863946501797E-2</v>
      </c>
    </row>
    <row r="76" spans="2:15" x14ac:dyDescent="0.3">
      <c r="B76" s="7">
        <v>0.46860474023534326</v>
      </c>
      <c r="C76" s="7">
        <f t="shared" si="26"/>
        <v>1.6500577127924004E-2</v>
      </c>
      <c r="D76" s="7">
        <f t="shared" si="27"/>
        <v>5.4867304118720164E-2</v>
      </c>
      <c r="E76" s="7">
        <f t="shared" si="30"/>
        <v>3.0019758712989124E-3</v>
      </c>
      <c r="F76" s="7">
        <f t="shared" si="31"/>
        <v>3.0019668535531158E-3</v>
      </c>
      <c r="G76" s="7">
        <f t="shared" si="24"/>
        <v>0.46876944981626278</v>
      </c>
      <c r="H76" s="7">
        <f t="shared" si="25"/>
        <v>-3.8366479764259304E-2</v>
      </c>
      <c r="N76" s="7">
        <f t="shared" si="28"/>
        <v>0.46876944981626278</v>
      </c>
      <c r="O76" s="7">
        <f t="shared" si="29"/>
        <v>-3.8366479764259304E-2</v>
      </c>
    </row>
    <row r="77" spans="2:15" x14ac:dyDescent="0.3">
      <c r="B77" s="7">
        <v>0.49999999999999994</v>
      </c>
      <c r="C77" s="7">
        <f t="shared" si="26"/>
        <v>1.6547670011448867E-2</v>
      </c>
      <c r="D77" s="7">
        <f t="shared" si="27"/>
        <v>5.5000000000000014E-2</v>
      </c>
      <c r="E77" s="7">
        <f t="shared" si="30"/>
        <v>2.6504622345529304E-18</v>
      </c>
      <c r="F77" s="7">
        <f t="shared" si="31"/>
        <v>2.6504622345529304E-18</v>
      </c>
      <c r="G77" s="7">
        <f t="shared" si="24"/>
        <v>0.49999999999999994</v>
      </c>
      <c r="H77" s="7">
        <f t="shared" si="25"/>
        <v>-3.8452329988551151E-2</v>
      </c>
      <c r="N77" s="7">
        <f t="shared" si="28"/>
        <v>0.49999999999999994</v>
      </c>
      <c r="O77" s="7">
        <f t="shared" si="29"/>
        <v>-3.8452329988551151E-2</v>
      </c>
    </row>
    <row r="78" spans="2:15" x14ac:dyDescent="0.3">
      <c r="B78" s="7">
        <v>0.53139525976465674</v>
      </c>
      <c r="C78" s="7">
        <f t="shared" si="26"/>
        <v>1.6500577127924004E-2</v>
      </c>
      <c r="D78" s="7">
        <f t="shared" si="27"/>
        <v>5.4861670098894991E-2</v>
      </c>
      <c r="E78" s="7">
        <f t="shared" si="30"/>
        <v>-3.0019758712989124E-3</v>
      </c>
      <c r="F78" s="7">
        <f t="shared" si="31"/>
        <v>-3.0019668535531158E-3</v>
      </c>
      <c r="G78" s="7">
        <f t="shared" si="24"/>
        <v>0.53123056709685257</v>
      </c>
      <c r="H78" s="7">
        <f t="shared" si="25"/>
        <v>-3.8360845769820462E-2</v>
      </c>
      <c r="N78" s="7">
        <f t="shared" si="28"/>
        <v>0.53123056709685257</v>
      </c>
      <c r="O78" s="7">
        <f t="shared" si="29"/>
        <v>-3.8360845769820462E-2</v>
      </c>
    </row>
    <row r="79" spans="2:15" x14ac:dyDescent="0.3">
      <c r="B79" s="7">
        <v>0.56266661678215213</v>
      </c>
      <c r="C79" s="7">
        <f t="shared" si="26"/>
        <v>1.6359670553251125E-2</v>
      </c>
      <c r="D79" s="7">
        <f t="shared" si="27"/>
        <v>5.4429139313521661E-2</v>
      </c>
      <c r="E79" s="7">
        <f t="shared" si="30"/>
        <v>-6.0158539962544512E-3</v>
      </c>
      <c r="F79" s="7">
        <f t="shared" si="31"/>
        <v>-6.0157814255769777E-3</v>
      </c>
      <c r="G79" s="7">
        <f t="shared" si="24"/>
        <v>0.56233918495180735</v>
      </c>
      <c r="H79" s="7">
        <f t="shared" si="25"/>
        <v>-3.8068483878138756E-2</v>
      </c>
      <c r="N79" s="7">
        <f t="shared" si="28"/>
        <v>0.56233918495180735</v>
      </c>
      <c r="O79" s="7">
        <f t="shared" si="29"/>
        <v>-3.8068483878138756E-2</v>
      </c>
    </row>
    <row r="80" spans="2:15" x14ac:dyDescent="0.3">
      <c r="B80" s="7">
        <v>0.5936906572928623</v>
      </c>
      <c r="C80" s="7">
        <f t="shared" si="26"/>
        <v>1.612606652681951E-2</v>
      </c>
      <c r="D80" s="7">
        <f t="shared" si="27"/>
        <v>5.3680265627154576E-2</v>
      </c>
      <c r="E80" s="7">
        <f t="shared" si="30"/>
        <v>-9.0537742132901864E-3</v>
      </c>
      <c r="F80" s="7">
        <f t="shared" si="31"/>
        <v>-9.0535268436682248E-3</v>
      </c>
      <c r="G80" s="7">
        <f t="shared" si="24"/>
        <v>0.5932046682062202</v>
      </c>
      <c r="H80" s="7">
        <f t="shared" si="25"/>
        <v>-3.7551999127687252E-2</v>
      </c>
      <c r="N80" s="7">
        <f t="shared" si="28"/>
        <v>0.5932046682062202</v>
      </c>
      <c r="O80" s="7">
        <f t="shared" si="29"/>
        <v>-3.7551999127687252E-2</v>
      </c>
    </row>
    <row r="81" spans="2:15" x14ac:dyDescent="0.3">
      <c r="B81" s="7">
        <v>0.62434494358242743</v>
      </c>
      <c r="C81" s="7">
        <f t="shared" si="26"/>
        <v>1.5801625533945537E-2</v>
      </c>
      <c r="D81" s="7">
        <f t="shared" si="27"/>
        <v>5.2599270400495605E-2</v>
      </c>
      <c r="E81" s="7">
        <f t="shared" si="30"/>
        <v>-1.2128363222482867E-2</v>
      </c>
      <c r="F81" s="7">
        <f t="shared" si="31"/>
        <v>-1.2127768592228591E-2</v>
      </c>
      <c r="G81" s="7">
        <f t="shared" si="24"/>
        <v>0.62370704744041383</v>
      </c>
      <c r="H81" s="7">
        <f t="shared" si="25"/>
        <v>-3.6793776690740007E-2</v>
      </c>
      <c r="N81" s="7">
        <f t="shared" si="28"/>
        <v>0.62370704744041383</v>
      </c>
      <c r="O81" s="7">
        <f t="shared" si="29"/>
        <v>-3.6793776690740007E-2</v>
      </c>
    </row>
    <row r="82" spans="2:15" x14ac:dyDescent="0.3">
      <c r="B82" s="7">
        <v>0.6545084971874735</v>
      </c>
      <c r="C82" s="7">
        <f t="shared" si="26"/>
        <v>1.538895260430935E-2</v>
      </c>
      <c r="D82" s="7">
        <f t="shared" si="27"/>
        <v>5.1177616836327787E-2</v>
      </c>
      <c r="E82" s="7">
        <f t="shared" si="30"/>
        <v>-1.5253008332374597E-2</v>
      </c>
      <c r="F82" s="7">
        <f t="shared" si="31"/>
        <v>-1.5251825604998494E-2</v>
      </c>
      <c r="G82" s="7">
        <f t="shared" si="24"/>
        <v>0.65372797536202265</v>
      </c>
      <c r="H82" s="7">
        <f t="shared" si="25"/>
        <v>-3.5782711925252092E-2</v>
      </c>
      <c r="N82" s="7">
        <f t="shared" si="28"/>
        <v>0.65372797536202265</v>
      </c>
      <c r="O82" s="7">
        <f t="shared" si="29"/>
        <v>-3.5782711925252092E-2</v>
      </c>
    </row>
    <row r="83" spans="2:15" x14ac:dyDescent="0.3">
      <c r="B83" s="7">
        <v>0.68406227634233885</v>
      </c>
      <c r="C83" s="7">
        <f t="shared" si="26"/>
        <v>1.4891398079105569E-2</v>
      </c>
      <c r="D83" s="7">
        <f t="shared" si="27"/>
        <v>4.9414707384469778E-2</v>
      </c>
      <c r="E83" s="7">
        <f t="shared" si="30"/>
        <v>-1.8442170790684161E-2</v>
      </c>
      <c r="F83" s="7">
        <f t="shared" si="31"/>
        <v>-1.8440080405825319E-2</v>
      </c>
      <c r="G83" s="7">
        <f t="shared" si="24"/>
        <v>0.68315111680491414</v>
      </c>
      <c r="H83" s="7">
        <f t="shared" si="25"/>
        <v>-3.4514908139737913E-2</v>
      </c>
      <c r="N83" s="7">
        <f t="shared" si="28"/>
        <v>0.68315111680491414</v>
      </c>
      <c r="O83" s="7">
        <f t="shared" si="29"/>
        <v>-3.4514908139737913E-2</v>
      </c>
    </row>
    <row r="84" spans="2:15" x14ac:dyDescent="0.3">
      <c r="B84" s="7">
        <v>0.71288964578253633</v>
      </c>
      <c r="C84" s="7">
        <f t="shared" si="26"/>
        <v>1.4313059224473073E-2</v>
      </c>
      <c r="D84" s="7">
        <f t="shared" si="27"/>
        <v>4.7318370507912412E-2</v>
      </c>
      <c r="E84" s="7">
        <f t="shared" si="30"/>
        <v>-2.171175776658418E-2</v>
      </c>
      <c r="F84" s="7">
        <f t="shared" si="31"/>
        <v>-2.1708347087261132E-2</v>
      </c>
      <c r="G84" s="7">
        <f t="shared" si="24"/>
        <v>0.71186252284872897</v>
      </c>
      <c r="H84" s="7">
        <f t="shared" si="25"/>
        <v>-3.2994162275028688E-2</v>
      </c>
      <c r="N84" s="7">
        <f t="shared" si="28"/>
        <v>0.71186252284872897</v>
      </c>
      <c r="O84" s="7">
        <f t="shared" si="29"/>
        <v>-3.2994162275028688E-2</v>
      </c>
    </row>
    <row r="85" spans="2:15" x14ac:dyDescent="0.3">
      <c r="B85" s="7">
        <v>0.74087683705085772</v>
      </c>
      <c r="C85" s="7">
        <f t="shared" si="26"/>
        <v>1.3658783221019016E-2</v>
      </c>
      <c r="D85" s="7">
        <f t="shared" si="27"/>
        <v>4.4905113557687705E-2</v>
      </c>
      <c r="E85" s="7">
        <f t="shared" si="30"/>
        <v>-2.5079578279710794E-2</v>
      </c>
      <c r="F85" s="7">
        <f t="shared" si="31"/>
        <v>-2.5074322034984779E-2</v>
      </c>
      <c r="G85" s="7">
        <f t="shared" si="24"/>
        <v>0.73975098975523912</v>
      </c>
      <c r="H85" s="7">
        <f t="shared" si="25"/>
        <v>-3.1232214668265826E-2</v>
      </c>
      <c r="N85" s="7">
        <f t="shared" si="28"/>
        <v>0.73975098975523912</v>
      </c>
      <c r="O85" s="7">
        <f t="shared" si="29"/>
        <v>-3.1232214668265826E-2</v>
      </c>
    </row>
    <row r="86" spans="2:15" x14ac:dyDescent="0.3">
      <c r="B86" s="7">
        <v>0.76791339748949849</v>
      </c>
      <c r="C86" s="7">
        <f t="shared" si="26"/>
        <v>1.2934172252742642E-2</v>
      </c>
      <c r="D86" s="7">
        <f t="shared" si="27"/>
        <v>4.2200125743913797E-2</v>
      </c>
      <c r="E86" s="7">
        <f t="shared" si="30"/>
        <v>-2.856591798369798E-2</v>
      </c>
      <c r="F86" s="7">
        <f t="shared" si="31"/>
        <v>-2.8558151744933022E-2</v>
      </c>
      <c r="G86" s="7">
        <f t="shared" si="24"/>
        <v>0.76670840370283633</v>
      </c>
      <c r="H86" s="7">
        <f t="shared" si="25"/>
        <v>-2.9248746123968106E-2</v>
      </c>
      <c r="N86" s="7">
        <f t="shared" si="28"/>
        <v>0.76670840370283633</v>
      </c>
      <c r="O86" s="7">
        <f t="shared" si="29"/>
        <v>-2.9248746123968106E-2</v>
      </c>
    </row>
    <row r="87" spans="2:15" x14ac:dyDescent="0.3">
      <c r="B87" s="7">
        <v>0.79389262614623646</v>
      </c>
      <c r="C87" s="7">
        <f t="shared" si="26"/>
        <v>1.2145591673401202E-2</v>
      </c>
      <c r="D87" s="7">
        <f t="shared" si="27"/>
        <v>3.923702310369407E-2</v>
      </c>
      <c r="E87" s="7">
        <f t="shared" si="30"/>
        <v>-3.2194282580986944E-2</v>
      </c>
      <c r="F87" s="7">
        <f t="shared" si="31"/>
        <v>-3.2183166670628184E-2</v>
      </c>
      <c r="G87" s="7">
        <f t="shared" si="24"/>
        <v>0.79263007246800743</v>
      </c>
      <c r="H87" s="7">
        <f t="shared" si="25"/>
        <v>-2.7071113188805319E-2</v>
      </c>
      <c r="N87" s="7">
        <f t="shared" si="28"/>
        <v>0.79263007246800743</v>
      </c>
      <c r="O87" s="7">
        <f t="shared" si="29"/>
        <v>-2.7071113188805319E-2</v>
      </c>
    </row>
    <row r="88" spans="2:15" x14ac:dyDescent="0.3">
      <c r="B88" s="7">
        <v>0.81871199487434487</v>
      </c>
      <c r="C88" s="7">
        <f t="shared" si="26"/>
        <v>1.1300182574347166E-2</v>
      </c>
      <c r="D88" s="7">
        <f t="shared" si="27"/>
        <v>3.6057335687747501E-2</v>
      </c>
      <c r="E88" s="7">
        <f t="shared" si="30"/>
        <v>-3.5992382967022313E-2</v>
      </c>
      <c r="F88" s="7">
        <f t="shared" si="31"/>
        <v>-3.5976852905888368E-2</v>
      </c>
      <c r="G88" s="7">
        <f t="shared" si="24"/>
        <v>0.81741504523537323</v>
      </c>
      <c r="H88" s="7">
        <f t="shared" si="25"/>
        <v>-2.4733820513470887E-2</v>
      </c>
      <c r="N88" s="7">
        <f t="shared" si="28"/>
        <v>0.81741504523537323</v>
      </c>
      <c r="O88" s="7">
        <f t="shared" si="29"/>
        <v>-2.4733820513470887E-2</v>
      </c>
    </row>
    <row r="89" spans="2:15" x14ac:dyDescent="0.3">
      <c r="B89" s="7">
        <v>0.84227355296434436</v>
      </c>
      <c r="C89" s="7">
        <f t="shared" si="26"/>
        <v>1.0405880561552708E-2</v>
      </c>
      <c r="D89" s="7">
        <f t="shared" si="27"/>
        <v>3.2709745635081687E-2</v>
      </c>
      <c r="E89" s="7">
        <f t="shared" si="30"/>
        <v>-3.9993472570762016E-2</v>
      </c>
      <c r="F89" s="7">
        <f t="shared" si="31"/>
        <v>-3.9972170119556553E-2</v>
      </c>
      <c r="G89" s="7">
        <f t="shared" si="24"/>
        <v>0.84096642159565049</v>
      </c>
      <c r="H89" s="7">
        <f t="shared" si="25"/>
        <v>-2.2277737155840853E-2</v>
      </c>
      <c r="N89" s="7">
        <f t="shared" si="28"/>
        <v>0.84096642159565049</v>
      </c>
      <c r="O89" s="7">
        <f t="shared" si="29"/>
        <v>-2.2277737155840853E-2</v>
      </c>
    </row>
    <row r="90" spans="2:15" x14ac:dyDescent="0.3">
      <c r="B90" s="7">
        <v>0.86448431371070567</v>
      </c>
      <c r="C90" s="7">
        <f t="shared" si="26"/>
        <v>9.4714432450788786E-3</v>
      </c>
      <c r="D90" s="7">
        <f t="shared" si="27"/>
        <v>2.9249093090398109E-2</v>
      </c>
      <c r="E90" s="7">
        <f t="shared" si="30"/>
        <v>-4.423820888242095E-2</v>
      </c>
      <c r="F90" s="7">
        <f t="shared" si="31"/>
        <v>-4.4209384380637894E-2</v>
      </c>
      <c r="G90" s="7">
        <f t="shared" si="24"/>
        <v>0.86319165048603241</v>
      </c>
      <c r="H90" s="7">
        <f t="shared" si="25"/>
        <v>-1.974907126781688E-2</v>
      </c>
      <c r="N90" s="7">
        <f t="shared" si="28"/>
        <v>0.86319165048603241</v>
      </c>
      <c r="O90" s="7">
        <f t="shared" si="29"/>
        <v>-1.974907126781688E-2</v>
      </c>
    </row>
    <row r="91" spans="2:15" x14ac:dyDescent="0.3">
      <c r="B91" s="7">
        <v>0.88525662138789452</v>
      </c>
      <c r="C91" s="7">
        <f t="shared" si="26"/>
        <v>8.506489973898702E-3</v>
      </c>
      <c r="D91" s="7">
        <f t="shared" si="27"/>
        <v>2.5735174757423956E-2</v>
      </c>
      <c r="E91" s="7">
        <f t="shared" si="30"/>
        <v>-4.8777315793033883E-2</v>
      </c>
      <c r="F91" s="7">
        <f t="shared" si="31"/>
        <v>-4.8738686827597397E-2</v>
      </c>
      <c r="G91" s="7">
        <f t="shared" si="24"/>
        <v>0.88400281929524371</v>
      </c>
      <c r="H91" s="7">
        <f t="shared" si="25"/>
        <v>-1.7198124399937287E-2</v>
      </c>
      <c r="N91" s="7">
        <f t="shared" si="28"/>
        <v>0.88400281929524371</v>
      </c>
      <c r="O91" s="7">
        <f t="shared" si="29"/>
        <v>-1.7198124399937287E-2</v>
      </c>
    </row>
    <row r="92" spans="2:15" x14ac:dyDescent="0.3">
      <c r="B92" s="7">
        <v>0.90450849718747373</v>
      </c>
      <c r="C92" s="7">
        <f t="shared" si="26"/>
        <v>7.5215589215334652E-3</v>
      </c>
      <c r="D92" s="7">
        <f t="shared" si="27"/>
        <v>2.2231367001595163E-2</v>
      </c>
      <c r="E92" s="7">
        <f t="shared" si="30"/>
        <v>-5.3675508236882823E-2</v>
      </c>
      <c r="F92" s="7">
        <f t="shared" si="31"/>
        <v>-5.3624049704160216E-2</v>
      </c>
      <c r="G92" s="7">
        <f t="shared" si="24"/>
        <v>0.9033169325150836</v>
      </c>
      <c r="H92" s="7">
        <f t="shared" si="25"/>
        <v>-1.4677852160545408E-2</v>
      </c>
      <c r="N92" s="7">
        <f t="shared" si="28"/>
        <v>0.9033169325150836</v>
      </c>
      <c r="O92" s="7">
        <f t="shared" si="29"/>
        <v>-1.4677852160545408E-2</v>
      </c>
    </row>
    <row r="93" spans="2:15" x14ac:dyDescent="0.3">
      <c r="B93" s="7">
        <v>0.92216396275100743</v>
      </c>
      <c r="C93" s="7">
        <f t="shared" si="26"/>
        <v>6.5281891145447116E-3</v>
      </c>
      <c r="D93" s="7">
        <f t="shared" si="27"/>
        <v>1.8803111569016869E-2</v>
      </c>
      <c r="E93" s="7">
        <f t="shared" si="30"/>
        <v>-5.9017482208929814E-2</v>
      </c>
      <c r="F93" s="7">
        <f t="shared" si="31"/>
        <v>-5.894910451018634E-2</v>
      </c>
      <c r="G93" s="7">
        <f t="shared" si="24"/>
        <v>0.92105617801364126</v>
      </c>
      <c r="H93" s="7">
        <f t="shared" si="25"/>
        <v>-1.2242261536746391E-2</v>
      </c>
      <c r="N93" s="7">
        <f t="shared" si="28"/>
        <v>0.92105617801364126</v>
      </c>
      <c r="O93" s="7">
        <f t="shared" si="29"/>
        <v>-1.2242261536746391E-2</v>
      </c>
    </row>
    <row r="94" spans="2:15" x14ac:dyDescent="0.3">
      <c r="B94" s="7">
        <v>0.93815334002193174</v>
      </c>
      <c r="C94" s="7">
        <f t="shared" si="26"/>
        <v>5.5390390875733591E-3</v>
      </c>
      <c r="D94" s="7">
        <f t="shared" si="27"/>
        <v>1.5516306958619568E-2</v>
      </c>
      <c r="E94" s="7">
        <f t="shared" si="30"/>
        <v>-6.491743875433427E-2</v>
      </c>
      <c r="F94" s="7">
        <f t="shared" si="31"/>
        <v>-6.4826475362301142E-2</v>
      </c>
      <c r="G94" s="7">
        <f t="shared" si="24"/>
        <v>0.93714817690478858</v>
      </c>
      <c r="H94" s="7">
        <f t="shared" si="25"/>
        <v>-9.944675865306684E-3</v>
      </c>
      <c r="N94" s="7">
        <f t="shared" si="28"/>
        <v>0.93714817690478858</v>
      </c>
      <c r="O94" s="7">
        <f t="shared" si="29"/>
        <v>-9.944675865306684E-3</v>
      </c>
    </row>
    <row r="95" spans="2:15" x14ac:dyDescent="0.3">
      <c r="B95" s="7">
        <v>0.95241352623300968</v>
      </c>
      <c r="C95" s="7">
        <f t="shared" si="26"/>
        <v>4.568060904518792E-3</v>
      </c>
      <c r="D95" s="7">
        <f t="shared" si="27"/>
        <v>1.2435652093475183E-2</v>
      </c>
      <c r="E95" s="7">
        <f t="shared" si="30"/>
        <v>-7.153499253919611E-2</v>
      </c>
      <c r="F95" s="7">
        <f t="shared" si="31"/>
        <v>-7.141334488607308E-2</v>
      </c>
      <c r="G95" s="7">
        <f t="shared" si="24"/>
        <v>0.95152620936964505</v>
      </c>
      <c r="H95" s="7">
        <f t="shared" si="25"/>
        <v>-7.8358945845154425E-3</v>
      </c>
      <c r="N95" s="7">
        <f t="shared" si="28"/>
        <v>0.95152620936964505</v>
      </c>
      <c r="O95" s="7">
        <f t="shared" si="29"/>
        <v>-7.8358945845154425E-3</v>
      </c>
    </row>
    <row r="96" spans="2:15" x14ac:dyDescent="0.3">
      <c r="B96" s="7">
        <v>0.96488824294412567</v>
      </c>
      <c r="C96" s="7">
        <f t="shared" si="26"/>
        <v>3.6307611618016894E-3</v>
      </c>
      <c r="D96" s="7">
        <f t="shared" si="27"/>
        <v>9.6229910535381904E-3</v>
      </c>
      <c r="E96" s="7">
        <f t="shared" si="30"/>
        <v>-7.9103418623907268E-2</v>
      </c>
      <c r="F96" s="7">
        <f t="shared" si="31"/>
        <v>-7.8939042704391463E-2</v>
      </c>
      <c r="G96" s="7">
        <f t="shared" si="24"/>
        <v>0.96412940191924024</v>
      </c>
      <c r="H96" s="7">
        <f t="shared" si="25"/>
        <v>-5.9622632369698957E-3</v>
      </c>
      <c r="N96" s="7">
        <f t="shared" si="28"/>
        <v>0.96412940191924024</v>
      </c>
      <c r="O96" s="7">
        <f t="shared" si="29"/>
        <v>-5.9622632369698957E-3</v>
      </c>
    </row>
    <row r="97" spans="2:15" x14ac:dyDescent="0.3">
      <c r="B97" s="7">
        <v>0.97552825814757682</v>
      </c>
      <c r="C97" s="7">
        <f t="shared" ref="C97:C102" si="32">IFERROR(-($A$1/(4*PI()))*((1-B97)*LN(1-B97)+B97*LN(B97)), 0)</f>
        <v>2.744605799852147E-3</v>
      </c>
      <c r="D97" s="7">
        <f t="shared" ref="D97:D102" si="33">IF(B97&lt;$S$1, ($A$2/0.2)*($T$1*SQRT(B97)+$U$1*B97+$V$1*(B97^2)+$W$1*(B97^3)), ($A$2/0.2)*($X$1+$Y$1*(1-B97)+$Z$1*((1-B97)^2)+$AA$1*((1-B97)^3)))</f>
        <v>7.1357081742219374E-3</v>
      </c>
      <c r="E97" s="7">
        <f t="shared" si="30"/>
        <v>-8.7983878141974614E-2</v>
      </c>
      <c r="F97" s="7">
        <f t="shared" si="31"/>
        <v>-8.7757894334951764E-2</v>
      </c>
      <c r="G97" s="7">
        <f t="shared" si="24"/>
        <v>0.97490284690751394</v>
      </c>
      <c r="H97" s="7">
        <f t="shared" si="25"/>
        <v>-4.363642361858361E-3</v>
      </c>
      <c r="N97" s="7">
        <f t="shared" ref="N97:N102" si="34">G97*COS($A$7)+H97*SIN($A$7)</f>
        <v>0.97490284690751394</v>
      </c>
      <c r="O97" s="7">
        <f t="shared" ref="O97:O102" si="35">-G97*SIN($A$7)+H97*COS($A$7)</f>
        <v>-4.363642361858361E-3</v>
      </c>
    </row>
    <row r="98" spans="2:15" x14ac:dyDescent="0.3">
      <c r="B98" s="7">
        <v>0.98429158056431554</v>
      </c>
      <c r="C98" s="7">
        <f t="shared" si="32"/>
        <v>1.9296795794479429E-3</v>
      </c>
      <c r="D98" s="7">
        <f t="shared" si="33"/>
        <v>5.0252217551440001E-3</v>
      </c>
      <c r="E98" s="7">
        <f t="shared" si="30"/>
        <v>-9.8780916068307301E-2</v>
      </c>
      <c r="F98" s="7">
        <f t="shared" si="31"/>
        <v>-9.8461493577960954E-2</v>
      </c>
      <c r="G98" s="7">
        <f t="shared" si="24"/>
        <v>0.98379758880926738</v>
      </c>
      <c r="H98" s="7">
        <f t="shared" si="25"/>
        <v>-3.0712029261021458E-3</v>
      </c>
      <c r="N98" s="7">
        <f t="shared" si="34"/>
        <v>0.98379758880926738</v>
      </c>
      <c r="O98" s="7">
        <f t="shared" si="35"/>
        <v>-3.0712029261021458E-3</v>
      </c>
    </row>
    <row r="99" spans="2:15" x14ac:dyDescent="0.3">
      <c r="B99" s="7">
        <v>0.99114362536434442</v>
      </c>
      <c r="C99" s="7">
        <f t="shared" si="32"/>
        <v>1.2098418878307387E-3</v>
      </c>
      <c r="D99" s="7">
        <f t="shared" si="33"/>
        <v>3.3356219875178717E-3</v>
      </c>
      <c r="E99" s="7">
        <f t="shared" si="30"/>
        <v>-0.11262731541498011</v>
      </c>
      <c r="F99" s="7">
        <f t="shared" si="31"/>
        <v>-0.11215468486495847</v>
      </c>
      <c r="G99" s="7">
        <f t="shared" si="24"/>
        <v>0.99077030353047724</v>
      </c>
      <c r="H99" s="7">
        <f t="shared" si="25"/>
        <v>-2.1048232312982995E-3</v>
      </c>
      <c r="N99" s="7">
        <f t="shared" si="34"/>
        <v>0.99077030353047724</v>
      </c>
      <c r="O99" s="7">
        <f t="shared" si="35"/>
        <v>-2.1048232312982995E-3</v>
      </c>
    </row>
    <row r="100" spans="2:15" x14ac:dyDescent="0.3">
      <c r="B100" s="7">
        <v>0.99605735065723888</v>
      </c>
      <c r="C100" s="7">
        <f t="shared" si="32"/>
        <v>6.1499830276967853E-4</v>
      </c>
      <c r="D100" s="7">
        <f t="shared" si="33"/>
        <v>2.1024945771942658E-3</v>
      </c>
      <c r="E100" s="7">
        <f t="shared" si="30"/>
        <v>-0.13206562389376353</v>
      </c>
      <c r="F100" s="7">
        <f t="shared" si="31"/>
        <v>-0.13130576000555835</v>
      </c>
      <c r="G100" s="7">
        <f t="shared" si="24"/>
        <v>0.99578207362074211</v>
      </c>
      <c r="H100" s="7">
        <f t="shared" si="25"/>
        <v>-1.4693975330323547E-3</v>
      </c>
      <c r="N100" s="7">
        <f t="shared" si="34"/>
        <v>0.99578207362074211</v>
      </c>
      <c r="O100" s="7">
        <f t="shared" si="35"/>
        <v>-1.4693975330323547E-3</v>
      </c>
    </row>
    <row r="101" spans="2:15" x14ac:dyDescent="0.3">
      <c r="B101" s="7">
        <v>0.99901336421413578</v>
      </c>
      <c r="C101" s="7">
        <f t="shared" si="32"/>
        <v>1.8656608684924122E-4</v>
      </c>
      <c r="D101" s="7">
        <f t="shared" si="33"/>
        <v>1.3519660445261237E-3</v>
      </c>
      <c r="E101" s="7">
        <f t="shared" si="30"/>
        <v>-0.16520814213077126</v>
      </c>
      <c r="F101" s="7">
        <f t="shared" si="31"/>
        <v>-0.16372923769153419</v>
      </c>
      <c r="G101" s="7">
        <f t="shared" si="24"/>
        <v>0.99879299551259726</v>
      </c>
      <c r="H101" s="7">
        <f t="shared" si="25"/>
        <v>-1.1473191484442039E-3</v>
      </c>
      <c r="N101" s="7">
        <f t="shared" si="34"/>
        <v>0.99879299551259726</v>
      </c>
      <c r="O101" s="7">
        <f t="shared" si="35"/>
        <v>-1.1473191484442039E-3</v>
      </c>
    </row>
    <row r="102" spans="2:15" x14ac:dyDescent="0.3">
      <c r="B102" s="7">
        <v>1</v>
      </c>
      <c r="C102" s="7">
        <f t="shared" si="32"/>
        <v>0</v>
      </c>
      <c r="D102" s="7">
        <f t="shared" si="33"/>
        <v>1.0999999999999998E-3</v>
      </c>
      <c r="E102" s="7">
        <f t="shared" si="30"/>
        <v>0</v>
      </c>
      <c r="F102" s="7">
        <f t="shared" si="31"/>
        <v>0</v>
      </c>
      <c r="G102" s="7">
        <v>1</v>
      </c>
      <c r="H102" s="7">
        <v>0</v>
      </c>
      <c r="N102" s="7">
        <f t="shared" si="34"/>
        <v>1</v>
      </c>
      <c r="O102" s="7">
        <f t="shared" si="35"/>
        <v>0</v>
      </c>
    </row>
  </sheetData>
  <sheetProtection algorithmName="SHA-512" hashValue="hTp6QHHqDOwcTJyzWw2bCcwtGGrsJx2PgUAGs3mA/rgDRzXd0oU/mEbGiu7yMBTh/PtAsXG8fXDkl5Qc92CPPA==" saltValue="FzhuIGtoFRIEpA9a+zwPaQ==" spinCount="100000" sheet="1" objects="1" scenarios="1"/>
  <pageMargins left="0.7" right="0.7" top="0.75" bottom="0.75" header="0.3" footer="0.3"/>
  <pageSetup paperSize="9"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3AAD9-BE1A-4EA7-8C29-F6462B076779}">
  <sheetPr codeName="Sheet11">
    <tabColor theme="8" tint="0.79998168889431442"/>
    <pageSetUpPr fitToPage="1"/>
  </sheetPr>
  <dimension ref="A1:O15"/>
  <sheetViews>
    <sheetView showGridLines="0" showRowColHeaders="0" zoomScale="120" zoomScaleNormal="120" workbookViewId="0">
      <selection activeCell="E4" sqref="E4"/>
    </sheetView>
  </sheetViews>
  <sheetFormatPr defaultRowHeight="14.4" x14ac:dyDescent="0.3"/>
  <cols>
    <col min="1" max="2" width="5.77734375" customWidth="1"/>
    <col min="3" max="3" width="0.88671875" customWidth="1"/>
    <col min="4" max="4" width="15.77734375" customWidth="1"/>
    <col min="5" max="5" width="6.77734375" customWidth="1"/>
    <col min="6" max="6" width="5.77734375" customWidth="1"/>
    <col min="7" max="7" width="19.77734375" customWidth="1"/>
    <col min="8" max="8" width="18.77734375" customWidth="1"/>
    <col min="9" max="9" width="7.77734375" customWidth="1"/>
    <col min="10" max="11" width="18.77734375" customWidth="1"/>
    <col min="12" max="12" width="5.77734375" customWidth="1"/>
    <col min="13" max="13" width="22.77734375" customWidth="1"/>
    <col min="14" max="14" width="0.88671875" customWidth="1"/>
  </cols>
  <sheetData>
    <row r="1" spans="1:15" ht="4.95" customHeight="1" x14ac:dyDescent="0.3"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</row>
    <row r="2" spans="1:15" ht="19.95" customHeight="1" x14ac:dyDescent="0.3">
      <c r="C2" s="86"/>
      <c r="D2" s="86"/>
      <c r="E2" s="86"/>
      <c r="F2" s="151"/>
      <c r="G2" s="201" t="s">
        <v>1</v>
      </c>
      <c r="H2" s="206">
        <f>Data5!A4*100+Data5!A5</f>
        <v>311</v>
      </c>
      <c r="I2" s="132"/>
      <c r="J2" s="86"/>
      <c r="K2" s="131"/>
      <c r="L2" s="131"/>
      <c r="M2" s="131"/>
      <c r="N2" s="86"/>
    </row>
    <row r="3" spans="1:15" ht="7.05" customHeight="1" x14ac:dyDescent="0.3">
      <c r="C3" s="86"/>
      <c r="D3" s="86"/>
      <c r="E3" s="86"/>
      <c r="F3" s="86"/>
      <c r="G3" s="282"/>
      <c r="H3" s="283"/>
      <c r="I3" s="132"/>
      <c r="J3" s="133"/>
      <c r="K3" s="134"/>
      <c r="L3" s="131"/>
      <c r="M3" s="135"/>
      <c r="N3" s="86"/>
    </row>
    <row r="4" spans="1:15" ht="22.8" customHeight="1" x14ac:dyDescent="0.3">
      <c r="C4" s="118"/>
      <c r="D4" s="281" t="s">
        <v>22</v>
      </c>
      <c r="E4" s="233">
        <v>0</v>
      </c>
      <c r="F4" s="86"/>
      <c r="G4" s="198" t="s">
        <v>13</v>
      </c>
      <c r="H4" s="284">
        <f>Data5!Q1</f>
        <v>0.3</v>
      </c>
      <c r="I4" s="136"/>
      <c r="J4" s="198" t="s">
        <v>0</v>
      </c>
      <c r="K4" s="194">
        <f>Data5!AG2</f>
        <v>5.92561267222222E-3</v>
      </c>
      <c r="L4" s="137"/>
      <c r="M4" s="128"/>
      <c r="N4" s="86"/>
    </row>
    <row r="5" spans="1:15" ht="4.95" customHeight="1" x14ac:dyDescent="0.3">
      <c r="C5" s="86"/>
      <c r="D5" s="119"/>
      <c r="E5" s="119"/>
      <c r="F5" s="86"/>
      <c r="G5" s="140"/>
      <c r="H5" s="138"/>
      <c r="I5" s="86"/>
      <c r="J5" s="286"/>
      <c r="K5" s="139"/>
      <c r="L5" s="118"/>
      <c r="M5" s="129"/>
      <c r="N5" s="86"/>
    </row>
    <row r="6" spans="1:15" ht="22.8" customHeight="1" x14ac:dyDescent="0.3">
      <c r="C6" s="86"/>
      <c r="D6" s="280" t="s">
        <v>16</v>
      </c>
      <c r="E6" s="233">
        <v>1</v>
      </c>
      <c r="F6" s="86"/>
      <c r="G6" s="198" t="s">
        <v>7</v>
      </c>
      <c r="H6" s="193">
        <f>Data5!A2</f>
        <v>0.11</v>
      </c>
      <c r="I6" s="136"/>
      <c r="J6" s="198" t="s">
        <v>23</v>
      </c>
      <c r="K6" s="200">
        <f>DEGREES(2*ATAN(Data5!Y1*(H6/0.2)))</f>
        <v>28.691785578324005</v>
      </c>
      <c r="L6" s="137"/>
      <c r="M6" s="129"/>
      <c r="N6" s="86"/>
    </row>
    <row r="7" spans="1:15" ht="4.95" customHeight="1" x14ac:dyDescent="0.3">
      <c r="C7" s="86"/>
      <c r="D7" s="86"/>
      <c r="E7" s="86"/>
      <c r="F7" s="86"/>
      <c r="G7" s="285"/>
      <c r="H7" s="141"/>
      <c r="I7" s="86"/>
      <c r="J7" s="288"/>
      <c r="K7" s="287"/>
      <c r="L7" s="118"/>
      <c r="M7" s="129"/>
      <c r="N7" s="86"/>
    </row>
    <row r="8" spans="1:15" ht="24.6" customHeight="1" x14ac:dyDescent="0.3">
      <c r="C8" s="86"/>
      <c r="D8" s="149"/>
      <c r="E8" s="148"/>
      <c r="F8" s="142"/>
      <c r="G8" s="143"/>
      <c r="H8" s="143"/>
      <c r="I8" s="144"/>
      <c r="J8" s="307" t="s">
        <v>14</v>
      </c>
      <c r="K8" s="308"/>
      <c r="L8" s="118"/>
      <c r="M8" s="129"/>
      <c r="N8" s="86"/>
    </row>
    <row r="9" spans="1:15" ht="19.95" customHeight="1" x14ac:dyDescent="0.3">
      <c r="C9" s="86"/>
      <c r="D9" s="123"/>
      <c r="E9" s="86"/>
      <c r="F9" s="86"/>
      <c r="G9" s="145"/>
      <c r="H9" s="146"/>
      <c r="I9" s="86"/>
      <c r="J9" s="86"/>
      <c r="K9" s="86"/>
      <c r="L9" s="86"/>
      <c r="M9" s="150"/>
      <c r="N9" s="86"/>
    </row>
    <row r="10" spans="1:15" ht="4.95" customHeight="1" x14ac:dyDescent="0.3">
      <c r="C10" s="86"/>
      <c r="D10" s="86"/>
      <c r="E10" s="86"/>
      <c r="F10" s="86"/>
      <c r="G10" s="145"/>
      <c r="H10" s="147"/>
      <c r="I10" s="86"/>
      <c r="J10" s="86"/>
      <c r="K10" s="86"/>
      <c r="L10" s="86"/>
      <c r="M10" s="86"/>
      <c r="N10" s="86"/>
    </row>
    <row r="11" spans="1:15" x14ac:dyDescent="0.3">
      <c r="B11" s="57"/>
    </row>
    <row r="12" spans="1:15" x14ac:dyDescent="0.3">
      <c r="O12" s="205"/>
    </row>
    <row r="15" spans="1:15" x14ac:dyDescent="0.3">
      <c r="A15" s="56"/>
    </row>
  </sheetData>
  <sheetProtection algorithmName="SHA-512" hashValue="b6aRK4gKhYHYbvbx8qzPSNyYdPJWTwd6w+sB4fZg7Iy8Oo6Z2oQHa9PCTB7tEsfa9o+Y7qr/7VVtLYrdE4nj7Q==" saltValue="XvKJhtP5V7JcPHhJ5hi6Dg==" spinCount="100000" sheet="1" objects="1" scenarios="1" selectLockedCells="1"/>
  <mergeCells count="1">
    <mergeCell ref="J8:K8"/>
  </mergeCells>
  <pageMargins left="0.25" right="0.25" top="0.75" bottom="0.75" header="0.3" footer="0.3"/>
  <pageSetup paperSize="9"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Spinner 1">
              <controlPr defaultSize="0" print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8</xdr:col>
                    <xdr:colOff>144780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Spinner 2">
              <controlPr defaultSize="0" print="0" autoPict="0">
                <anchor moveWithCells="1">
                  <from>
                    <xdr:col>7</xdr:col>
                    <xdr:colOff>1287780</xdr:colOff>
                    <xdr:row>3</xdr:row>
                    <xdr:rowOff>0</xdr:rowOff>
                  </from>
                  <to>
                    <xdr:col>8</xdr:col>
                    <xdr:colOff>144780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6" name="Check Box 4">
              <controlPr defaultSize="0" autoFill="0" autoLine="0" autoPict="0">
                <anchor moveWithCells="1">
                  <from>
                    <xdr:col>12</xdr:col>
                    <xdr:colOff>99060</xdr:colOff>
                    <xdr:row>4</xdr:row>
                    <xdr:rowOff>60960</xdr:rowOff>
                  </from>
                  <to>
                    <xdr:col>12</xdr:col>
                    <xdr:colOff>1470660</xdr:colOff>
                    <xdr:row>5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7" name="Check Box 5">
              <controlPr defaultSize="0" autoFill="0" autoLine="0" autoPict="0">
                <anchor moveWithCells="1">
                  <from>
                    <xdr:col>12</xdr:col>
                    <xdr:colOff>99060</xdr:colOff>
                    <xdr:row>5</xdr:row>
                    <xdr:rowOff>266700</xdr:rowOff>
                  </from>
                  <to>
                    <xdr:col>12</xdr:col>
                    <xdr:colOff>1417320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8" name="Check Box 6">
              <controlPr defaultSize="0" autoFill="0" autoLine="0" autoPict="0">
                <anchor moveWithCells="1">
                  <from>
                    <xdr:col>12</xdr:col>
                    <xdr:colOff>99060</xdr:colOff>
                    <xdr:row>7</xdr:row>
                    <xdr:rowOff>190500</xdr:rowOff>
                  </from>
                  <to>
                    <xdr:col>12</xdr:col>
                    <xdr:colOff>1417320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9" name="Check Box 7">
              <controlPr defaultSize="0" autoFill="0" autoLine="0" autoPict="0">
                <anchor moveWithCells="1">
                  <from>
                    <xdr:col>12</xdr:col>
                    <xdr:colOff>99060</xdr:colOff>
                    <xdr:row>3</xdr:row>
                    <xdr:rowOff>121920</xdr:rowOff>
                  </from>
                  <to>
                    <xdr:col>12</xdr:col>
                    <xdr:colOff>1234440</xdr:colOff>
                    <xdr:row>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0" name="Check Box 8">
              <controlPr defaultSize="0" autoFill="0" autoLine="0" autoPict="0" macro="[0]!n16_axes.ToggleAxesAndGridlinesKeepingFormat">
                <anchor moveWithCells="1">
                  <from>
                    <xdr:col>3</xdr:col>
                    <xdr:colOff>99060</xdr:colOff>
                    <xdr:row>7</xdr:row>
                    <xdr:rowOff>22860</xdr:rowOff>
                  </from>
                  <to>
                    <xdr:col>4</xdr:col>
                    <xdr:colOff>381000</xdr:colOff>
                    <xdr:row>7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74500-E85F-472C-9264-91155D1BB1B0}">
  <sheetPr codeName="Sheet16">
    <tabColor theme="8" tint="0.79998168889431442"/>
  </sheetPr>
  <dimension ref="A1:L103"/>
  <sheetViews>
    <sheetView showGridLines="0" showRowColHeaders="0" workbookViewId="0">
      <selection activeCell="D29" sqref="D29"/>
    </sheetView>
  </sheetViews>
  <sheetFormatPr defaultRowHeight="14.4" x14ac:dyDescent="0.3"/>
  <cols>
    <col min="1" max="2" width="12.77734375" style="53" customWidth="1"/>
  </cols>
  <sheetData>
    <row r="1" spans="1:2" ht="19.95" customHeight="1" x14ac:dyDescent="0.3">
      <c r="A1" s="309">
        <f>'naca_16-series_plot'!H2</f>
        <v>311</v>
      </c>
      <c r="B1" s="309"/>
    </row>
    <row r="2" spans="1:2" ht="15" x14ac:dyDescent="0.35">
      <c r="A2" s="195">
        <f>IFERROR(ROUND(Data5!N1*Data5!$A$8, 5-INT(LOG10(ABS(Data5!N1*Data5!$A$8)))), 0)</f>
        <v>1</v>
      </c>
      <c r="B2" s="195">
        <f>IFERROR(ROUND(Data5!O1*Data5!$A$8, 5-INT(LOG10(ABS(Data5!O1*Data5!$A$8)))), 0)</f>
        <v>0</v>
      </c>
    </row>
    <row r="3" spans="1:2" ht="15" x14ac:dyDescent="0.35">
      <c r="A3" s="195">
        <f>IFERROR(ROUND(Data5!N2*Data5!$A$8, 5-INT(LOG10(ABS(Data5!N2*Data5!$A$8)))), 0)</f>
        <v>0.99923399999999996</v>
      </c>
      <c r="B3" s="195">
        <f>IFERROR(ROUND(Data5!O2*Data5!$A$8, 5-INT(LOG10(ABS(Data5!O2*Data5!$A$8)))), 0)</f>
        <v>1.52045E-3</v>
      </c>
    </row>
    <row r="4" spans="1:2" ht="15" x14ac:dyDescent="0.35">
      <c r="A4" s="195">
        <f>IFERROR(ROUND(Data5!N3*Data5!$A$8, 5-INT(LOG10(ABS(Data5!N3*Data5!$A$8)))), 0)</f>
        <v>0.99633300000000002</v>
      </c>
      <c r="B4" s="195">
        <f>IFERROR(ROUND(Data5!O3*Data5!$A$8, 5-INT(LOG10(ABS(Data5!O3*Data5!$A$8)))), 0)</f>
        <v>2.6993899999999999E-3</v>
      </c>
    </row>
    <row r="5" spans="1:2" ht="15" x14ac:dyDescent="0.35">
      <c r="A5" s="195">
        <f>IFERROR(ROUND(Data5!N4*Data5!$A$8, 5-INT(LOG10(ABS(Data5!N4*Data5!$A$8)))), 0)</f>
        <v>0.99151699999999998</v>
      </c>
      <c r="B5" s="195">
        <f>IFERROR(ROUND(Data5!O4*Data5!$A$8, 5-INT(LOG10(ABS(Data5!O4*Data5!$A$8)))), 0)</f>
        <v>4.5245099999999998E-3</v>
      </c>
    </row>
    <row r="6" spans="1:2" ht="15" x14ac:dyDescent="0.35">
      <c r="A6" s="195">
        <f>IFERROR(ROUND(Data5!N5*Data5!$A$8, 5-INT(LOG10(ABS(Data5!N5*Data5!$A$8)))), 0)</f>
        <v>0.98478600000000005</v>
      </c>
      <c r="B6" s="195">
        <f>IFERROR(ROUND(Data5!O5*Data5!$A$8, 5-INT(LOG10(ABS(Data5!O5*Data5!$A$8)))), 0)</f>
        <v>6.9305599999999997E-3</v>
      </c>
    </row>
    <row r="7" spans="1:2" ht="15" x14ac:dyDescent="0.35">
      <c r="A7" s="195">
        <f>IFERROR(ROUND(Data5!N6*Data5!$A$8, 5-INT(LOG10(ABS(Data5!N6*Data5!$A$8)))), 0)</f>
        <v>0.97615399999999997</v>
      </c>
      <c r="B7" s="195">
        <f>IFERROR(ROUND(Data5!O6*Data5!$A$8, 5-INT(LOG10(ABS(Data5!O6*Data5!$A$8)))), 0)</f>
        <v>9.8528499999999998E-3</v>
      </c>
    </row>
    <row r="8" spans="1:2" ht="15" x14ac:dyDescent="0.35">
      <c r="A8" s="195">
        <f>IFERROR(ROUND(Data5!N7*Data5!$A$8, 5-INT(LOG10(ABS(Data5!N7*Data5!$A$8)))), 0)</f>
        <v>0.96564700000000003</v>
      </c>
      <c r="B8" s="195">
        <f>IFERROR(ROUND(Data5!O7*Data5!$A$8, 5-INT(LOG10(ABS(Data5!O7*Data5!$A$8)))), 0)</f>
        <v>1.3223800000000001E-2</v>
      </c>
    </row>
    <row r="9" spans="1:2" ht="15" x14ac:dyDescent="0.35">
      <c r="A9" s="195">
        <f>IFERROR(ROUND(Data5!N8*Data5!$A$8, 5-INT(LOG10(ABS(Data5!N8*Data5!$A$8)))), 0)</f>
        <v>0.95330099999999995</v>
      </c>
      <c r="B9" s="195">
        <f>IFERROR(ROUND(Data5!O8*Data5!$A$8, 5-INT(LOG10(ABS(Data5!O8*Data5!$A$8)))), 0)</f>
        <v>1.6972000000000001E-2</v>
      </c>
    </row>
    <row r="10" spans="1:2" ht="15" x14ac:dyDescent="0.35">
      <c r="A10" s="195">
        <f>IFERROR(ROUND(Data5!N9*Data5!$A$8, 5-INT(LOG10(ABS(Data5!N9*Data5!$A$8)))), 0)</f>
        <v>0.93915899999999997</v>
      </c>
      <c r="B10" s="195">
        <f>IFERROR(ROUND(Data5!O9*Data5!$A$8, 5-INT(LOG10(ABS(Data5!O9*Data5!$A$8)))), 0)</f>
        <v>2.1022800000000001E-2</v>
      </c>
    </row>
    <row r="11" spans="1:2" ht="15" x14ac:dyDescent="0.35">
      <c r="A11" s="195">
        <f>IFERROR(ROUND(Data5!N10*Data5!$A$8, 5-INT(LOG10(ABS(Data5!N10*Data5!$A$8)))), 0)</f>
        <v>0.92327199999999998</v>
      </c>
      <c r="B11" s="195">
        <f>IFERROR(ROUND(Data5!O10*Data5!$A$8, 5-INT(LOG10(ABS(Data5!O10*Data5!$A$8)))), 0)</f>
        <v>2.5298600000000001E-2</v>
      </c>
    </row>
    <row r="12" spans="1:2" ht="15" x14ac:dyDescent="0.35">
      <c r="A12" s="195">
        <f>IFERROR(ROUND(Data5!N11*Data5!$A$8, 5-INT(LOG10(ABS(Data5!N11*Data5!$A$8)))), 0)</f>
        <v>0.90569999999999995</v>
      </c>
      <c r="B12" s="195">
        <f>IFERROR(ROUND(Data5!O11*Data5!$A$8, 5-INT(LOG10(ABS(Data5!O11*Data5!$A$8)))), 0)</f>
        <v>2.9721000000000001E-2</v>
      </c>
    </row>
    <row r="13" spans="1:2" ht="15" x14ac:dyDescent="0.35">
      <c r="A13" s="195">
        <f>IFERROR(ROUND(Data5!N12*Data5!$A$8, 5-INT(LOG10(ABS(Data5!N12*Data5!$A$8)))), 0)</f>
        <v>0.88651000000000002</v>
      </c>
      <c r="B13" s="195">
        <f>IFERROR(ROUND(Data5!O12*Data5!$A$8, 5-INT(LOG10(ABS(Data5!O12*Data5!$A$8)))), 0)</f>
        <v>3.4211100000000001E-2</v>
      </c>
    </row>
    <row r="14" spans="1:2" ht="15" x14ac:dyDescent="0.35">
      <c r="A14" s="195">
        <f>IFERROR(ROUND(Data5!N13*Data5!$A$8, 5-INT(LOG10(ABS(Data5!N13*Data5!$A$8)))), 0)</f>
        <v>0.86577700000000002</v>
      </c>
      <c r="B14" s="195">
        <f>IFERROR(ROUND(Data5!O13*Data5!$A$8, 5-INT(LOG10(ABS(Data5!O13*Data5!$A$8)))), 0)</f>
        <v>3.8691999999999997E-2</v>
      </c>
    </row>
    <row r="15" spans="1:2" ht="15" x14ac:dyDescent="0.35">
      <c r="A15" s="195">
        <f>IFERROR(ROUND(Data5!N14*Data5!$A$8, 5-INT(LOG10(ABS(Data5!N14*Data5!$A$8)))), 0)</f>
        <v>0.84358100000000003</v>
      </c>
      <c r="B15" s="195">
        <f>IFERROR(ROUND(Data5!O14*Data5!$A$8, 5-INT(LOG10(ABS(Data5!O14*Data5!$A$8)))), 0)</f>
        <v>4.3089500000000003E-2</v>
      </c>
    </row>
    <row r="16" spans="1:2" ht="15" x14ac:dyDescent="0.35">
      <c r="A16" s="195">
        <f>IFERROR(ROUND(Data5!N15*Data5!$A$8, 5-INT(LOG10(ABS(Data5!N15*Data5!$A$8)))), 0)</f>
        <v>0.82000899999999999</v>
      </c>
      <c r="B16" s="195">
        <f>IFERROR(ROUND(Data5!O15*Data5!$A$8, 5-INT(LOG10(ABS(Data5!O15*Data5!$A$8)))), 0)</f>
        <v>4.73342E-2</v>
      </c>
    </row>
    <row r="17" spans="1:2" ht="15" x14ac:dyDescent="0.35">
      <c r="A17" s="195">
        <f>IFERROR(ROUND(Data5!N16*Data5!$A$8, 5-INT(LOG10(ABS(Data5!N16*Data5!$A$8)))), 0)</f>
        <v>0.79515499999999995</v>
      </c>
      <c r="B17" s="195">
        <f>IFERROR(ROUND(Data5!O16*Data5!$A$8, 5-INT(LOG10(ABS(Data5!O16*Data5!$A$8)))), 0)</f>
        <v>5.13623E-2</v>
      </c>
    </row>
    <row r="18" spans="1:2" ht="15" x14ac:dyDescent="0.35">
      <c r="A18" s="195">
        <f>IFERROR(ROUND(Data5!N17*Data5!$A$8, 5-INT(LOG10(ABS(Data5!N17*Data5!$A$8)))), 0)</f>
        <v>0.76911799999999997</v>
      </c>
      <c r="B18" s="195">
        <f>IFERROR(ROUND(Data5!O17*Data5!$A$8, 5-INT(LOG10(ABS(Data5!O17*Data5!$A$8)))), 0)</f>
        <v>5.5117100000000002E-2</v>
      </c>
    </row>
    <row r="19" spans="1:2" ht="15" x14ac:dyDescent="0.35">
      <c r="A19" s="195">
        <f>IFERROR(ROUND(Data5!N18*Data5!$A$8, 5-INT(LOG10(ABS(Data5!N18*Data5!$A$8)))), 0)</f>
        <v>0.74200299999999997</v>
      </c>
      <c r="B19" s="195">
        <f>IFERROR(ROUND(Data5!O18*Data5!$A$8, 5-INT(LOG10(ABS(Data5!O18*Data5!$A$8)))), 0)</f>
        <v>5.8549799999999999E-2</v>
      </c>
    </row>
    <row r="20" spans="1:2" ht="15" x14ac:dyDescent="0.35">
      <c r="A20" s="195">
        <f>IFERROR(ROUND(Data5!N19*Data5!$A$8, 5-INT(LOG10(ABS(Data5!N19*Data5!$A$8)))), 0)</f>
        <v>0.71391700000000002</v>
      </c>
      <c r="B20" s="195">
        <f>IFERROR(ROUND(Data5!O19*Data5!$A$8, 5-INT(LOG10(ABS(Data5!O19*Data5!$A$8)))), 0)</f>
        <v>6.1620300000000003E-2</v>
      </c>
    </row>
    <row r="21" spans="1:2" ht="15" x14ac:dyDescent="0.35">
      <c r="A21" s="195">
        <f>IFERROR(ROUND(Data5!N20*Data5!$A$8, 5-INT(LOG10(ABS(Data5!N20*Data5!$A$8)))), 0)</f>
        <v>0.68497300000000005</v>
      </c>
      <c r="B21" s="195">
        <f>IFERROR(ROUND(Data5!O20*Data5!$A$8, 5-INT(LOG10(ABS(Data5!O20*Data5!$A$8)))), 0)</f>
        <v>6.4297699999999999E-2</v>
      </c>
    </row>
    <row r="22" spans="1:2" ht="15" x14ac:dyDescent="0.35">
      <c r="A22" s="195">
        <f>IFERROR(ROUND(Data5!N21*Data5!$A$8, 5-INT(LOG10(ABS(Data5!N21*Data5!$A$8)))), 0)</f>
        <v>0.65528900000000001</v>
      </c>
      <c r="B22" s="195">
        <f>IFERROR(ROUND(Data5!O21*Data5!$A$8, 5-INT(LOG10(ABS(Data5!O21*Data5!$A$8)))), 0)</f>
        <v>6.6560599999999998E-2</v>
      </c>
    </row>
    <row r="23" spans="1:2" ht="15" x14ac:dyDescent="0.35">
      <c r="A23" s="195">
        <f>IFERROR(ROUND(Data5!N22*Data5!$A$8, 5-INT(LOG10(ABS(Data5!N22*Data5!$A$8)))), 0)</f>
        <v>0.62498299999999996</v>
      </c>
      <c r="B23" s="195">
        <f>IFERROR(ROUND(Data5!O22*Data5!$A$8, 5-INT(LOG10(ABS(Data5!O22*Data5!$A$8)))), 0)</f>
        <v>6.8396999999999999E-2</v>
      </c>
    </row>
    <row r="24" spans="1:2" ht="15" x14ac:dyDescent="0.35">
      <c r="A24" s="195">
        <f>IFERROR(ROUND(Data5!N23*Data5!$A$8, 5-INT(LOG10(ABS(Data5!N23*Data5!$A$8)))), 0)</f>
        <v>0.59417699999999996</v>
      </c>
      <c r="B24" s="195">
        <f>IFERROR(ROUND(Data5!O23*Data5!$A$8, 5-INT(LOG10(ABS(Data5!O23*Data5!$A$8)))), 0)</f>
        <v>6.9804099999999994E-2</v>
      </c>
    </row>
    <row r="25" spans="1:2" ht="15" x14ac:dyDescent="0.35">
      <c r="A25" s="195">
        <f>IFERROR(ROUND(Data5!N24*Data5!$A$8, 5-INT(LOG10(ABS(Data5!N24*Data5!$A$8)))), 0)</f>
        <v>0.56299399999999999</v>
      </c>
      <c r="B25" s="195">
        <f>IFERROR(ROUND(Data5!O24*Data5!$A$8, 5-INT(LOG10(ABS(Data5!O24*Data5!$A$8)))), 0)</f>
        <v>7.0787799999999998E-2</v>
      </c>
    </row>
    <row r="26" spans="1:2" ht="15" x14ac:dyDescent="0.35">
      <c r="A26" s="195">
        <f>IFERROR(ROUND(Data5!N25*Data5!$A$8, 5-INT(LOG10(ABS(Data5!N25*Data5!$A$8)))), 0)</f>
        <v>0.53156000000000003</v>
      </c>
      <c r="B26" s="195">
        <f>IFERROR(ROUND(Data5!O25*Data5!$A$8, 5-INT(LOG10(ABS(Data5!O25*Data5!$A$8)))), 0)</f>
        <v>7.1361999999999995E-2</v>
      </c>
    </row>
    <row r="27" spans="1:2" ht="15" x14ac:dyDescent="0.35">
      <c r="A27" s="195">
        <f>IFERROR(ROUND(Data5!N26*Data5!$A$8, 5-INT(LOG10(ABS(Data5!N26*Data5!$A$8)))), 0)</f>
        <v>0.5</v>
      </c>
      <c r="B27" s="195">
        <f>IFERROR(ROUND(Data5!O26*Data5!$A$8, 5-INT(LOG10(ABS(Data5!O26*Data5!$A$8)))), 0)</f>
        <v>7.1547700000000006E-2</v>
      </c>
    </row>
    <row r="28" spans="1:2" ht="15" x14ac:dyDescent="0.35">
      <c r="A28" s="195">
        <f>IFERROR(ROUND(Data5!N27*Data5!$A$8, 5-INT(LOG10(ABS(Data5!N27*Data5!$A$8)))), 0)</f>
        <v>0.46844000000000002</v>
      </c>
      <c r="B28" s="195">
        <f>IFERROR(ROUND(Data5!O27*Data5!$A$8, 5-INT(LOG10(ABS(Data5!O27*Data5!$A$8)))), 0)</f>
        <v>7.1367600000000003E-2</v>
      </c>
    </row>
    <row r="29" spans="1:2" ht="15" x14ac:dyDescent="0.35">
      <c r="A29" s="195">
        <f>IFERROR(ROUND(Data5!N28*Data5!$A$8, 5-INT(LOG10(ABS(Data5!N28*Data5!$A$8)))), 0)</f>
        <v>0.43700600000000001</v>
      </c>
      <c r="B29" s="195">
        <f>IFERROR(ROUND(Data5!O28*Data5!$A$8, 5-INT(LOG10(ABS(Data5!O28*Data5!$A$8)))), 0)</f>
        <v>7.0832199999999998E-2</v>
      </c>
    </row>
    <row r="30" spans="1:2" ht="15" x14ac:dyDescent="0.35">
      <c r="A30" s="195">
        <f>IFERROR(ROUND(Data5!N29*Data5!$A$8, 5-INT(LOG10(ABS(Data5!N29*Data5!$A$8)))), 0)</f>
        <v>0.40582200000000002</v>
      </c>
      <c r="B30" s="195">
        <f>IFERROR(ROUND(Data5!O29*Data5!$A$8, 5-INT(LOG10(ABS(Data5!O29*Data5!$A$8)))), 0)</f>
        <v>6.9950899999999996E-2</v>
      </c>
    </row>
    <row r="31" spans="1:2" ht="15" x14ac:dyDescent="0.35">
      <c r="A31" s="195">
        <f>IFERROR(ROUND(Data5!N30*Data5!$A$8, 5-INT(LOG10(ABS(Data5!N30*Data5!$A$8)))), 0)</f>
        <v>0.37501299999999999</v>
      </c>
      <c r="B31" s="195">
        <f>IFERROR(ROUND(Data5!O30*Data5!$A$8, 5-INT(LOG10(ABS(Data5!O30*Data5!$A$8)))), 0)</f>
        <v>6.8736099999999994E-2</v>
      </c>
    </row>
    <row r="32" spans="1:2" ht="15" x14ac:dyDescent="0.35">
      <c r="A32" s="195">
        <f>IFERROR(ROUND(Data5!N31*Data5!$A$8, 5-INT(LOG10(ABS(Data5!N31*Data5!$A$8)))), 0)</f>
        <v>0.34470099999999998</v>
      </c>
      <c r="B32" s="195">
        <f>IFERROR(ROUND(Data5!O31*Data5!$A$8, 5-INT(LOG10(ABS(Data5!O31*Data5!$A$8)))), 0)</f>
        <v>6.7202799999999993E-2</v>
      </c>
    </row>
    <row r="33" spans="1:2" ht="15" x14ac:dyDescent="0.35">
      <c r="A33" s="195">
        <f>IFERROR(ROUND(Data5!N32*Data5!$A$8, 5-INT(LOG10(ABS(Data5!N32*Data5!$A$8)))), 0)</f>
        <v>0.31500699999999998</v>
      </c>
      <c r="B33" s="195">
        <f>IFERROR(ROUND(Data5!O32*Data5!$A$8, 5-INT(LOG10(ABS(Data5!O32*Data5!$A$8)))), 0)</f>
        <v>6.5367700000000001E-2</v>
      </c>
    </row>
    <row r="34" spans="1:2" ht="15" x14ac:dyDescent="0.35">
      <c r="A34" s="195">
        <f>IFERROR(ROUND(Data5!N33*Data5!$A$8, 5-INT(LOG10(ABS(Data5!N33*Data5!$A$8)))), 0)</f>
        <v>0.28604800000000002</v>
      </c>
      <c r="B34" s="195">
        <f>IFERROR(ROUND(Data5!O33*Data5!$A$8, 5-INT(LOG10(ABS(Data5!O33*Data5!$A$8)))), 0)</f>
        <v>6.3249299999999994E-2</v>
      </c>
    </row>
    <row r="35" spans="1:2" ht="15" x14ac:dyDescent="0.35">
      <c r="A35" s="195">
        <f>IFERROR(ROUND(Data5!N34*Data5!$A$8, 5-INT(LOG10(ABS(Data5!N34*Data5!$A$8)))), 0)</f>
        <v>0.25793899999999997</v>
      </c>
      <c r="B35" s="195">
        <f>IFERROR(ROUND(Data5!O34*Data5!$A$8, 5-INT(LOG10(ABS(Data5!O34*Data5!$A$8)))), 0)</f>
        <v>6.0866999999999997E-2</v>
      </c>
    </row>
    <row r="36" spans="1:2" ht="15" x14ac:dyDescent="0.35">
      <c r="A36" s="195">
        <f>IFERROR(ROUND(Data5!N35*Data5!$A$8, 5-INT(LOG10(ABS(Data5!N35*Data5!$A$8)))), 0)</f>
        <v>0.230792</v>
      </c>
      <c r="B36" s="195">
        <f>IFERROR(ROUND(Data5!O35*Data5!$A$8, 5-INT(LOG10(ABS(Data5!O35*Data5!$A$8)))), 0)</f>
        <v>5.8240899999999998E-2</v>
      </c>
    </row>
    <row r="37" spans="1:2" ht="15" x14ac:dyDescent="0.35">
      <c r="A37" s="195">
        <f>IFERROR(ROUND(Data5!N36*Data5!$A$8, 5-INT(LOG10(ABS(Data5!N36*Data5!$A$8)))), 0)</f>
        <v>0.20471500000000001</v>
      </c>
      <c r="B37" s="195">
        <f>IFERROR(ROUND(Data5!O36*Data5!$A$8, 5-INT(LOG10(ABS(Data5!O36*Data5!$A$8)))), 0)</f>
        <v>5.5391500000000003E-2</v>
      </c>
    </row>
    <row r="38" spans="1:2" ht="15" x14ac:dyDescent="0.35">
      <c r="A38" s="195">
        <f>IFERROR(ROUND(Data5!N37*Data5!$A$8, 5-INT(LOG10(ABS(Data5!N37*Data5!$A$8)))), 0)</f>
        <v>0.179811</v>
      </c>
      <c r="B38" s="195">
        <f>IFERROR(ROUND(Data5!O37*Data5!$A$8, 5-INT(LOG10(ABS(Data5!O37*Data5!$A$8)))), 0)</f>
        <v>5.2339499999999997E-2</v>
      </c>
    </row>
    <row r="39" spans="1:2" ht="15" x14ac:dyDescent="0.35">
      <c r="A39" s="195">
        <f>IFERROR(ROUND(Data5!N38*Data5!$A$8, 5-INT(LOG10(ABS(Data5!N38*Data5!$A$8)))), 0)</f>
        <v>0.15617900000000001</v>
      </c>
      <c r="B39" s="195">
        <f>IFERROR(ROUND(Data5!O38*Data5!$A$8, 5-INT(LOG10(ABS(Data5!O38*Data5!$A$8)))), 0)</f>
        <v>4.9105200000000002E-2</v>
      </c>
    </row>
    <row r="40" spans="1:2" ht="15" x14ac:dyDescent="0.35">
      <c r="A40" s="195">
        <f>IFERROR(ROUND(Data5!N39*Data5!$A$8, 5-INT(LOG10(ABS(Data5!N39*Data5!$A$8)))), 0)</f>
        <v>0.133913</v>
      </c>
      <c r="B40" s="195">
        <f>IFERROR(ROUND(Data5!O39*Data5!$A$8, 5-INT(LOG10(ABS(Data5!O39*Data5!$A$8)))), 0)</f>
        <v>4.5708899999999997E-2</v>
      </c>
    </row>
    <row r="41" spans="1:2" ht="15" x14ac:dyDescent="0.35">
      <c r="A41" s="195">
        <f>IFERROR(ROUND(Data5!N40*Data5!$A$8, 5-INT(LOG10(ABS(Data5!N40*Data5!$A$8)))), 0)</f>
        <v>0.11310099999999999</v>
      </c>
      <c r="B41" s="195">
        <f>IFERROR(ROUND(Data5!O40*Data5!$A$8, 5-INT(LOG10(ABS(Data5!O40*Data5!$A$8)))), 0)</f>
        <v>4.21705E-2</v>
      </c>
    </row>
    <row r="42" spans="1:2" ht="15" x14ac:dyDescent="0.35">
      <c r="A42" s="195">
        <f>IFERROR(ROUND(Data5!N41*Data5!$A$8, 5-INT(LOG10(ABS(Data5!N41*Data5!$A$8)))), 0)</f>
        <v>9.38282E-2</v>
      </c>
      <c r="B42" s="195">
        <f>IFERROR(ROUND(Data5!O41*Data5!$A$8, 5-INT(LOG10(ABS(Data5!O41*Data5!$A$8)))), 0)</f>
        <v>3.8509799999999997E-2</v>
      </c>
    </row>
    <row r="43" spans="1:2" ht="15" x14ac:dyDescent="0.35">
      <c r="A43" s="195">
        <f>IFERROR(ROUND(Data5!N42*Data5!$A$8, 5-INT(LOG10(ABS(Data5!N42*Data5!$A$8)))), 0)</f>
        <v>7.6170699999999994E-2</v>
      </c>
      <c r="B43" s="195">
        <f>IFERROR(ROUND(Data5!O42*Data5!$A$8, 5-INT(LOG10(ABS(Data5!O42*Data5!$A$8)))), 0)</f>
        <v>3.4746199999999998E-2</v>
      </c>
    </row>
    <row r="44" spans="1:2" ht="15" x14ac:dyDescent="0.35">
      <c r="A44" s="195">
        <f>IFERROR(ROUND(Data5!N43*Data5!$A$8, 5-INT(LOG10(ABS(Data5!N43*Data5!$A$8)))), 0)</f>
        <v>6.0200299999999998E-2</v>
      </c>
      <c r="B44" s="195">
        <f>IFERROR(ROUND(Data5!O43*Data5!$A$8, 5-INT(LOG10(ABS(Data5!O43*Data5!$A$8)))), 0)</f>
        <v>3.08994E-2</v>
      </c>
    </row>
    <row r="45" spans="1:2" ht="15" x14ac:dyDescent="0.35">
      <c r="A45" s="195">
        <f>IFERROR(ROUND(Data5!N44*Data5!$A$8, 5-INT(LOG10(ABS(Data5!N44*Data5!$A$8)))), 0)</f>
        <v>4.5982599999999998E-2</v>
      </c>
      <c r="B45" s="195">
        <f>IFERROR(ROUND(Data5!O44*Data5!$A$8, 5-INT(LOG10(ABS(Data5!O44*Data5!$A$8)))), 0)</f>
        <v>2.69894E-2</v>
      </c>
    </row>
    <row r="46" spans="1:2" ht="15" x14ac:dyDescent="0.35">
      <c r="A46" s="195">
        <f>IFERROR(ROUND(Data5!N45*Data5!$A$8, 5-INT(LOG10(ABS(Data5!N45*Data5!$A$8)))), 0)</f>
        <v>3.3576700000000001E-2</v>
      </c>
      <c r="B46" s="195">
        <f>IFERROR(ROUND(Data5!O45*Data5!$A$8, 5-INT(LOG10(ABS(Data5!O45*Data5!$A$8)))), 0)</f>
        <v>2.30368E-2</v>
      </c>
    </row>
    <row r="47" spans="1:2" ht="15" x14ac:dyDescent="0.35">
      <c r="A47" s="195">
        <f>IFERROR(ROUND(Data5!N46*Data5!$A$8, 5-INT(LOG10(ABS(Data5!N46*Data5!$A$8)))), 0)</f>
        <v>2.3035900000000002E-2</v>
      </c>
      <c r="B47" s="195">
        <f>IFERROR(ROUND(Data5!O46*Data5!$A$8, 5-INT(LOG10(ABS(Data5!O46*Data5!$A$8)))), 0)</f>
        <v>1.9063900000000002E-2</v>
      </c>
    </row>
    <row r="48" spans="1:2" ht="15" x14ac:dyDescent="0.35">
      <c r="A48" s="195">
        <f>IFERROR(ROUND(Data5!N47*Data5!$A$8, 5-INT(LOG10(ABS(Data5!N47*Data5!$A$8)))), 0)</f>
        <v>1.44079E-2</v>
      </c>
      <c r="B48" s="195">
        <f>IFERROR(ROUND(Data5!O47*Data5!$A$8, 5-INT(LOG10(ABS(Data5!O47*Data5!$A$8)))), 0)</f>
        <v>1.5095000000000001E-2</v>
      </c>
    </row>
    <row r="49" spans="1:2" ht="15" x14ac:dyDescent="0.35">
      <c r="A49" s="195">
        <f>IFERROR(ROUND(Data5!N48*Data5!$A$8, 5-INT(LOG10(ABS(Data5!N48*Data5!$A$8)))), 0)</f>
        <v>7.7358899999999996E-3</v>
      </c>
      <c r="B49" s="195">
        <f>IFERROR(ROUND(Data5!O48*Data5!$A$8, 5-INT(LOG10(ABS(Data5!O48*Data5!$A$8)))), 0)</f>
        <v>1.1158400000000001E-2</v>
      </c>
    </row>
    <row r="50" spans="1:2" ht="15" x14ac:dyDescent="0.35">
      <c r="A50" s="195">
        <f>IFERROR(ROUND(Data5!N49*Data5!$A$8, 5-INT(LOG10(ABS(Data5!N49*Data5!$A$8)))), 0)</f>
        <v>3.0612700000000001E-3</v>
      </c>
      <c r="B50" s="195">
        <f>IFERROR(ROUND(Data5!O49*Data5!$A$8, 5-INT(LOG10(ABS(Data5!O49*Data5!$A$8)))), 0)</f>
        <v>7.2887999999999998E-3</v>
      </c>
    </row>
    <row r="51" spans="1:2" ht="15" x14ac:dyDescent="0.35">
      <c r="A51" s="195">
        <f>IFERROR(ROUND(Data5!N50*Data5!$A$8, 5-INT(LOG10(ABS(Data5!N50*Data5!$A$8)))), 0)</f>
        <v>4.3349799999999999E-4</v>
      </c>
      <c r="B51" s="195">
        <f>IFERROR(ROUND(Data5!O50*Data5!$A$8, 5-INT(LOG10(ABS(Data5!O50*Data5!$A$8)))), 0)</f>
        <v>3.5346900000000001E-3</v>
      </c>
    </row>
    <row r="52" spans="1:2" ht="15" x14ac:dyDescent="0.35">
      <c r="A52" s="195">
        <f>IFERROR(ROUND(Data5!N51*Data5!$A$8, 5-INT(LOG10(ABS(Data5!N51*Data5!$A$8)))), 0)</f>
        <v>0</v>
      </c>
      <c r="B52" s="195">
        <f>IFERROR(ROUND(Data5!O51*Data5!$A$8, 5-INT(LOG10(ABS(Data5!O51*Data5!$A$8)))), 0)</f>
        <v>0</v>
      </c>
    </row>
    <row r="53" spans="1:2" ht="15" x14ac:dyDescent="0.35">
      <c r="A53" s="195">
        <f>IFERROR(ROUND(Data5!N52*Data5!$A$8, 5-INT(LOG10(ABS(Data5!N52*Data5!$A$8)))), 0)</f>
        <v>0</v>
      </c>
      <c r="B53" s="195">
        <f>IFERROR(ROUND(Data5!O52*Data5!$A$8, 5-INT(LOG10(ABS(Data5!O52*Data5!$A$8)))), 0)</f>
        <v>0</v>
      </c>
    </row>
    <row r="54" spans="1:2" ht="15" x14ac:dyDescent="0.35">
      <c r="A54" s="195">
        <f>IFERROR(ROUND(Data5!N53*Data5!$A$8, 5-INT(LOG10(ABS(Data5!N53*Data5!$A$8)))), 0)</f>
        <v>1.53977E-3</v>
      </c>
      <c r="B54" s="195">
        <f>IFERROR(ROUND(Data5!O53*Data5!$A$8, 5-INT(LOG10(ABS(Data5!O53*Data5!$A$8)))), 0)</f>
        <v>-3.1615599999999999E-3</v>
      </c>
    </row>
    <row r="55" spans="1:2" ht="15" x14ac:dyDescent="0.35">
      <c r="A55" s="195">
        <f>IFERROR(ROUND(Data5!N54*Data5!$A$8, 5-INT(LOG10(ABS(Data5!N54*Data5!$A$8)))), 0)</f>
        <v>4.82403E-3</v>
      </c>
      <c r="B55" s="195">
        <f>IFERROR(ROUND(Data5!O54*Data5!$A$8, 5-INT(LOG10(ABS(Data5!O54*Data5!$A$8)))), 0)</f>
        <v>-6.0587999999999996E-3</v>
      </c>
    </row>
    <row r="56" spans="1:2" ht="15" x14ac:dyDescent="0.35">
      <c r="A56" s="195">
        <f>IFERROR(ROUND(Data5!N55*Data5!$A$8, 5-INT(LOG10(ABS(Data5!N55*Data5!$A$8)))), 0)</f>
        <v>9.9768600000000006E-3</v>
      </c>
      <c r="B56" s="195">
        <f>IFERROR(ROUND(Data5!O55*Data5!$A$8, 5-INT(LOG10(ABS(Data5!O55*Data5!$A$8)))), 0)</f>
        <v>-8.7387300000000001E-3</v>
      </c>
    </row>
    <row r="57" spans="1:2" ht="15" x14ac:dyDescent="0.35">
      <c r="A57" s="195">
        <f>IFERROR(ROUND(Data5!N56*Data5!$A$8, 5-INT(LOG10(ABS(Data5!N56*Data5!$A$8)))), 0)</f>
        <v>1.70089E-2</v>
      </c>
      <c r="B57" s="195">
        <f>IFERROR(ROUND(Data5!O56*Data5!$A$8, 5-INT(LOG10(ABS(Data5!O56*Data5!$A$8)))), 0)</f>
        <v>-1.12357E-2</v>
      </c>
    </row>
    <row r="58" spans="1:2" ht="15" x14ac:dyDescent="0.35">
      <c r="A58" s="195">
        <f>IFERROR(ROUND(Data5!N57*Data5!$A$8, 5-INT(LOG10(ABS(Data5!N57*Data5!$A$8)))), 0)</f>
        <v>2.5907599999999999E-2</v>
      </c>
      <c r="B58" s="195">
        <f>IFERROR(ROUND(Data5!O57*Data5!$A$8, 5-INT(LOG10(ABS(Data5!O57*Data5!$A$8)))), 0)</f>
        <v>-1.35747E-2</v>
      </c>
    </row>
    <row r="59" spans="1:2" ht="15" x14ac:dyDescent="0.35">
      <c r="A59" s="195">
        <f>IFERROR(ROUND(Data5!N58*Data5!$A$8, 5-INT(LOG10(ABS(Data5!N58*Data5!$A$8)))), 0)</f>
        <v>3.66468E-2</v>
      </c>
      <c r="B59" s="195">
        <f>IFERROR(ROUND(Data5!O58*Data5!$A$8, 5-INT(LOG10(ABS(Data5!O58*Data5!$A$8)))), 0)</f>
        <v>-1.5775299999999999E-2</v>
      </c>
    </row>
    <row r="60" spans="1:2" ht="15" x14ac:dyDescent="0.35">
      <c r="A60" s="195">
        <f>IFERROR(ROUND(Data5!N59*Data5!$A$8, 5-INT(LOG10(ABS(Data5!N59*Data5!$A$8)))), 0)</f>
        <v>4.9190400000000002E-2</v>
      </c>
      <c r="B60" s="195">
        <f>IFERROR(ROUND(Data5!O59*Data5!$A$8, 5-INT(LOG10(ABS(Data5!O59*Data5!$A$8)))), 0)</f>
        <v>-1.78532E-2</v>
      </c>
    </row>
    <row r="61" spans="1:2" ht="15" x14ac:dyDescent="0.35">
      <c r="A61" s="195">
        <f>IFERROR(ROUND(Data5!N60*Data5!$A$8, 5-INT(LOG10(ABS(Data5!N60*Data5!$A$8)))), 0)</f>
        <v>6.3492999999999994E-2</v>
      </c>
      <c r="B61" s="195">
        <f>IFERROR(ROUND(Data5!O60*Data5!$A$8, 5-INT(LOG10(ABS(Data5!O60*Data5!$A$8)))), 0)</f>
        <v>-1.98213E-2</v>
      </c>
    </row>
    <row r="62" spans="1:2" ht="15" x14ac:dyDescent="0.35">
      <c r="A62" s="195">
        <f>IFERROR(ROUND(Data5!N61*Data5!$A$8, 5-INT(LOG10(ABS(Data5!N61*Data5!$A$8)))), 0)</f>
        <v>7.95014E-2</v>
      </c>
      <c r="B62" s="195">
        <f>IFERROR(ROUND(Data5!O61*Data5!$A$8, 5-INT(LOG10(ABS(Data5!O61*Data5!$A$8)))), 0)</f>
        <v>-2.1689799999999999E-2</v>
      </c>
    </row>
    <row r="63" spans="1:2" ht="15" x14ac:dyDescent="0.35">
      <c r="A63" s="195">
        <f>IFERROR(ROUND(Data5!N62*Data5!$A$8, 5-INT(LOG10(ABS(Data5!N62*Data5!$A$8)))), 0)</f>
        <v>9.7154799999999999E-2</v>
      </c>
      <c r="B63" s="195">
        <f>IFERROR(ROUND(Data5!O62*Data5!$A$8, 5-INT(LOG10(ABS(Data5!O62*Data5!$A$8)))), 0)</f>
        <v>-2.3466600000000001E-2</v>
      </c>
    </row>
    <row r="64" spans="1:2" ht="15" x14ac:dyDescent="0.35">
      <c r="A64" s="195">
        <f>IFERROR(ROUND(Data5!N63*Data5!$A$8, 5-INT(LOG10(ABS(Data5!N63*Data5!$A$8)))), 0)</f>
        <v>0.116385</v>
      </c>
      <c r="B64" s="195">
        <f>IFERROR(ROUND(Data5!O63*Data5!$A$8, 5-INT(LOG10(ABS(Data5!O63*Data5!$A$8)))), 0)</f>
        <v>-2.5157499999999999E-2</v>
      </c>
    </row>
    <row r="65" spans="1:2" ht="15" x14ac:dyDescent="0.35">
      <c r="A65" s="195">
        <f>IFERROR(ROUND(Data5!N64*Data5!$A$8, 5-INT(LOG10(ABS(Data5!N64*Data5!$A$8)))), 0)</f>
        <v>0.13711899999999999</v>
      </c>
      <c r="B65" s="195">
        <f>IFERROR(ROUND(Data5!O64*Data5!$A$8, 5-INT(LOG10(ABS(Data5!O64*Data5!$A$8)))), 0)</f>
        <v>-2.6766000000000002E-2</v>
      </c>
    </row>
    <row r="66" spans="1:2" ht="15" x14ac:dyDescent="0.35">
      <c r="A66" s="195">
        <f>IFERROR(ROUND(Data5!N65*Data5!$A$8, 5-INT(LOG10(ABS(Data5!N65*Data5!$A$8)))), 0)</f>
        <v>0.159274</v>
      </c>
      <c r="B66" s="195">
        <f>IFERROR(ROUND(Data5!O65*Data5!$A$8, 5-INT(LOG10(ABS(Data5!O65*Data5!$A$8)))), 0)</f>
        <v>-2.82934E-2</v>
      </c>
    </row>
    <row r="67" spans="1:2" ht="15" x14ac:dyDescent="0.35">
      <c r="A67" s="195">
        <f>IFERROR(ROUND(Data5!N66*Data5!$A$8, 5-INT(LOG10(ABS(Data5!N66*Data5!$A$8)))), 0)</f>
        <v>0.18276500000000001</v>
      </c>
      <c r="B67" s="195">
        <f>IFERROR(ROUND(Data5!O66*Data5!$A$8, 5-INT(LOG10(ABS(Data5!O66*Data5!$A$8)))), 0)</f>
        <v>-2.9739100000000001E-2</v>
      </c>
    </row>
    <row r="68" spans="1:2" ht="15" x14ac:dyDescent="0.35">
      <c r="A68" s="195">
        <f>IFERROR(ROUND(Data5!N67*Data5!$A$8, 5-INT(LOG10(ABS(Data5!N67*Data5!$A$8)))), 0)</f>
        <v>0.20749999999999999</v>
      </c>
      <c r="B68" s="195">
        <f>IFERROR(ROUND(Data5!O67*Data5!$A$8, 5-INT(LOG10(ABS(Data5!O67*Data5!$A$8)))), 0)</f>
        <v>-3.1100300000000001E-2</v>
      </c>
    </row>
    <row r="69" spans="1:2" ht="15" x14ac:dyDescent="0.35">
      <c r="A69" s="195">
        <f>IFERROR(ROUND(Data5!N68*Data5!$A$8, 5-INT(LOG10(ABS(Data5!N68*Data5!$A$8)))), 0)</f>
        <v>0.23338100000000001</v>
      </c>
      <c r="B69" s="195">
        <f>IFERROR(ROUND(Data5!O68*Data5!$A$8, 5-INT(LOG10(ABS(Data5!O68*Data5!$A$8)))), 0)</f>
        <v>-3.2372499999999998E-2</v>
      </c>
    </row>
    <row r="70" spans="1:2" ht="15" x14ac:dyDescent="0.35">
      <c r="A70" s="195">
        <f>IFERROR(ROUND(Data5!N69*Data5!$A$8, 5-INT(LOG10(ABS(Data5!N69*Data5!$A$8)))), 0)</f>
        <v>0.26030700000000001</v>
      </c>
      <c r="B70" s="195">
        <f>IFERROR(ROUND(Data5!O69*Data5!$A$8, 5-INT(LOG10(ABS(Data5!O69*Data5!$A$8)))), 0)</f>
        <v>-3.35494E-2</v>
      </c>
    </row>
    <row r="71" spans="1:2" ht="15" x14ac:dyDescent="0.35">
      <c r="A71" s="195">
        <f>IFERROR(ROUND(Data5!N70*Data5!$A$8, 5-INT(LOG10(ABS(Data5!N70*Data5!$A$8)))), 0)</f>
        <v>0.28817300000000001</v>
      </c>
      <c r="B71" s="195">
        <f>IFERROR(ROUND(Data5!O70*Data5!$A$8, 5-INT(LOG10(ABS(Data5!O70*Data5!$A$8)))), 0)</f>
        <v>-3.46232E-2</v>
      </c>
    </row>
    <row r="72" spans="1:2" ht="15" x14ac:dyDescent="0.35">
      <c r="A72" s="195">
        <f>IFERROR(ROUND(Data5!N71*Data5!$A$8, 5-INT(LOG10(ABS(Data5!N71*Data5!$A$8)))), 0)</f>
        <v>0.31686900000000001</v>
      </c>
      <c r="B72" s="195">
        <f>IFERROR(ROUND(Data5!O71*Data5!$A$8, 5-INT(LOG10(ABS(Data5!O71*Data5!$A$8)))), 0)</f>
        <v>-3.5584900000000003E-2</v>
      </c>
    </row>
    <row r="73" spans="1:2" ht="15" x14ac:dyDescent="0.35">
      <c r="A73" s="195">
        <f>IFERROR(ROUND(Data5!N72*Data5!$A$8, 5-INT(LOG10(ABS(Data5!N72*Data5!$A$8)))), 0)</f>
        <v>0.34628199999999998</v>
      </c>
      <c r="B73" s="195">
        <f>IFERROR(ROUND(Data5!O72*Data5!$A$8, 5-INT(LOG10(ABS(Data5!O72*Data5!$A$8)))), 0)</f>
        <v>-3.6424900000000003E-2</v>
      </c>
    </row>
    <row r="74" spans="1:2" ht="15" x14ac:dyDescent="0.35">
      <c r="A74" s="195">
        <f>IFERROR(ROUND(Data5!N73*Data5!$A$8, 5-INT(LOG10(ABS(Data5!N73*Data5!$A$8)))), 0)</f>
        <v>0.37629699999999999</v>
      </c>
      <c r="B74" s="195">
        <f>IFERROR(ROUND(Data5!O73*Data5!$A$8, 5-INT(LOG10(ABS(Data5!O73*Data5!$A$8)))), 0)</f>
        <v>-3.7132900000000003E-2</v>
      </c>
    </row>
    <row r="75" spans="1:2" ht="15" x14ac:dyDescent="0.35">
      <c r="A75" s="195">
        <f>IFERROR(ROUND(Data5!N74*Data5!$A$8, 5-INT(LOG10(ABS(Data5!N74*Data5!$A$8)))), 0)</f>
        <v>0.40679700000000002</v>
      </c>
      <c r="B75" s="195">
        <f>IFERROR(ROUND(Data5!O74*Data5!$A$8, 5-INT(LOG10(ABS(Data5!O74*Data5!$A$8)))), 0)</f>
        <v>-3.7698799999999998E-2</v>
      </c>
    </row>
    <row r="76" spans="1:2" ht="15" x14ac:dyDescent="0.35">
      <c r="A76" s="195">
        <f>IFERROR(ROUND(Data5!N75*Data5!$A$8, 5-INT(LOG10(ABS(Data5!N75*Data5!$A$8)))), 0)</f>
        <v>0.43766100000000002</v>
      </c>
      <c r="B76" s="195">
        <f>IFERROR(ROUND(Data5!O75*Data5!$A$8, 5-INT(LOG10(ABS(Data5!O75*Data5!$A$8)))), 0)</f>
        <v>-3.8112899999999998E-2</v>
      </c>
    </row>
    <row r="77" spans="1:2" ht="15" x14ac:dyDescent="0.35">
      <c r="A77" s="195">
        <f>IFERROR(ROUND(Data5!N76*Data5!$A$8, 5-INT(LOG10(ABS(Data5!N76*Data5!$A$8)))), 0)</f>
        <v>0.46876899999999999</v>
      </c>
      <c r="B77" s="195">
        <f>IFERROR(ROUND(Data5!O76*Data5!$A$8, 5-INT(LOG10(ABS(Data5!O76*Data5!$A$8)))), 0)</f>
        <v>-3.8366499999999998E-2</v>
      </c>
    </row>
    <row r="78" spans="1:2" ht="15" x14ac:dyDescent="0.35">
      <c r="A78" s="195">
        <f>IFERROR(ROUND(Data5!N77*Data5!$A$8, 5-INT(LOG10(ABS(Data5!N77*Data5!$A$8)))), 0)</f>
        <v>0.5</v>
      </c>
      <c r="B78" s="195">
        <f>IFERROR(ROUND(Data5!O77*Data5!$A$8, 5-INT(LOG10(ABS(Data5!O77*Data5!$A$8)))), 0)</f>
        <v>-3.8452300000000002E-2</v>
      </c>
    </row>
    <row r="79" spans="1:2" ht="15" x14ac:dyDescent="0.35">
      <c r="A79" s="195">
        <f>IFERROR(ROUND(Data5!N78*Data5!$A$8, 5-INT(LOG10(ABS(Data5!N78*Data5!$A$8)))), 0)</f>
        <v>0.53123100000000001</v>
      </c>
      <c r="B79" s="195">
        <f>IFERROR(ROUND(Data5!O78*Data5!$A$8, 5-INT(LOG10(ABS(Data5!O78*Data5!$A$8)))), 0)</f>
        <v>-3.83608E-2</v>
      </c>
    </row>
    <row r="80" spans="1:2" ht="15" x14ac:dyDescent="0.35">
      <c r="A80" s="195">
        <f>IFERROR(ROUND(Data5!N79*Data5!$A$8, 5-INT(LOG10(ABS(Data5!N79*Data5!$A$8)))), 0)</f>
        <v>0.56233900000000003</v>
      </c>
      <c r="B80" s="195">
        <f>IFERROR(ROUND(Data5!O79*Data5!$A$8, 5-INT(LOG10(ABS(Data5!O79*Data5!$A$8)))), 0)</f>
        <v>-3.8068499999999998E-2</v>
      </c>
    </row>
    <row r="81" spans="1:12" ht="15" x14ac:dyDescent="0.35">
      <c r="A81" s="195">
        <f>IFERROR(ROUND(Data5!N80*Data5!$A$8, 5-INT(LOG10(ABS(Data5!N80*Data5!$A$8)))), 0)</f>
        <v>0.59320499999999998</v>
      </c>
      <c r="B81" s="195">
        <f>IFERROR(ROUND(Data5!O80*Data5!$A$8, 5-INT(LOG10(ABS(Data5!O80*Data5!$A$8)))), 0)</f>
        <v>-3.7552000000000002E-2</v>
      </c>
    </row>
    <row r="82" spans="1:12" ht="15" x14ac:dyDescent="0.35">
      <c r="A82" s="195">
        <f>IFERROR(ROUND(Data5!N81*Data5!$A$8, 5-INT(LOG10(ABS(Data5!N81*Data5!$A$8)))), 0)</f>
        <v>0.62370700000000001</v>
      </c>
      <c r="B82" s="195">
        <f>IFERROR(ROUND(Data5!O81*Data5!$A$8, 5-INT(LOG10(ABS(Data5!O81*Data5!$A$8)))), 0)</f>
        <v>-3.6793800000000002E-2</v>
      </c>
    </row>
    <row r="83" spans="1:12" ht="15" x14ac:dyDescent="0.35">
      <c r="A83" s="195">
        <f>IFERROR(ROUND(Data5!N82*Data5!$A$8, 5-INT(LOG10(ABS(Data5!N82*Data5!$A$8)))), 0)</f>
        <v>0.65372799999999998</v>
      </c>
      <c r="B83" s="195">
        <f>IFERROR(ROUND(Data5!O82*Data5!$A$8, 5-INT(LOG10(ABS(Data5!O82*Data5!$A$8)))), 0)</f>
        <v>-3.5782700000000001E-2</v>
      </c>
    </row>
    <row r="84" spans="1:12" ht="15" x14ac:dyDescent="0.35">
      <c r="A84" s="195">
        <f>IFERROR(ROUND(Data5!N83*Data5!$A$8, 5-INT(LOG10(ABS(Data5!N83*Data5!$A$8)))), 0)</f>
        <v>0.68315099999999995</v>
      </c>
      <c r="B84" s="195">
        <f>IFERROR(ROUND(Data5!O83*Data5!$A$8, 5-INT(LOG10(ABS(Data5!O83*Data5!$A$8)))), 0)</f>
        <v>-3.4514900000000001E-2</v>
      </c>
    </row>
    <row r="85" spans="1:12" ht="15" x14ac:dyDescent="0.35">
      <c r="A85" s="195">
        <f>IFERROR(ROUND(Data5!N84*Data5!$A$8, 5-INT(LOG10(ABS(Data5!N84*Data5!$A$8)))), 0)</f>
        <v>0.71186300000000002</v>
      </c>
      <c r="B85" s="195">
        <f>IFERROR(ROUND(Data5!O84*Data5!$A$8, 5-INT(LOG10(ABS(Data5!O84*Data5!$A$8)))), 0)</f>
        <v>-3.2994200000000001E-2</v>
      </c>
    </row>
    <row r="86" spans="1:12" ht="15" x14ac:dyDescent="0.35">
      <c r="A86" s="195">
        <f>IFERROR(ROUND(Data5!N85*Data5!$A$8, 5-INT(LOG10(ABS(Data5!N85*Data5!$A$8)))), 0)</f>
        <v>0.73975100000000005</v>
      </c>
      <c r="B86" s="195">
        <f>IFERROR(ROUND(Data5!O85*Data5!$A$8, 5-INT(LOG10(ABS(Data5!O85*Data5!$A$8)))), 0)</f>
        <v>-3.1232200000000002E-2</v>
      </c>
    </row>
    <row r="87" spans="1:12" ht="15" x14ac:dyDescent="0.35">
      <c r="A87" s="195">
        <f>IFERROR(ROUND(Data5!N86*Data5!$A$8, 5-INT(LOG10(ABS(Data5!N86*Data5!$A$8)))), 0)</f>
        <v>0.76670799999999995</v>
      </c>
      <c r="B87" s="195">
        <f>IFERROR(ROUND(Data5!O86*Data5!$A$8, 5-INT(LOG10(ABS(Data5!O86*Data5!$A$8)))), 0)</f>
        <v>-2.9248699999999999E-2</v>
      </c>
    </row>
    <row r="88" spans="1:12" ht="15" x14ac:dyDescent="0.35">
      <c r="A88" s="195">
        <f>IFERROR(ROUND(Data5!N87*Data5!$A$8, 5-INT(LOG10(ABS(Data5!N87*Data5!$A$8)))), 0)</f>
        <v>0.79262999999999995</v>
      </c>
      <c r="B88" s="195">
        <f>IFERROR(ROUND(Data5!O87*Data5!$A$8, 5-INT(LOG10(ABS(Data5!O87*Data5!$A$8)))), 0)</f>
        <v>-2.7071100000000001E-2</v>
      </c>
    </row>
    <row r="89" spans="1:12" ht="15" x14ac:dyDescent="0.35">
      <c r="A89" s="195">
        <f>IFERROR(ROUND(Data5!N88*Data5!$A$8, 5-INT(LOG10(ABS(Data5!N88*Data5!$A$8)))), 0)</f>
        <v>0.817415</v>
      </c>
      <c r="B89" s="195">
        <f>IFERROR(ROUND(Data5!O88*Data5!$A$8, 5-INT(LOG10(ABS(Data5!O88*Data5!$A$8)))), 0)</f>
        <v>-2.47338E-2</v>
      </c>
    </row>
    <row r="90" spans="1:12" ht="15" x14ac:dyDescent="0.35">
      <c r="A90" s="195">
        <f>IFERROR(ROUND(Data5!N89*Data5!$A$8, 5-INT(LOG10(ABS(Data5!N89*Data5!$A$8)))), 0)</f>
        <v>0.84096599999999999</v>
      </c>
      <c r="B90" s="195">
        <f>IFERROR(ROUND(Data5!O89*Data5!$A$8, 5-INT(LOG10(ABS(Data5!O89*Data5!$A$8)))), 0)</f>
        <v>-2.2277700000000001E-2</v>
      </c>
    </row>
    <row r="91" spans="1:12" ht="15" x14ac:dyDescent="0.35">
      <c r="A91" s="195">
        <f>IFERROR(ROUND(Data5!N90*Data5!$A$8, 5-INT(LOG10(ABS(Data5!N90*Data5!$A$8)))), 0)</f>
        <v>0.86319199999999996</v>
      </c>
      <c r="B91" s="195">
        <f>IFERROR(ROUND(Data5!O90*Data5!$A$8, 5-INT(LOG10(ABS(Data5!O90*Data5!$A$8)))), 0)</f>
        <v>-1.9749099999999999E-2</v>
      </c>
      <c r="L91" s="3"/>
    </row>
    <row r="92" spans="1:12" ht="15" x14ac:dyDescent="0.35">
      <c r="A92" s="195">
        <f>IFERROR(ROUND(Data5!N91*Data5!$A$8, 5-INT(LOG10(ABS(Data5!N91*Data5!$A$8)))), 0)</f>
        <v>0.88400299999999998</v>
      </c>
      <c r="B92" s="195">
        <f>IFERROR(ROUND(Data5!O91*Data5!$A$8, 5-INT(LOG10(ABS(Data5!O91*Data5!$A$8)))), 0)</f>
        <v>-1.7198100000000001E-2</v>
      </c>
    </row>
    <row r="93" spans="1:12" ht="15" x14ac:dyDescent="0.35">
      <c r="A93" s="195">
        <f>IFERROR(ROUND(Data5!N92*Data5!$A$8, 5-INT(LOG10(ABS(Data5!N92*Data5!$A$8)))), 0)</f>
        <v>0.90331700000000004</v>
      </c>
      <c r="B93" s="195">
        <f>IFERROR(ROUND(Data5!O92*Data5!$A$8, 5-INT(LOG10(ABS(Data5!O92*Data5!$A$8)))), 0)</f>
        <v>-1.4677900000000001E-2</v>
      </c>
    </row>
    <row r="94" spans="1:12" ht="15" x14ac:dyDescent="0.35">
      <c r="A94" s="195">
        <f>IFERROR(ROUND(Data5!N93*Data5!$A$8, 5-INT(LOG10(ABS(Data5!N93*Data5!$A$8)))), 0)</f>
        <v>0.92105599999999999</v>
      </c>
      <c r="B94" s="195">
        <f>IFERROR(ROUND(Data5!O93*Data5!$A$8, 5-INT(LOG10(ABS(Data5!O93*Data5!$A$8)))), 0)</f>
        <v>-1.2242299999999999E-2</v>
      </c>
    </row>
    <row r="95" spans="1:12" ht="15" x14ac:dyDescent="0.35">
      <c r="A95" s="195">
        <f>IFERROR(ROUND(Data5!N94*Data5!$A$8, 5-INT(LOG10(ABS(Data5!N94*Data5!$A$8)))), 0)</f>
        <v>0.93714799999999998</v>
      </c>
      <c r="B95" s="195">
        <f>IFERROR(ROUND(Data5!O94*Data5!$A$8, 5-INT(LOG10(ABS(Data5!O94*Data5!$A$8)))), 0)</f>
        <v>-9.9446799999999991E-3</v>
      </c>
    </row>
    <row r="96" spans="1:12" ht="15" x14ac:dyDescent="0.35">
      <c r="A96" s="195">
        <f>IFERROR(ROUND(Data5!N95*Data5!$A$8, 5-INT(LOG10(ABS(Data5!N95*Data5!$A$8)))), 0)</f>
        <v>0.95152599999999998</v>
      </c>
      <c r="B96" s="195">
        <f>IFERROR(ROUND(Data5!O95*Data5!$A$8, 5-INT(LOG10(ABS(Data5!O95*Data5!$A$8)))), 0)</f>
        <v>-7.8358899999999999E-3</v>
      </c>
    </row>
    <row r="97" spans="1:2" ht="15" x14ac:dyDescent="0.35">
      <c r="A97" s="195">
        <f>IFERROR(ROUND(Data5!N96*Data5!$A$8, 5-INT(LOG10(ABS(Data5!N96*Data5!$A$8)))), 0)</f>
        <v>0.96412900000000001</v>
      </c>
      <c r="B97" s="195">
        <f>IFERROR(ROUND(Data5!O96*Data5!$A$8, 5-INT(LOG10(ABS(Data5!O96*Data5!$A$8)))), 0)</f>
        <v>-5.9622599999999996E-3</v>
      </c>
    </row>
    <row r="98" spans="1:2" ht="15" x14ac:dyDescent="0.35">
      <c r="A98" s="195">
        <f>IFERROR(ROUND(Data5!N97*Data5!$A$8, 5-INT(LOG10(ABS(Data5!N97*Data5!$A$8)))), 0)</f>
        <v>0.97490299999999996</v>
      </c>
      <c r="B98" s="195">
        <f>IFERROR(ROUND(Data5!O97*Data5!$A$8, 5-INT(LOG10(ABS(Data5!O97*Data5!$A$8)))), 0)</f>
        <v>-4.3636400000000002E-3</v>
      </c>
    </row>
    <row r="99" spans="1:2" ht="15" x14ac:dyDescent="0.35">
      <c r="A99" s="195">
        <f>IFERROR(ROUND(Data5!N98*Data5!$A$8, 5-INT(LOG10(ABS(Data5!N98*Data5!$A$8)))), 0)</f>
        <v>0.98379799999999995</v>
      </c>
      <c r="B99" s="195">
        <f>IFERROR(ROUND(Data5!O98*Data5!$A$8, 5-INT(LOG10(ABS(Data5!O98*Data5!$A$8)))), 0)</f>
        <v>-3.0712000000000001E-3</v>
      </c>
    </row>
    <row r="100" spans="1:2" ht="15" x14ac:dyDescent="0.35">
      <c r="A100" s="195">
        <f>IFERROR(ROUND(Data5!N99*Data5!$A$8, 5-INT(LOG10(ABS(Data5!N99*Data5!$A$8)))), 0)</f>
        <v>0.99077000000000004</v>
      </c>
      <c r="B100" s="195">
        <f>IFERROR(ROUND(Data5!O99*Data5!$A$8, 5-INT(LOG10(ABS(Data5!O99*Data5!$A$8)))), 0)</f>
        <v>-2.1048199999999999E-3</v>
      </c>
    </row>
    <row r="101" spans="1:2" ht="15" x14ac:dyDescent="0.35">
      <c r="A101" s="195">
        <f>IFERROR(ROUND(Data5!N100*Data5!$A$8, 5-INT(LOG10(ABS(Data5!N100*Data5!$A$8)))), 0)</f>
        <v>0.99578199999999994</v>
      </c>
      <c r="B101" s="195">
        <f>IFERROR(ROUND(Data5!O100*Data5!$A$8, 5-INT(LOG10(ABS(Data5!O100*Data5!$A$8)))), 0)</f>
        <v>-1.4694E-3</v>
      </c>
    </row>
    <row r="102" spans="1:2" ht="15" x14ac:dyDescent="0.35">
      <c r="A102" s="195">
        <f>IFERROR(ROUND(Data5!N101*Data5!$A$8, 5-INT(LOG10(ABS(Data5!N101*Data5!$A$8)))), 0)</f>
        <v>0.99879300000000004</v>
      </c>
      <c r="B102" s="195">
        <f>IFERROR(ROUND(Data5!O101*Data5!$A$8, 5-INT(LOG10(ABS(Data5!O101*Data5!$A$8)))), 0)</f>
        <v>-1.1473200000000001E-3</v>
      </c>
    </row>
    <row r="103" spans="1:2" ht="15" x14ac:dyDescent="0.35">
      <c r="A103" s="195">
        <f>IFERROR(ROUND(Data5!N102*Data5!$A$8, 5-INT(LOG10(ABS(Data5!N102*Data5!$A$8)))), 0)</f>
        <v>1</v>
      </c>
      <c r="B103" s="195">
        <f>IFERROR(ROUND(Data5!O102*Data5!$A$8, 5-INT(LOG10(ABS(Data5!O102*Data5!$A$8)))), 0)</f>
        <v>0</v>
      </c>
    </row>
  </sheetData>
  <sheetProtection algorithmName="SHA-512" hashValue="V+g3Xxl1FzklhB1p9WhpyOmca/pwiMlg+pTDakcQOCfzkI4lE7smqmYRJtsqb3oxvU0VRf0dJnel5qhL7VS8qQ==" saltValue="DfPKO8jxXwVFwrdpPE+Bxg==" spinCount="100000" sheet="1" objects="1" scenarios="1"/>
  <mergeCells count="1">
    <mergeCell ref="A1:B1"/>
  </mergeCell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7FCA5-A03F-4AD6-9300-7EA5D5CF494B}">
  <sheetPr codeName="Sheet17">
    <tabColor theme="6" tint="0.79998168889431442"/>
  </sheetPr>
  <dimension ref="A1:BB51"/>
  <sheetViews>
    <sheetView topLeftCell="AI1" zoomScaleNormal="100" workbookViewId="0">
      <selection activeCell="AS34" sqref="AS34"/>
    </sheetView>
  </sheetViews>
  <sheetFormatPr defaultRowHeight="14.4" x14ac:dyDescent="0.3"/>
  <cols>
    <col min="1" max="1" width="8.33203125" style="15" customWidth="1"/>
    <col min="2" max="13" width="8.77734375" style="7" customWidth="1"/>
    <col min="14" max="14" width="9.109375" style="7" customWidth="1"/>
    <col min="15" max="15" width="9" style="7" customWidth="1"/>
    <col min="16" max="18" width="8.77734375" style="7" customWidth="1"/>
    <col min="19" max="19" width="8.88671875" style="7"/>
    <col min="20" max="20" width="9.88671875" style="7" customWidth="1"/>
    <col min="21" max="22" width="8.88671875" style="7"/>
    <col min="23" max="23" width="10.33203125" style="7" customWidth="1"/>
    <col min="24" max="29" width="8.88671875" style="7"/>
    <col min="30" max="31" width="8.88671875" style="3"/>
    <col min="32" max="32" width="8.88671875" style="7"/>
    <col min="33" max="33" width="9.77734375" style="3" customWidth="1"/>
    <col min="34" max="35" width="9.77734375" style="7" customWidth="1"/>
    <col min="36" max="38" width="9.77734375" style="3" customWidth="1"/>
    <col min="39" max="42" width="8.88671875" style="7"/>
    <col min="43" max="43" width="8.88671875" style="3"/>
    <col min="44" max="51" width="8.88671875" style="7"/>
    <col min="52" max="53" width="9.77734375" style="7" customWidth="1"/>
    <col min="54" max="54" width="10.33203125" style="2" customWidth="1"/>
    <col min="55" max="16384" width="8.88671875" style="3"/>
  </cols>
  <sheetData>
    <row r="1" spans="1:54" x14ac:dyDescent="0.3">
      <c r="A1" s="15">
        <f>MOD(VALUE(LEFT(A14, 2)),10)</f>
        <v>5</v>
      </c>
      <c r="B1" s="36">
        <v>1</v>
      </c>
      <c r="C1" s="36">
        <v>0</v>
      </c>
      <c r="D1" s="37">
        <v>1</v>
      </c>
      <c r="E1" s="37">
        <v>0</v>
      </c>
      <c r="F1" s="38">
        <v>1</v>
      </c>
      <c r="G1" s="38">
        <v>0</v>
      </c>
      <c r="H1" s="39">
        <v>1</v>
      </c>
      <c r="I1" s="39">
        <v>0</v>
      </c>
      <c r="J1" s="40">
        <v>1</v>
      </c>
      <c r="K1" s="40">
        <v>0</v>
      </c>
      <c r="L1" s="41">
        <v>1</v>
      </c>
      <c r="M1" s="41">
        <v>3.2000000000000003E-4</v>
      </c>
      <c r="N1" s="42">
        <v>1</v>
      </c>
      <c r="O1" s="42">
        <v>1.8000000000000001E-4</v>
      </c>
      <c r="P1" s="38">
        <v>1</v>
      </c>
      <c r="Q1" s="38">
        <v>0</v>
      </c>
      <c r="S1" s="7">
        <f>IFERROR((-0.2/(4*PI()))*((1-AF1)*LN(1-AF1)+AF1*LN(AF1)),0)</f>
        <v>0</v>
      </c>
      <c r="T1" s="7">
        <f>IFERROR((0.2/(4*PI()))*(LN(1-AF1)-LN(AF1)),0)</f>
        <v>0</v>
      </c>
      <c r="U1" s="7">
        <f>ATAN(T1)</f>
        <v>0</v>
      </c>
      <c r="W1" s="7">
        <f t="shared" ref="W1:W32" si="0">IFERROR((1/0.15)*(C1-S1)/COS(U1),0)</f>
        <v>0</v>
      </c>
      <c r="X1" s="7">
        <f t="shared" ref="X1:X32" si="1">(1/0.15)*E1</f>
        <v>0</v>
      </c>
      <c r="Y1" s="7">
        <f t="shared" ref="Y1:Y32" si="2">IFERROR((1/0.1)*(G1-S1)/COS(U1),0)</f>
        <v>0</v>
      </c>
      <c r="Z1" s="7">
        <f t="shared" ref="Z1:Z32" si="3">(1/0.21)*I1</f>
        <v>0</v>
      </c>
      <c r="AA1" s="7">
        <f t="shared" ref="AA1:AA32" si="4">IFERROR((1/0.15)*(K1-S1)/COS(U1),0)</f>
        <v>0</v>
      </c>
      <c r="AB1" s="7">
        <f t="shared" ref="AB1:AB32" si="5">(1/0.15)*M1</f>
        <v>2.1333333333333334E-3</v>
      </c>
      <c r="AC1" s="7">
        <f t="shared" ref="AC1:AC32" si="6">(1/0.08)*O1</f>
        <v>2.2500000000000003E-3</v>
      </c>
      <c r="AE1" s="7" t="str">
        <f>IF($A$9&lt;&gt;1, -(1/(1-$A$9))*($A$9^2*(0.5*LN($A$9)-0.25)+0.25), " ")</f>
        <v xml:space="preserve"> </v>
      </c>
      <c r="AF1" s="37">
        <v>1</v>
      </c>
      <c r="AG1" s="7">
        <f t="shared" ref="AG1:AG32" si="7">IF($A$9=1, IFERROR((-$AE$3)*((1-AF1)*LN(1-AF1)+AF1*LN(AF1)),0), " ")</f>
        <v>0</v>
      </c>
      <c r="AH1" s="7" t="str">
        <f t="shared" ref="AH1:AH32" si="8">IF($A$9&lt;&gt;1, IF(AF1&lt;&gt;$A$9, IFERROR($AE$3*((1/(1-$A$9))*(0.5*($A$9-AF1)^2*LN(ABS($A$9-AF1))-0.5*(1-AF1)^2*LN(1-AF1)+0.25*(1-AF1)^2-0.25*($A$9-AF1)^2) -AF1*LN(AF1) +$AE$1-$AE$2*AF1), 0),  IFERROR($AE$3*((1/(1-$A$9))*(-0.5*(1-AF1)^2*LN(1-AF1)+0.25*(1-AF1)^2) -AF1*LN(AF1) +$AE$1-$AE$2*AF1), 0)), " ")</f>
        <v xml:space="preserve"> </v>
      </c>
      <c r="AI1" s="7">
        <f>IF($A$9=1, AG1, AH1)</f>
        <v>0</v>
      </c>
      <c r="AJ1" s="7">
        <f t="shared" ref="AJ1:AJ32" si="9">IF($A$9=1, IFERROR($AE$3*(LN(1-AF1)-LN(AF1)), 0), " ")</f>
        <v>0</v>
      </c>
      <c r="AK1" s="3" t="str">
        <f t="shared" ref="AK1:AK32" si="10">IF($A$9&lt;&gt;1, IF(AF1&lt;&gt;$A$9, IFERROR($AE$3*((1/(1-$A$9))*((1-AF1)*LN(1-AF1)-($A$9-AF1)*LN(ABS($A$9-AF1))) - LN(AF1) -1 - $AE$2), 0),  IFERROR($AE$3*((1/(1-$A$9))*((1-AF1)*LN(1-AF1)) - LN(AF1) -1 - $AE$2), 0)), " ")</f>
        <v xml:space="preserve"> </v>
      </c>
      <c r="AL1" s="7">
        <f>IF($A$9=1, AJ1, AK1)</f>
        <v>0</v>
      </c>
      <c r="AM1" s="37" cm="1">
        <f t="array" ref="AM1">_xlfn.IFS($A$14=$A$15, $A$8*W1, $A$14=$A$16, $A$8*X1, $A$14=$A$17, $A$8*Y1, $A$14=$A$18, $A$8*Z1, $A$14=$A$19, $A$8*AA1, $A$14=$A$20, $A$8*AB1, $A$14=$A$21, $A$8*AC1)</f>
        <v>0</v>
      </c>
      <c r="AN1" s="7">
        <f>ATAN(AL1)</f>
        <v>0</v>
      </c>
      <c r="AO1" s="7">
        <f t="shared" ref="AO1:AO32" si="11">AF1+AM1*SIN(AN1)</f>
        <v>1</v>
      </c>
      <c r="AP1" s="7">
        <f>AI1+AM1*COS(AN1)</f>
        <v>0</v>
      </c>
      <c r="AR1" s="7">
        <f t="shared" ref="AR1:AR26" si="12">AF1*COS($A$11)</f>
        <v>1</v>
      </c>
      <c r="AS1" s="7">
        <f t="shared" ref="AS1:AS26" si="13">-AF1*SIN($A$11)</f>
        <v>0</v>
      </c>
      <c r="AT1" s="7">
        <f>AF1*COS($A$11)+AI1*SIN($A$11)</f>
        <v>1</v>
      </c>
      <c r="AU1" s="7">
        <f>AI1*COS($A$11)-AF1*SIN($A$11)</f>
        <v>0</v>
      </c>
      <c r="AV1" s="7">
        <f t="shared" ref="AV1:AV32" si="14">AO1*COS($A$11)+AP1*SIN($A$11)</f>
        <v>1</v>
      </c>
      <c r="AW1" s="7">
        <f t="shared" ref="AW1:AW32" si="15">AP1*COS($A$11)-AO1*SIN($A$11)</f>
        <v>0</v>
      </c>
      <c r="AY1" s="43" t="b">
        <v>0</v>
      </c>
      <c r="AZ1" s="7">
        <f>IF($AY$1, AS1, -1)</f>
        <v>-1</v>
      </c>
      <c r="BA1" s="7">
        <f>IF($AY$2, AU1, -1)</f>
        <v>-1</v>
      </c>
      <c r="BB1" s="2">
        <f>IF(LEN(A14)=3, 2*ATAN(ABS((AM2-AM1)/(AF2-AF1))), 0)</f>
        <v>0</v>
      </c>
    </row>
    <row r="2" spans="1:54" x14ac:dyDescent="0.3">
      <c r="A2" s="51">
        <v>2</v>
      </c>
      <c r="B2" s="7">
        <v>0.95013999999999998</v>
      </c>
      <c r="C2" s="7">
        <v>6.1599999999999997E-3</v>
      </c>
      <c r="D2" s="7">
        <v>0.95</v>
      </c>
      <c r="E2" s="7">
        <v>3.46E-3</v>
      </c>
      <c r="F2" s="7">
        <v>0.95013999999999998</v>
      </c>
      <c r="G2" s="7">
        <v>6.2199999999999998E-3</v>
      </c>
      <c r="H2" s="7">
        <v>0.95</v>
      </c>
      <c r="I2" s="7">
        <v>7.1700000000000002E-3</v>
      </c>
      <c r="J2" s="7">
        <v>0.95037000000000005</v>
      </c>
      <c r="K2" s="7">
        <v>1.103E-2</v>
      </c>
      <c r="L2" s="7">
        <v>0.95</v>
      </c>
      <c r="M2" s="7">
        <v>7.7200000000000003E-3</v>
      </c>
      <c r="N2" s="7">
        <v>0.95</v>
      </c>
      <c r="O2" s="7">
        <v>4.3800000000000002E-3</v>
      </c>
      <c r="P2" s="7">
        <v>0.95013999999999998</v>
      </c>
      <c r="Q2" s="7">
        <v>6.2199999999999998E-3</v>
      </c>
      <c r="S2" s="7">
        <f t="shared" ref="S2:S51" si="16">IFERROR((-0.2/(4*PI()))*((1-AF2)*LN(1-AF2)+AF2*LN(AF2)),0)</f>
        <v>3.1594682257586118E-3</v>
      </c>
      <c r="T2" s="7">
        <f t="shared" ref="T2:T51" si="17">IFERROR((0.2/(4*PI()))*(LN(1-AF2)-LN(AF2)),0)</f>
        <v>-4.6862201816679307E-2</v>
      </c>
      <c r="U2" s="7">
        <f t="shared" ref="U2:U51" si="18">ATAN(T2)</f>
        <v>-4.682794278435988E-2</v>
      </c>
      <c r="W2" s="7">
        <f t="shared" si="0"/>
        <v>2.0025497668226217E-2</v>
      </c>
      <c r="X2" s="7">
        <f t="shared" si="1"/>
        <v>2.3066666666666666E-2</v>
      </c>
      <c r="Y2" s="7">
        <f t="shared" si="2"/>
        <v>3.0638904960820747E-2</v>
      </c>
      <c r="Z2" s="7">
        <f t="shared" si="3"/>
        <v>3.4142857142857141E-2</v>
      </c>
      <c r="AA2" s="7">
        <f t="shared" si="4"/>
        <v>5.2527794254943187E-2</v>
      </c>
      <c r="AB2" s="7">
        <f t="shared" si="5"/>
        <v>5.1466666666666668E-2</v>
      </c>
      <c r="AC2" s="7">
        <f t="shared" si="6"/>
        <v>5.475E-2</v>
      </c>
      <c r="AE2" s="7" t="str">
        <f>IF($A$9&lt;&gt;1, (1/(1-$A$9))*(0.5*(1-$A$9)^2*LN(1-$A$9)-0.25*(1-$A$9)^2)+AE1, " ")</f>
        <v xml:space="preserve"> </v>
      </c>
      <c r="AF2" s="37">
        <v>0.95</v>
      </c>
      <c r="AG2" s="7">
        <f t="shared" si="7"/>
        <v>3.1594682257586118E-3</v>
      </c>
      <c r="AH2" s="7" t="str">
        <f t="shared" si="8"/>
        <v xml:space="preserve"> </v>
      </c>
      <c r="AI2" s="7">
        <f t="shared" ref="AI2:AI51" si="19">IF($A$9=1, AG2, AH2)</f>
        <v>3.1594682257586118E-3</v>
      </c>
      <c r="AJ2" s="7">
        <f t="shared" si="9"/>
        <v>-4.6862201816679307E-2</v>
      </c>
      <c r="AK2" s="3" t="str">
        <f t="shared" si="10"/>
        <v xml:space="preserve"> </v>
      </c>
      <c r="AL2" s="7">
        <f t="shared" ref="AL2:AL51" si="20">IF($A$9=1, AJ2, AK2)</f>
        <v>-4.6862201816679307E-2</v>
      </c>
      <c r="AM2" s="37" cm="1">
        <f t="array" ref="AM2">_xlfn.IFS($A$14=$A$15, $A$8*W2, $A$14=$A$16, $A$8*X2, $A$14=$A$17, $A$8*Y2, $A$14=$A$18, $A$8*Z2, $A$14=$A$19, $A$8*AA2, $A$14=$A$20, $A$8*AB2, $A$14=$A$21, $A$8*AC2)</f>
        <v>4.5958357441231116E-3</v>
      </c>
      <c r="AN2" s="7">
        <f t="shared" ref="AN2:AN51" si="21">ATAN(AL2)</f>
        <v>-4.682794278435988E-2</v>
      </c>
      <c r="AO2" s="7">
        <f t="shared" si="11"/>
        <v>0.94978486511349369</v>
      </c>
      <c r="AP2" s="7">
        <f t="shared" ref="AP2:AP51" si="22">AI2+AM2*COS(AN2)</f>
        <v>7.7502658871206939E-3</v>
      </c>
      <c r="AR2" s="7">
        <f t="shared" si="12"/>
        <v>0.95</v>
      </c>
      <c r="AS2" s="7">
        <f t="shared" si="13"/>
        <v>0</v>
      </c>
      <c r="AT2" s="7">
        <f t="shared" ref="AT2:AT26" si="23">AF2*COS($A$11)+AI2*SIN($A$11)</f>
        <v>0.95</v>
      </c>
      <c r="AU2" s="7">
        <f t="shared" ref="AU2:AU26" si="24">AI2*COS($A$11)-AF2*SIN($A$11)</f>
        <v>3.1594682257586118E-3</v>
      </c>
      <c r="AV2" s="7">
        <f t="shared" si="14"/>
        <v>0.94978486511349369</v>
      </c>
      <c r="AW2" s="7">
        <f t="shared" si="15"/>
        <v>7.7502658871206939E-3</v>
      </c>
      <c r="AY2" s="43" t="b">
        <v>0</v>
      </c>
      <c r="AZ2" s="7">
        <f t="shared" ref="AZ2:AZ26" si="25">IF($AY$1, AS2, -1)</f>
        <v>-1</v>
      </c>
      <c r="BA2" s="7">
        <f t="shared" ref="BA2:BA26" si="26">IF($AY$2, AU2, -1)</f>
        <v>-1</v>
      </c>
    </row>
    <row r="3" spans="1:54" x14ac:dyDescent="0.3">
      <c r="A3" s="51">
        <v>15</v>
      </c>
      <c r="B3" s="7">
        <v>0.90029999999999999</v>
      </c>
      <c r="C3" s="7">
        <v>1.3679999999999999E-2</v>
      </c>
      <c r="D3" s="7">
        <v>0.9</v>
      </c>
      <c r="E3" s="7">
        <v>9.4999999999999998E-3</v>
      </c>
      <c r="F3" s="7">
        <v>0.90027999999999997</v>
      </c>
      <c r="G3" s="7">
        <v>1.3270000000000001E-2</v>
      </c>
      <c r="H3" s="7">
        <v>0.9</v>
      </c>
      <c r="I3" s="7">
        <v>1.924E-2</v>
      </c>
      <c r="J3" s="7">
        <v>0.90071000000000001</v>
      </c>
      <c r="K3" s="7">
        <v>2.537E-2</v>
      </c>
      <c r="L3" s="7">
        <v>0.9</v>
      </c>
      <c r="M3" s="7">
        <v>1.512E-2</v>
      </c>
      <c r="N3" s="7">
        <v>0.9</v>
      </c>
      <c r="O3" s="7">
        <v>8.5800000000000008E-3</v>
      </c>
      <c r="P3" s="7">
        <v>0.90027999999999997</v>
      </c>
      <c r="Q3" s="7">
        <v>1.3270000000000001E-2</v>
      </c>
      <c r="S3" s="7">
        <f t="shared" si="16"/>
        <v>5.1738562130260067E-3</v>
      </c>
      <c r="T3" s="7">
        <f t="shared" si="17"/>
        <v>-3.4969915256605984E-2</v>
      </c>
      <c r="U3" s="7">
        <f t="shared" si="18"/>
        <v>-3.495567086225998E-2</v>
      </c>
      <c r="W3" s="7">
        <f t="shared" si="0"/>
        <v>5.6742288387309901E-2</v>
      </c>
      <c r="X3" s="7">
        <f t="shared" si="1"/>
        <v>6.3333333333333339E-2</v>
      </c>
      <c r="Y3" s="7">
        <f t="shared" si="2"/>
        <v>8.101092641223126E-2</v>
      </c>
      <c r="Z3" s="7">
        <f t="shared" si="3"/>
        <v>9.1619047619047614E-2</v>
      </c>
      <c r="AA3" s="7">
        <f t="shared" si="4"/>
        <v>0.13472325930193674</v>
      </c>
      <c r="AB3" s="7">
        <f t="shared" si="5"/>
        <v>0.1008</v>
      </c>
      <c r="AC3" s="7">
        <f t="shared" si="6"/>
        <v>0.10725000000000001</v>
      </c>
      <c r="AE3" s="7">
        <f>$A$7/(2*PI()*(1+$A$9))</f>
        <v>1.5915494309189534E-2</v>
      </c>
      <c r="AF3" s="7">
        <v>0.9</v>
      </c>
      <c r="AG3" s="7">
        <f t="shared" si="7"/>
        <v>5.1738562130260067E-3</v>
      </c>
      <c r="AH3" s="7" t="str">
        <f t="shared" si="8"/>
        <v xml:space="preserve"> </v>
      </c>
      <c r="AI3" s="7">
        <f t="shared" si="19"/>
        <v>5.1738562130260067E-3</v>
      </c>
      <c r="AJ3" s="7">
        <f t="shared" si="9"/>
        <v>-3.4969915256605984E-2</v>
      </c>
      <c r="AK3" s="3" t="str">
        <f t="shared" si="10"/>
        <v xml:space="preserve"> </v>
      </c>
      <c r="AL3" s="7">
        <f t="shared" si="20"/>
        <v>-3.4969915256605984E-2</v>
      </c>
      <c r="AM3" s="7" cm="1">
        <f t="array" ref="AM3">_xlfn.IFS($A$14=$A$15, $A$8*W3, $A$14=$A$16, $A$8*X3, $A$14=$A$17, $A$8*Y3, $A$14=$A$18, $A$8*Z3, $A$14=$A$19, $A$8*AA3, $A$14=$A$20, $A$8*AB3, $A$14=$A$21, $A$8*AC3)</f>
        <v>1.2151638961834689E-2</v>
      </c>
      <c r="AN3" s="7">
        <f t="shared" si="21"/>
        <v>-3.495567086225998E-2</v>
      </c>
      <c r="AO3" s="7">
        <f t="shared" si="11"/>
        <v>0.89957531780679634</v>
      </c>
      <c r="AP3" s="7">
        <f t="shared" si="22"/>
        <v>1.7318071893486997E-2</v>
      </c>
      <c r="AR3" s="7">
        <f t="shared" si="12"/>
        <v>0.9</v>
      </c>
      <c r="AS3" s="7">
        <f t="shared" si="13"/>
        <v>0</v>
      </c>
      <c r="AT3" s="7">
        <f t="shared" si="23"/>
        <v>0.9</v>
      </c>
      <c r="AU3" s="7">
        <f t="shared" si="24"/>
        <v>5.1738562130260067E-3</v>
      </c>
      <c r="AV3" s="7">
        <f t="shared" si="14"/>
        <v>0.89957531780679634</v>
      </c>
      <c r="AW3" s="7">
        <f t="shared" si="15"/>
        <v>1.7318071893486997E-2</v>
      </c>
      <c r="AY3" s="43" t="b">
        <v>0</v>
      </c>
      <c r="AZ3" s="7">
        <f t="shared" si="25"/>
        <v>-1</v>
      </c>
      <c r="BA3" s="7">
        <f t="shared" si="26"/>
        <v>-1</v>
      </c>
    </row>
    <row r="4" spans="1:54" x14ac:dyDescent="0.3">
      <c r="A4" s="51">
        <v>10</v>
      </c>
      <c r="B4" s="7">
        <v>0.85043000000000002</v>
      </c>
      <c r="C4" s="7">
        <v>2.213E-2</v>
      </c>
      <c r="D4" s="7">
        <v>0.85</v>
      </c>
      <c r="E4" s="7">
        <v>1.677E-2</v>
      </c>
      <c r="F4" s="7">
        <v>0.85038000000000002</v>
      </c>
      <c r="G4" s="7">
        <v>2.0570000000000001E-2</v>
      </c>
      <c r="H4" s="7">
        <v>0.85</v>
      </c>
      <c r="I4" s="7">
        <v>3.3239999999999999E-2</v>
      </c>
      <c r="J4" s="7">
        <v>0.85092000000000001</v>
      </c>
      <c r="K4" s="7">
        <v>3.9989999999999998E-2</v>
      </c>
      <c r="L4" s="7">
        <v>0.85</v>
      </c>
      <c r="M4" s="7">
        <v>2.2519999999999998E-2</v>
      </c>
      <c r="N4" s="7">
        <v>0.85</v>
      </c>
      <c r="O4" s="7">
        <v>1.278E-2</v>
      </c>
      <c r="P4" s="7">
        <v>0.85038000000000002</v>
      </c>
      <c r="Q4" s="7">
        <v>2.0570000000000001E-2</v>
      </c>
      <c r="S4" s="7">
        <f t="shared" si="16"/>
        <v>6.7276240814189477E-3</v>
      </c>
      <c r="T4" s="7">
        <f t="shared" si="17"/>
        <v>-2.7607033225743562E-2</v>
      </c>
      <c r="U4" s="7">
        <f t="shared" si="18"/>
        <v>-2.7600022880222699E-2</v>
      </c>
      <c r="W4" s="7">
        <f t="shared" si="0"/>
        <v>0.10272162831896028</v>
      </c>
      <c r="X4" s="7">
        <f t="shared" si="1"/>
        <v>0.11180000000000001</v>
      </c>
      <c r="Y4" s="7">
        <f t="shared" si="2"/>
        <v>0.13847649885409399</v>
      </c>
      <c r="Z4" s="7">
        <f t="shared" si="3"/>
        <v>0.15828571428571428</v>
      </c>
      <c r="AA4" s="7">
        <f t="shared" si="4"/>
        <v>0.22183365957145057</v>
      </c>
      <c r="AB4" s="7">
        <f t="shared" si="5"/>
        <v>0.15013333333333334</v>
      </c>
      <c r="AC4" s="7">
        <f t="shared" si="6"/>
        <v>0.15975</v>
      </c>
      <c r="AF4" s="7">
        <v>0.85</v>
      </c>
      <c r="AG4" s="7">
        <f t="shared" si="7"/>
        <v>6.7276240814189477E-3</v>
      </c>
      <c r="AH4" s="7" t="str">
        <f t="shared" si="8"/>
        <v xml:space="preserve"> </v>
      </c>
      <c r="AI4" s="7">
        <f t="shared" si="19"/>
        <v>6.7276240814189477E-3</v>
      </c>
      <c r="AJ4" s="7">
        <f t="shared" si="9"/>
        <v>-2.7607033225743562E-2</v>
      </c>
      <c r="AK4" s="3" t="str">
        <f t="shared" si="10"/>
        <v xml:space="preserve"> </v>
      </c>
      <c r="AL4" s="7">
        <f t="shared" si="20"/>
        <v>-2.7607033225743562E-2</v>
      </c>
      <c r="AM4" s="7" cm="1">
        <f t="array" ref="AM4">_xlfn.IFS($A$14=$A$15, $A$8*W4, $A$14=$A$16, $A$8*X4, $A$14=$A$17, $A$8*Y4, $A$14=$A$18, $A$8*Z4, $A$14=$A$19, $A$8*AA4, $A$14=$A$20, $A$8*AB4, $A$14=$A$21, $A$8*AC4)</f>
        <v>2.07714748281141E-2</v>
      </c>
      <c r="AN4" s="7">
        <f t="shared" si="21"/>
        <v>-2.7600022880222699E-2</v>
      </c>
      <c r="AO4" s="7">
        <f t="shared" si="11"/>
        <v>0.84942677960213875</v>
      </c>
      <c r="AP4" s="7">
        <f t="shared" si="22"/>
        <v>2.7491187959290529E-2</v>
      </c>
      <c r="AR4" s="7">
        <f t="shared" si="12"/>
        <v>0.85</v>
      </c>
      <c r="AS4" s="7">
        <f t="shared" si="13"/>
        <v>0</v>
      </c>
      <c r="AT4" s="7">
        <f t="shared" si="23"/>
        <v>0.85</v>
      </c>
      <c r="AU4" s="7">
        <f t="shared" si="24"/>
        <v>6.7276240814189477E-3</v>
      </c>
      <c r="AV4" s="7">
        <f t="shared" si="14"/>
        <v>0.84942677960213875</v>
      </c>
      <c r="AW4" s="7">
        <f t="shared" si="15"/>
        <v>2.7491187959290529E-2</v>
      </c>
      <c r="AZ4" s="7">
        <f t="shared" si="25"/>
        <v>-1</v>
      </c>
      <c r="BA4" s="7">
        <f t="shared" si="26"/>
        <v>-1</v>
      </c>
    </row>
    <row r="5" spans="1:54" x14ac:dyDescent="0.3">
      <c r="B5" s="7">
        <v>0.80051000000000005</v>
      </c>
      <c r="C5" s="7">
        <v>3.1050000000000001E-2</v>
      </c>
      <c r="D5" s="7">
        <v>0.8</v>
      </c>
      <c r="E5" s="7">
        <v>2.4719999999999999E-2</v>
      </c>
      <c r="F5" s="7">
        <v>0.80044000000000004</v>
      </c>
      <c r="G5" s="7">
        <v>2.7830000000000001E-2</v>
      </c>
      <c r="H5" s="7">
        <v>0.8</v>
      </c>
      <c r="I5" s="7">
        <v>4.7960000000000003E-2</v>
      </c>
      <c r="J5" s="7">
        <v>0.80100000000000005</v>
      </c>
      <c r="K5" s="7">
        <v>5.3350000000000002E-2</v>
      </c>
      <c r="L5" s="7">
        <v>0.8</v>
      </c>
      <c r="M5" s="7">
        <v>2.9909999999999999E-2</v>
      </c>
      <c r="N5" s="7">
        <v>0.8</v>
      </c>
      <c r="O5" s="7">
        <v>1.6979999999999999E-2</v>
      </c>
      <c r="P5" s="7">
        <v>0.80044000000000004</v>
      </c>
      <c r="Q5" s="7">
        <v>2.7830000000000001E-2</v>
      </c>
      <c r="S5" s="7">
        <f t="shared" si="16"/>
        <v>7.9641519241266806E-3</v>
      </c>
      <c r="T5" s="7">
        <f t="shared" si="17"/>
        <v>-2.2063560015265164E-2</v>
      </c>
      <c r="U5" s="7">
        <f t="shared" si="18"/>
        <v>-2.2059980875260118E-2</v>
      </c>
      <c r="W5" s="7">
        <f t="shared" si="0"/>
        <v>0.15394310996980712</v>
      </c>
      <c r="X5" s="7">
        <f t="shared" si="1"/>
        <v>0.1648</v>
      </c>
      <c r="Y5" s="7">
        <f t="shared" si="2"/>
        <v>0.19870682841734574</v>
      </c>
      <c r="Z5" s="7">
        <f t="shared" si="3"/>
        <v>0.22838095238095238</v>
      </c>
      <c r="AA5" s="7">
        <f t="shared" si="4"/>
        <v>0.30264595775101577</v>
      </c>
      <c r="AB5" s="7">
        <f t="shared" si="5"/>
        <v>0.19939999999999999</v>
      </c>
      <c r="AC5" s="7">
        <f t="shared" si="6"/>
        <v>0.21224999999999999</v>
      </c>
      <c r="AF5" s="7">
        <v>0.8</v>
      </c>
      <c r="AG5" s="7">
        <f t="shared" si="7"/>
        <v>7.9641519241266806E-3</v>
      </c>
      <c r="AH5" s="7" t="str">
        <f t="shared" si="8"/>
        <v xml:space="preserve"> </v>
      </c>
      <c r="AI5" s="7">
        <f t="shared" si="19"/>
        <v>7.9641519241266806E-3</v>
      </c>
      <c r="AJ5" s="7">
        <f t="shared" si="9"/>
        <v>-2.2063560015265164E-2</v>
      </c>
      <c r="AK5" s="3" t="str">
        <f t="shared" si="10"/>
        <v xml:space="preserve"> </v>
      </c>
      <c r="AL5" s="7">
        <f t="shared" si="20"/>
        <v>-2.2063560015265164E-2</v>
      </c>
      <c r="AM5" s="7" cm="1">
        <f t="array" ref="AM5">_xlfn.IFS($A$14=$A$15, $A$8*W5, $A$14=$A$16, $A$8*X5, $A$14=$A$17, $A$8*Y5, $A$14=$A$18, $A$8*Z5, $A$14=$A$19, $A$8*AA5, $A$14=$A$20, $A$8*AB5, $A$14=$A$21, $A$8*AC5)</f>
        <v>2.9806024262601861E-2</v>
      </c>
      <c r="AN5" s="7">
        <f t="shared" si="21"/>
        <v>-2.2059980875260118E-2</v>
      </c>
      <c r="AO5" s="7">
        <f t="shared" si="11"/>
        <v>0.79934253300308578</v>
      </c>
      <c r="AP5" s="7">
        <f t="shared" si="22"/>
        <v>3.7762924037936657E-2</v>
      </c>
      <c r="AR5" s="7">
        <f t="shared" si="12"/>
        <v>0.8</v>
      </c>
      <c r="AS5" s="7">
        <f t="shared" si="13"/>
        <v>0</v>
      </c>
      <c r="AT5" s="7">
        <f t="shared" si="23"/>
        <v>0.8</v>
      </c>
      <c r="AU5" s="7">
        <f t="shared" si="24"/>
        <v>7.9641519241266806E-3</v>
      </c>
      <c r="AV5" s="7">
        <f t="shared" si="14"/>
        <v>0.79934253300308578</v>
      </c>
      <c r="AW5" s="7">
        <f t="shared" si="15"/>
        <v>3.7762924037936657E-2</v>
      </c>
      <c r="AZ5" s="7">
        <f t="shared" si="25"/>
        <v>-1</v>
      </c>
      <c r="BA5" s="7">
        <f t="shared" si="26"/>
        <v>-1</v>
      </c>
    </row>
    <row r="6" spans="1:54" x14ac:dyDescent="0.3">
      <c r="A6" s="44">
        <f>A1/10</f>
        <v>0.5</v>
      </c>
      <c r="B6" s="7">
        <v>0.75055000000000005</v>
      </c>
      <c r="C6" s="7">
        <v>4.0140000000000002E-2</v>
      </c>
      <c r="D6" s="7">
        <v>0.75</v>
      </c>
      <c r="E6" s="7">
        <v>3.2960000000000003E-2</v>
      </c>
      <c r="F6" s="7">
        <v>0.75044999999999995</v>
      </c>
      <c r="G6" s="7">
        <v>3.4790000000000001E-2</v>
      </c>
      <c r="H6" s="7">
        <v>0.75</v>
      </c>
      <c r="I6" s="7">
        <v>6.2509999999999996E-2</v>
      </c>
      <c r="J6" s="7">
        <v>0.75097999999999998</v>
      </c>
      <c r="K6" s="7">
        <v>6.515E-2</v>
      </c>
      <c r="L6" s="7">
        <v>0.75</v>
      </c>
      <c r="M6" s="7">
        <v>3.7310000000000003E-2</v>
      </c>
      <c r="N6" s="7">
        <v>0.75</v>
      </c>
      <c r="O6" s="7">
        <v>2.1170000000000001E-2</v>
      </c>
      <c r="P6" s="7">
        <v>0.75044999999999995</v>
      </c>
      <c r="Q6" s="7">
        <v>3.4790000000000001E-2</v>
      </c>
      <c r="S6" s="7">
        <f t="shared" si="16"/>
        <v>8.9498417940379171E-3</v>
      </c>
      <c r="T6" s="7">
        <f t="shared" si="17"/>
        <v>-1.7484957628302988E-2</v>
      </c>
      <c r="U6" s="7">
        <f t="shared" si="18"/>
        <v>-1.7483176099519319E-2</v>
      </c>
      <c r="W6" s="7">
        <f t="shared" si="0"/>
        <v>0.20796617085047525</v>
      </c>
      <c r="X6" s="7">
        <f t="shared" si="1"/>
        <v>0.21973333333333336</v>
      </c>
      <c r="Y6" s="7">
        <f t="shared" si="2"/>
        <v>0.25844107879054568</v>
      </c>
      <c r="Z6" s="7">
        <f t="shared" si="3"/>
        <v>0.29766666666666663</v>
      </c>
      <c r="AA6" s="7">
        <f t="shared" si="4"/>
        <v>0.37472498940549487</v>
      </c>
      <c r="AB6" s="7">
        <f t="shared" si="5"/>
        <v>0.24873333333333336</v>
      </c>
      <c r="AC6" s="7">
        <f t="shared" si="6"/>
        <v>0.264625</v>
      </c>
      <c r="AF6" s="7">
        <v>0.75</v>
      </c>
      <c r="AG6" s="7">
        <f t="shared" si="7"/>
        <v>8.9498417940379171E-3</v>
      </c>
      <c r="AH6" s="7" t="str">
        <f t="shared" si="8"/>
        <v xml:space="preserve"> </v>
      </c>
      <c r="AI6" s="7">
        <f t="shared" si="19"/>
        <v>8.9498417940379171E-3</v>
      </c>
      <c r="AJ6" s="7">
        <f t="shared" si="9"/>
        <v>-1.7484957628302988E-2</v>
      </c>
      <c r="AK6" s="3" t="str">
        <f t="shared" si="10"/>
        <v xml:space="preserve"> </v>
      </c>
      <c r="AL6" s="7">
        <f t="shared" si="20"/>
        <v>-1.7484957628302988E-2</v>
      </c>
      <c r="AM6" s="7" cm="1">
        <f t="array" ref="AM6">_xlfn.IFS($A$14=$A$15, $A$8*W6, $A$14=$A$16, $A$8*X6, $A$14=$A$17, $A$8*Y6, $A$14=$A$18, $A$8*Z6, $A$14=$A$19, $A$8*AA6, $A$14=$A$20, $A$8*AB6, $A$14=$A$21, $A$8*AC6)</f>
        <v>3.8766161818581849E-2</v>
      </c>
      <c r="AN6" s="7">
        <f t="shared" si="21"/>
        <v>-1.7483176099519319E-2</v>
      </c>
      <c r="AO6" s="7">
        <f t="shared" si="11"/>
        <v>0.74932227889299019</v>
      </c>
      <c r="AP6" s="7">
        <f t="shared" si="22"/>
        <v>4.7710079102981043E-2</v>
      </c>
      <c r="AR6" s="7">
        <f t="shared" si="12"/>
        <v>0.75</v>
      </c>
      <c r="AS6" s="7">
        <f t="shared" si="13"/>
        <v>0</v>
      </c>
      <c r="AT6" s="7">
        <f t="shared" si="23"/>
        <v>0.75</v>
      </c>
      <c r="AU6" s="7">
        <f t="shared" si="24"/>
        <v>8.9498417940379171E-3</v>
      </c>
      <c r="AV6" s="7">
        <f t="shared" si="14"/>
        <v>0.74932227889299019</v>
      </c>
      <c r="AW6" s="7">
        <f t="shared" si="15"/>
        <v>4.7710079102981043E-2</v>
      </c>
      <c r="AZ6" s="7">
        <f t="shared" si="25"/>
        <v>-1</v>
      </c>
      <c r="BA6" s="7">
        <f t="shared" si="26"/>
        <v>-1</v>
      </c>
    </row>
    <row r="7" spans="1:54" x14ac:dyDescent="0.3">
      <c r="A7" s="44">
        <f>A2/10</f>
        <v>0.2</v>
      </c>
      <c r="B7" s="7">
        <v>0.70052999999999999</v>
      </c>
      <c r="C7" s="7">
        <v>4.9059999999999999E-2</v>
      </c>
      <c r="D7" s="7">
        <v>0.7</v>
      </c>
      <c r="E7" s="7">
        <v>4.113E-2</v>
      </c>
      <c r="F7" s="7">
        <v>0.70043</v>
      </c>
      <c r="G7" s="7">
        <v>4.1279999999999997E-2</v>
      </c>
      <c r="H7" s="7">
        <v>0.7</v>
      </c>
      <c r="I7" s="7">
        <v>7.6100000000000001E-2</v>
      </c>
      <c r="J7" s="7">
        <v>0.70086000000000004</v>
      </c>
      <c r="K7" s="7">
        <v>7.3730000000000004E-2</v>
      </c>
      <c r="L7" s="7">
        <v>0.7</v>
      </c>
      <c r="M7" s="7">
        <v>4.4679999999999997E-2</v>
      </c>
      <c r="N7" s="7">
        <v>0.7</v>
      </c>
      <c r="O7" s="7">
        <v>2.521E-2</v>
      </c>
      <c r="P7" s="7">
        <v>0.70043</v>
      </c>
      <c r="Q7" s="7">
        <v>4.1279999999999997E-2</v>
      </c>
      <c r="S7" s="7">
        <f t="shared" si="16"/>
        <v>9.7222073230416942E-3</v>
      </c>
      <c r="T7" s="7">
        <f t="shared" si="17"/>
        <v>-1.3485164275181004E-2</v>
      </c>
      <c r="U7" s="7">
        <f t="shared" si="18"/>
        <v>-1.3484346940199005E-2</v>
      </c>
      <c r="W7" s="7">
        <f t="shared" si="0"/>
        <v>0.26227579530925149</v>
      </c>
      <c r="X7" s="7">
        <f t="shared" si="1"/>
        <v>0.2742</v>
      </c>
      <c r="Y7" s="7">
        <f t="shared" si="2"/>
        <v>0.31560661933384682</v>
      </c>
      <c r="Z7" s="7">
        <f t="shared" si="3"/>
        <v>0.36238095238095236</v>
      </c>
      <c r="AA7" s="7">
        <f t="shared" si="4"/>
        <v>0.42675741539946993</v>
      </c>
      <c r="AB7" s="7">
        <f t="shared" si="5"/>
        <v>0.29786666666666667</v>
      </c>
      <c r="AC7" s="7">
        <f t="shared" si="6"/>
        <v>0.31512499999999999</v>
      </c>
      <c r="AF7" s="7">
        <v>0.7</v>
      </c>
      <c r="AG7" s="7">
        <f t="shared" si="7"/>
        <v>9.7222073230416942E-3</v>
      </c>
      <c r="AH7" s="7" t="str">
        <f t="shared" si="8"/>
        <v xml:space="preserve"> </v>
      </c>
      <c r="AI7" s="7">
        <f t="shared" si="19"/>
        <v>9.7222073230416942E-3</v>
      </c>
      <c r="AJ7" s="7">
        <f t="shared" si="9"/>
        <v>-1.3485164275181004E-2</v>
      </c>
      <c r="AK7" s="3" t="str">
        <f t="shared" si="10"/>
        <v xml:space="preserve"> </v>
      </c>
      <c r="AL7" s="7">
        <f t="shared" si="20"/>
        <v>-1.3485164275181004E-2</v>
      </c>
      <c r="AM7" s="7" cm="1">
        <f t="array" ref="AM7">_xlfn.IFS($A$14=$A$15, $A$8*W7, $A$14=$A$16, $A$8*X7, $A$14=$A$17, $A$8*Y7, $A$14=$A$18, $A$8*Z7, $A$14=$A$19, $A$8*AA7, $A$14=$A$20, $A$8*AB7, $A$14=$A$21, $A$8*AC7)</f>
        <v>4.7340992900077018E-2</v>
      </c>
      <c r="AN7" s="7">
        <f t="shared" si="21"/>
        <v>-1.3484346940199005E-2</v>
      </c>
      <c r="AO7" s="7">
        <f t="shared" si="11"/>
        <v>0.69936165697238362</v>
      </c>
      <c r="AP7" s="7">
        <f t="shared" si="22"/>
        <v>5.7058896338479145E-2</v>
      </c>
      <c r="AR7" s="7">
        <f t="shared" si="12"/>
        <v>0.7</v>
      </c>
      <c r="AS7" s="7">
        <f t="shared" si="13"/>
        <v>0</v>
      </c>
      <c r="AT7" s="7">
        <f t="shared" si="23"/>
        <v>0.7</v>
      </c>
      <c r="AU7" s="7">
        <f t="shared" si="24"/>
        <v>9.7222073230416942E-3</v>
      </c>
      <c r="AV7" s="7">
        <f t="shared" si="14"/>
        <v>0.69936165697238362</v>
      </c>
      <c r="AW7" s="7">
        <f t="shared" si="15"/>
        <v>5.7058896338479145E-2</v>
      </c>
      <c r="AZ7" s="7">
        <f t="shared" si="25"/>
        <v>-1</v>
      </c>
      <c r="BA7" s="7">
        <f t="shared" si="26"/>
        <v>-1</v>
      </c>
    </row>
    <row r="8" spans="1:54" x14ac:dyDescent="0.3">
      <c r="A8" s="44">
        <f>A3/100</f>
        <v>0.15</v>
      </c>
      <c r="B8" s="7">
        <v>0.65046999999999999</v>
      </c>
      <c r="C8" s="7">
        <v>5.7509999999999999E-2</v>
      </c>
      <c r="D8" s="7">
        <v>0.65</v>
      </c>
      <c r="E8" s="7">
        <v>4.895E-2</v>
      </c>
      <c r="F8" s="7">
        <v>0.65036000000000005</v>
      </c>
      <c r="G8" s="7">
        <v>4.7120000000000002E-2</v>
      </c>
      <c r="H8" s="7">
        <v>0.65</v>
      </c>
      <c r="I8" s="7">
        <v>8.7929999999999994E-2</v>
      </c>
      <c r="J8" s="7">
        <v>0.65068000000000004</v>
      </c>
      <c r="K8" s="7">
        <v>7.9350000000000004E-2</v>
      </c>
      <c r="L8" s="7">
        <v>0.65</v>
      </c>
      <c r="M8" s="7">
        <v>5.1729999999999998E-2</v>
      </c>
      <c r="N8" s="7">
        <v>0.65</v>
      </c>
      <c r="O8" s="7">
        <v>2.8969999999999999E-2</v>
      </c>
      <c r="P8" s="7">
        <v>0.65036000000000005</v>
      </c>
      <c r="Q8" s="7">
        <v>4.7120000000000002E-2</v>
      </c>
      <c r="S8" s="7">
        <f t="shared" si="16"/>
        <v>1.0304433299059584E-2</v>
      </c>
      <c r="T8" s="7">
        <f t="shared" si="17"/>
        <v>-9.8523149985544466E-3</v>
      </c>
      <c r="U8" s="7">
        <f t="shared" si="18"/>
        <v>-9.8519962352512178E-3</v>
      </c>
      <c r="W8" s="7">
        <f t="shared" si="0"/>
        <v>0.31471905148623763</v>
      </c>
      <c r="X8" s="7">
        <f t="shared" si="1"/>
        <v>0.32633333333333336</v>
      </c>
      <c r="Y8" s="7">
        <f t="shared" si="2"/>
        <v>0.36817353466336394</v>
      </c>
      <c r="Z8" s="7">
        <f t="shared" si="3"/>
        <v>0.41871428571428571</v>
      </c>
      <c r="AA8" s="7">
        <f t="shared" si="4"/>
        <v>0.46032611787323008</v>
      </c>
      <c r="AB8" s="7">
        <f t="shared" si="5"/>
        <v>0.34486666666666665</v>
      </c>
      <c r="AC8" s="7">
        <f t="shared" si="6"/>
        <v>0.36212499999999997</v>
      </c>
      <c r="AF8" s="7">
        <v>0.65</v>
      </c>
      <c r="AG8" s="7">
        <f t="shared" si="7"/>
        <v>1.0304433299059584E-2</v>
      </c>
      <c r="AH8" s="7" t="str">
        <f t="shared" si="8"/>
        <v xml:space="preserve"> </v>
      </c>
      <c r="AI8" s="7">
        <f t="shared" si="19"/>
        <v>1.0304433299059584E-2</v>
      </c>
      <c r="AJ8" s="7">
        <f t="shared" si="9"/>
        <v>-9.8523149985544466E-3</v>
      </c>
      <c r="AK8" s="3" t="str">
        <f t="shared" si="10"/>
        <v xml:space="preserve"> </v>
      </c>
      <c r="AL8" s="7">
        <f t="shared" si="20"/>
        <v>-9.8523149985544466E-3</v>
      </c>
      <c r="AM8" s="7" cm="1">
        <f t="array" ref="AM8">_xlfn.IFS($A$14=$A$15, $A$8*W8, $A$14=$A$16, $A$8*X8, $A$14=$A$17, $A$8*Y8, $A$14=$A$18, $A$8*Z8, $A$14=$A$19, $A$8*AA8, $A$14=$A$20, $A$8*AB8, $A$14=$A$21, $A$8*AC8)</f>
        <v>5.5226030199504589E-2</v>
      </c>
      <c r="AN8" s="7">
        <f t="shared" si="21"/>
        <v>-9.8519962352512178E-3</v>
      </c>
      <c r="AO8" s="7">
        <f t="shared" si="11"/>
        <v>0.64945592216001813</v>
      </c>
      <c r="AP8" s="7">
        <f t="shared" si="22"/>
        <v>6.5527783350470215E-2</v>
      </c>
      <c r="AR8" s="7">
        <f t="shared" si="12"/>
        <v>0.65</v>
      </c>
      <c r="AS8" s="7">
        <f t="shared" si="13"/>
        <v>0</v>
      </c>
      <c r="AT8" s="7">
        <f t="shared" si="23"/>
        <v>0.65</v>
      </c>
      <c r="AU8" s="7">
        <f t="shared" si="24"/>
        <v>1.0304433299059584E-2</v>
      </c>
      <c r="AV8" s="7">
        <f t="shared" si="14"/>
        <v>0.64945592216001813</v>
      </c>
      <c r="AW8" s="7">
        <f t="shared" si="15"/>
        <v>6.5527783350470215E-2</v>
      </c>
      <c r="AZ8" s="7">
        <f t="shared" si="25"/>
        <v>-1</v>
      </c>
      <c r="BA8" s="7">
        <f t="shared" si="26"/>
        <v>-1</v>
      </c>
    </row>
    <row r="9" spans="1:54" x14ac:dyDescent="0.3">
      <c r="A9" s="34">
        <f>IF(LEN(A14)=2, A4/10, 0.8)</f>
        <v>1</v>
      </c>
      <c r="B9" s="7">
        <v>0.60035000000000005</v>
      </c>
      <c r="C9" s="7">
        <v>6.5240000000000006E-2</v>
      </c>
      <c r="D9" s="7">
        <v>0.6</v>
      </c>
      <c r="E9" s="7">
        <v>5.62E-2</v>
      </c>
      <c r="F9" s="7">
        <v>0.60026999999999997</v>
      </c>
      <c r="G9" s="7">
        <v>5.2170000000000001E-2</v>
      </c>
      <c r="H9" s="7">
        <v>0.6</v>
      </c>
      <c r="I9" s="7">
        <v>9.6920000000000006E-2</v>
      </c>
      <c r="J9" s="7">
        <v>0.60046999999999995</v>
      </c>
      <c r="K9" s="7">
        <v>8.3019999999999997E-2</v>
      </c>
      <c r="L9" s="7">
        <v>0.6</v>
      </c>
      <c r="M9" s="7">
        <v>5.8200000000000002E-2</v>
      </c>
      <c r="N9" s="7">
        <v>0.6</v>
      </c>
      <c r="O9" s="7">
        <v>3.2340000000000001E-2</v>
      </c>
      <c r="P9" s="7">
        <v>0.60026999999999997</v>
      </c>
      <c r="Q9" s="7">
        <v>5.2170000000000001E-2</v>
      </c>
      <c r="S9" s="7">
        <f t="shared" si="16"/>
        <v>1.0711313356303983E-2</v>
      </c>
      <c r="T9" s="7">
        <f t="shared" si="17"/>
        <v>-6.4531776206704075E-3</v>
      </c>
      <c r="U9" s="7">
        <f t="shared" si="18"/>
        <v>-6.4530880452714351E-3</v>
      </c>
      <c r="W9" s="7">
        <f t="shared" si="0"/>
        <v>0.36353214676396894</v>
      </c>
      <c r="X9" s="7">
        <f t="shared" si="1"/>
        <v>0.3746666666666667</v>
      </c>
      <c r="Y9" s="7">
        <f t="shared" si="2"/>
        <v>0.41459549877146823</v>
      </c>
      <c r="Z9" s="7">
        <f t="shared" si="3"/>
        <v>0.46152380952380956</v>
      </c>
      <c r="AA9" s="7">
        <f t="shared" si="4"/>
        <v>0.48206794814312448</v>
      </c>
      <c r="AB9" s="7">
        <f t="shared" si="5"/>
        <v>0.38800000000000001</v>
      </c>
      <c r="AC9" s="7">
        <f t="shared" si="6"/>
        <v>0.40425</v>
      </c>
      <c r="AF9" s="7">
        <v>0.6</v>
      </c>
      <c r="AG9" s="7">
        <f t="shared" si="7"/>
        <v>1.0711313356303983E-2</v>
      </c>
      <c r="AH9" s="7" t="str">
        <f t="shared" si="8"/>
        <v xml:space="preserve"> </v>
      </c>
      <c r="AI9" s="7">
        <f t="shared" si="19"/>
        <v>1.0711313356303983E-2</v>
      </c>
      <c r="AJ9" s="7">
        <f t="shared" si="9"/>
        <v>-6.4531776206704075E-3</v>
      </c>
      <c r="AK9" s="3" t="str">
        <f t="shared" si="10"/>
        <v xml:space="preserve"> </v>
      </c>
      <c r="AL9" s="7">
        <f t="shared" si="20"/>
        <v>-6.4531776206704075E-3</v>
      </c>
      <c r="AM9" s="7" cm="1">
        <f t="array" ref="AM9">_xlfn.IFS($A$14=$A$15, $A$8*W9, $A$14=$A$16, $A$8*X9, $A$14=$A$17, $A$8*Y9, $A$14=$A$18, $A$8*Z9, $A$14=$A$19, $A$8*AA9, $A$14=$A$20, $A$8*AB9, $A$14=$A$21, $A$8*AC9)</f>
        <v>6.2189324815720232E-2</v>
      </c>
      <c r="AN9" s="7">
        <f t="shared" si="21"/>
        <v>-6.4530880452714351E-3</v>
      </c>
      <c r="AO9" s="7">
        <f t="shared" si="11"/>
        <v>0.59959868959675278</v>
      </c>
      <c r="AP9" s="7">
        <f t="shared" si="22"/>
        <v>7.2899343321848012E-2</v>
      </c>
      <c r="AR9" s="7">
        <f t="shared" si="12"/>
        <v>0.6</v>
      </c>
      <c r="AS9" s="7">
        <f t="shared" si="13"/>
        <v>0</v>
      </c>
      <c r="AT9" s="7">
        <f t="shared" si="23"/>
        <v>0.6</v>
      </c>
      <c r="AU9" s="7">
        <f t="shared" si="24"/>
        <v>1.0711313356303983E-2</v>
      </c>
      <c r="AV9" s="7">
        <f t="shared" si="14"/>
        <v>0.59959868959675278</v>
      </c>
      <c r="AW9" s="7">
        <f t="shared" si="15"/>
        <v>7.2899343321848012E-2</v>
      </c>
      <c r="AZ9" s="7">
        <f t="shared" si="25"/>
        <v>-1</v>
      </c>
      <c r="BA9" s="7">
        <f t="shared" si="26"/>
        <v>-1</v>
      </c>
    </row>
    <row r="10" spans="1:54" x14ac:dyDescent="0.3">
      <c r="B10" s="7">
        <v>0.55018999999999996</v>
      </c>
      <c r="C10" s="7">
        <v>7.2029999999999997E-2</v>
      </c>
      <c r="D10" s="7">
        <v>0.55000000000000004</v>
      </c>
      <c r="E10" s="7">
        <v>6.2659999999999993E-2</v>
      </c>
      <c r="F10" s="7">
        <v>0.55013999999999996</v>
      </c>
      <c r="G10" s="7">
        <v>5.6250000000000001E-2</v>
      </c>
      <c r="H10" s="7">
        <v>0.55000000000000004</v>
      </c>
      <c r="I10" s="7">
        <v>0.10186000000000001</v>
      </c>
      <c r="J10" s="7">
        <v>0.55023999999999995</v>
      </c>
      <c r="K10" s="7">
        <v>8.516E-2</v>
      </c>
      <c r="L10" s="7">
        <v>0.55000000000000004</v>
      </c>
      <c r="M10" s="7">
        <v>6.3869999999999996E-2</v>
      </c>
      <c r="N10" s="7">
        <v>0.55000000000000004</v>
      </c>
      <c r="O10" s="7">
        <v>3.524E-2</v>
      </c>
      <c r="P10" s="7">
        <v>0.55013999999999996</v>
      </c>
      <c r="Q10" s="7">
        <v>5.6250000000000001E-2</v>
      </c>
      <c r="S10" s="7">
        <f t="shared" si="16"/>
        <v>1.0952069373591054E-2</v>
      </c>
      <c r="T10" s="7">
        <f t="shared" si="17"/>
        <v>-3.1937733116489753E-3</v>
      </c>
      <c r="U10" s="7">
        <f t="shared" si="18"/>
        <v>-3.1937624526860667E-3</v>
      </c>
      <c r="W10" s="7">
        <f t="shared" si="0"/>
        <v>0.40718828085867392</v>
      </c>
      <c r="X10" s="7">
        <f t="shared" si="1"/>
        <v>0.41773333333333329</v>
      </c>
      <c r="Y10" s="7">
        <f t="shared" si="2"/>
        <v>0.45298161649523261</v>
      </c>
      <c r="Z10" s="7">
        <f t="shared" si="3"/>
        <v>0.48504761904761906</v>
      </c>
      <c r="AA10" s="7">
        <f t="shared" si="4"/>
        <v>0.49472206061909552</v>
      </c>
      <c r="AB10" s="7">
        <f t="shared" si="5"/>
        <v>0.42580000000000001</v>
      </c>
      <c r="AC10" s="7">
        <f t="shared" si="6"/>
        <v>0.4405</v>
      </c>
      <c r="AF10" s="7">
        <v>0.55000000000000004</v>
      </c>
      <c r="AG10" s="7">
        <f t="shared" si="7"/>
        <v>1.0952069373591054E-2</v>
      </c>
      <c r="AH10" s="7" t="str">
        <f t="shared" si="8"/>
        <v xml:space="preserve"> </v>
      </c>
      <c r="AI10" s="7">
        <f t="shared" si="19"/>
        <v>1.0952069373591054E-2</v>
      </c>
      <c r="AJ10" s="7">
        <f t="shared" si="9"/>
        <v>-3.1937733116489753E-3</v>
      </c>
      <c r="AK10" s="3" t="str">
        <f t="shared" si="10"/>
        <v xml:space="preserve"> </v>
      </c>
      <c r="AL10" s="7">
        <f t="shared" si="20"/>
        <v>-3.1937733116489753E-3</v>
      </c>
      <c r="AM10" s="7" cm="1">
        <f t="array" ref="AM10">_xlfn.IFS($A$14=$A$15, $A$8*W10, $A$14=$A$16, $A$8*X10, $A$14=$A$17, $A$8*Y10, $A$14=$A$18, $A$8*Z10, $A$14=$A$19, $A$8*AA10, $A$14=$A$20, $A$8*AB10, $A$14=$A$21, $A$8*AC10)</f>
        <v>6.7947242474284894E-2</v>
      </c>
      <c r="AN10" s="7">
        <f t="shared" si="21"/>
        <v>-3.1937624526860667E-3</v>
      </c>
      <c r="AO10" s="7">
        <f t="shared" si="11"/>
        <v>0.54978299301713873</v>
      </c>
      <c r="AP10" s="7">
        <f t="shared" si="22"/>
        <v>7.8898965313204478E-2</v>
      </c>
      <c r="AR10" s="7">
        <f t="shared" si="12"/>
        <v>0.55000000000000004</v>
      </c>
      <c r="AS10" s="7">
        <f t="shared" si="13"/>
        <v>0</v>
      </c>
      <c r="AT10" s="7">
        <f t="shared" si="23"/>
        <v>0.55000000000000004</v>
      </c>
      <c r="AU10" s="7">
        <f t="shared" si="24"/>
        <v>1.0952069373591054E-2</v>
      </c>
      <c r="AV10" s="7">
        <f t="shared" si="14"/>
        <v>0.54978299301713873</v>
      </c>
      <c r="AW10" s="7">
        <f t="shared" si="15"/>
        <v>7.8898965313204478E-2</v>
      </c>
      <c r="AZ10" s="7">
        <f t="shared" si="25"/>
        <v>-1</v>
      </c>
      <c r="BA10" s="7">
        <f t="shared" si="26"/>
        <v>-1</v>
      </c>
    </row>
    <row r="11" spans="1:54" x14ac:dyDescent="0.3">
      <c r="A11" s="10">
        <f>RADIANS('naca_6-series_plot'!E4)</f>
        <v>0</v>
      </c>
      <c r="B11" s="7">
        <v>0.5</v>
      </c>
      <c r="C11" s="7">
        <v>7.7679999999999999E-2</v>
      </c>
      <c r="D11" s="7">
        <v>0.5</v>
      </c>
      <c r="E11" s="7">
        <v>6.8099999999999994E-2</v>
      </c>
      <c r="F11" s="7">
        <v>0.5</v>
      </c>
      <c r="G11" s="7">
        <v>5.9150000000000001E-2</v>
      </c>
      <c r="H11" s="7">
        <v>0.5</v>
      </c>
      <c r="I11" s="7">
        <v>0.10434</v>
      </c>
      <c r="J11" s="7">
        <v>0.5</v>
      </c>
      <c r="K11" s="7">
        <v>8.5999999999999993E-2</v>
      </c>
      <c r="L11" s="7">
        <v>0.5</v>
      </c>
      <c r="M11" s="7">
        <v>6.8580000000000002E-2</v>
      </c>
      <c r="N11" s="7">
        <v>0.5</v>
      </c>
      <c r="O11" s="7">
        <v>3.7569999999999999E-2</v>
      </c>
      <c r="P11" s="7">
        <v>0.5</v>
      </c>
      <c r="Q11" s="7">
        <v>5.9150000000000001E-2</v>
      </c>
      <c r="S11" s="7">
        <f t="shared" si="16"/>
        <v>1.103178000763258E-2</v>
      </c>
      <c r="T11" s="7">
        <f t="shared" si="17"/>
        <v>0</v>
      </c>
      <c r="U11" s="7">
        <f t="shared" si="18"/>
        <v>0</v>
      </c>
      <c r="W11" s="7">
        <f t="shared" si="0"/>
        <v>0.44432146661578281</v>
      </c>
      <c r="X11" s="7">
        <f t="shared" si="1"/>
        <v>0.45399999999999996</v>
      </c>
      <c r="Y11" s="7">
        <f t="shared" si="2"/>
        <v>0.48118219992367423</v>
      </c>
      <c r="Z11" s="7">
        <f t="shared" si="3"/>
        <v>0.49685714285714289</v>
      </c>
      <c r="AA11" s="7">
        <f t="shared" si="4"/>
        <v>0.49978813328244942</v>
      </c>
      <c r="AB11" s="7">
        <f t="shared" si="5"/>
        <v>0.45720000000000005</v>
      </c>
      <c r="AC11" s="7">
        <f t="shared" si="6"/>
        <v>0.46962500000000001</v>
      </c>
      <c r="AF11" s="7">
        <v>0.5</v>
      </c>
      <c r="AG11" s="7">
        <f t="shared" si="7"/>
        <v>1.103178000763258E-2</v>
      </c>
      <c r="AH11" s="7" t="str">
        <f t="shared" si="8"/>
        <v xml:space="preserve"> </v>
      </c>
      <c r="AI11" s="7">
        <f t="shared" si="19"/>
        <v>1.103178000763258E-2</v>
      </c>
      <c r="AJ11" s="7">
        <f t="shared" si="9"/>
        <v>0</v>
      </c>
      <c r="AK11" s="3" t="str">
        <f t="shared" si="10"/>
        <v xml:space="preserve"> </v>
      </c>
      <c r="AL11" s="7">
        <f t="shared" si="20"/>
        <v>0</v>
      </c>
      <c r="AM11" s="7" cm="1">
        <f t="array" ref="AM11">_xlfn.IFS($A$14=$A$15, $A$8*W11, $A$14=$A$16, $A$8*X11, $A$14=$A$17, $A$8*Y11, $A$14=$A$18, $A$8*Z11, $A$14=$A$19, $A$8*AA11, $A$14=$A$20, $A$8*AB11, $A$14=$A$21, $A$8*AC11)</f>
        <v>7.2177329988551128E-2</v>
      </c>
      <c r="AN11" s="7">
        <f t="shared" si="21"/>
        <v>0</v>
      </c>
      <c r="AO11" s="7">
        <f t="shared" si="11"/>
        <v>0.5</v>
      </c>
      <c r="AP11" s="7">
        <f t="shared" si="22"/>
        <v>8.3209109996183708E-2</v>
      </c>
      <c r="AR11" s="7">
        <f t="shared" si="12"/>
        <v>0.5</v>
      </c>
      <c r="AS11" s="7">
        <f t="shared" si="13"/>
        <v>0</v>
      </c>
      <c r="AT11" s="7">
        <f t="shared" si="23"/>
        <v>0.5</v>
      </c>
      <c r="AU11" s="7">
        <f t="shared" si="24"/>
        <v>1.103178000763258E-2</v>
      </c>
      <c r="AV11" s="7">
        <f t="shared" si="14"/>
        <v>0.5</v>
      </c>
      <c r="AW11" s="7">
        <f t="shared" si="15"/>
        <v>8.3209109996183708E-2</v>
      </c>
      <c r="AZ11" s="7">
        <f t="shared" si="25"/>
        <v>-1</v>
      </c>
      <c r="BA11" s="7">
        <f t="shared" si="26"/>
        <v>-1</v>
      </c>
    </row>
    <row r="12" spans="1:54" x14ac:dyDescent="0.3">
      <c r="A12" s="20">
        <f>'naca_6-series_plot'!E6</f>
        <v>1</v>
      </c>
      <c r="B12" s="7">
        <v>0.44977</v>
      </c>
      <c r="C12" s="7">
        <v>8.1939999999999999E-2</v>
      </c>
      <c r="D12" s="7">
        <v>0.45</v>
      </c>
      <c r="E12" s="7">
        <v>7.2239999999999999E-2</v>
      </c>
      <c r="F12" s="7">
        <v>0.44984000000000002</v>
      </c>
      <c r="G12" s="7">
        <v>6.0580000000000002E-2</v>
      </c>
      <c r="H12" s="7">
        <v>0.45</v>
      </c>
      <c r="I12" s="7">
        <v>0.105</v>
      </c>
      <c r="J12" s="7">
        <v>0.44975999999999999</v>
      </c>
      <c r="K12" s="7">
        <v>8.5699999999999998E-2</v>
      </c>
      <c r="L12" s="7">
        <v>0.45</v>
      </c>
      <c r="M12" s="7">
        <v>7.2150000000000006E-2</v>
      </c>
      <c r="N12" s="7">
        <v>0.45</v>
      </c>
      <c r="O12" s="7">
        <v>3.9210000000000002E-2</v>
      </c>
      <c r="P12" s="7">
        <v>0.44984000000000002</v>
      </c>
      <c r="Q12" s="7">
        <v>6.0580000000000002E-2</v>
      </c>
      <c r="S12" s="7">
        <f t="shared" si="16"/>
        <v>1.0952069373591054E-2</v>
      </c>
      <c r="T12" s="7">
        <f t="shared" si="17"/>
        <v>3.1937733116489736E-3</v>
      </c>
      <c r="U12" s="7">
        <f t="shared" si="18"/>
        <v>3.193762452686065E-3</v>
      </c>
      <c r="W12" s="7">
        <f t="shared" si="0"/>
        <v>0.47325528447069054</v>
      </c>
      <c r="X12" s="7">
        <f t="shared" si="1"/>
        <v>0.48160000000000003</v>
      </c>
      <c r="Y12" s="7">
        <f t="shared" si="2"/>
        <v>0.49628183732873893</v>
      </c>
      <c r="Z12" s="7">
        <f t="shared" si="3"/>
        <v>0.5</v>
      </c>
      <c r="AA12" s="7">
        <f t="shared" si="4"/>
        <v>0.49832207897938702</v>
      </c>
      <c r="AB12" s="7">
        <f t="shared" si="5"/>
        <v>0.48100000000000004</v>
      </c>
      <c r="AC12" s="7">
        <f t="shared" si="6"/>
        <v>0.49012500000000003</v>
      </c>
      <c r="AF12" s="7">
        <v>0.45</v>
      </c>
      <c r="AG12" s="7">
        <f t="shared" si="7"/>
        <v>1.0952069373591054E-2</v>
      </c>
      <c r="AH12" s="7" t="str">
        <f t="shared" si="8"/>
        <v xml:space="preserve"> </v>
      </c>
      <c r="AI12" s="7">
        <f t="shared" si="19"/>
        <v>1.0952069373591054E-2</v>
      </c>
      <c r="AJ12" s="7">
        <f t="shared" si="9"/>
        <v>3.1937733116489736E-3</v>
      </c>
      <c r="AK12" s="3" t="str">
        <f t="shared" si="10"/>
        <v xml:space="preserve"> </v>
      </c>
      <c r="AL12" s="7">
        <f t="shared" si="20"/>
        <v>3.1937733116489736E-3</v>
      </c>
      <c r="AM12" s="7" cm="1">
        <f t="array" ref="AM12">_xlfn.IFS($A$14=$A$15, $A$8*W12, $A$14=$A$16, $A$8*X12, $A$14=$A$17, $A$8*Y12, $A$14=$A$18, $A$8*Z12, $A$14=$A$19, $A$8*AA12, $A$14=$A$20, $A$8*AB12, $A$14=$A$21, $A$8*AC12)</f>
        <v>7.4442275599310839E-2</v>
      </c>
      <c r="AN12" s="7">
        <f t="shared" si="21"/>
        <v>3.193762452686065E-3</v>
      </c>
      <c r="AO12" s="7">
        <f t="shared" si="11"/>
        <v>0.45023775054052051</v>
      </c>
      <c r="AP12" s="7">
        <f t="shared" si="22"/>
        <v>8.5393965313204465E-2</v>
      </c>
      <c r="AR12" s="7">
        <f t="shared" si="12"/>
        <v>0.45</v>
      </c>
      <c r="AS12" s="7">
        <f t="shared" si="13"/>
        <v>0</v>
      </c>
      <c r="AT12" s="7">
        <f t="shared" si="23"/>
        <v>0.45</v>
      </c>
      <c r="AU12" s="7">
        <f t="shared" si="24"/>
        <v>1.0952069373591054E-2</v>
      </c>
      <c r="AV12" s="7">
        <f t="shared" si="14"/>
        <v>0.45023775054052051</v>
      </c>
      <c r="AW12" s="7">
        <f t="shared" si="15"/>
        <v>8.5393965313204465E-2</v>
      </c>
      <c r="AZ12" s="7">
        <f t="shared" si="25"/>
        <v>-1</v>
      </c>
      <c r="BA12" s="7">
        <f t="shared" si="26"/>
        <v>-1</v>
      </c>
    </row>
    <row r="13" spans="1:54" x14ac:dyDescent="0.3">
      <c r="B13" s="7">
        <v>0.39951999999999999</v>
      </c>
      <c r="C13" s="7">
        <v>8.4570000000000006E-2</v>
      </c>
      <c r="D13" s="7">
        <v>0.4</v>
      </c>
      <c r="E13" s="7">
        <v>7.4730000000000005E-2</v>
      </c>
      <c r="F13" s="7">
        <v>0.39967999999999998</v>
      </c>
      <c r="G13" s="7">
        <v>6.0670000000000002E-2</v>
      </c>
      <c r="H13" s="7">
        <v>0.4</v>
      </c>
      <c r="I13" s="7">
        <v>0.10407</v>
      </c>
      <c r="J13" s="7">
        <v>0.39953</v>
      </c>
      <c r="K13" s="7">
        <v>8.43E-2</v>
      </c>
      <c r="L13" s="7">
        <v>0.4</v>
      </c>
      <c r="M13" s="7">
        <v>7.4349999999999999E-2</v>
      </c>
      <c r="N13" s="7">
        <v>0.4</v>
      </c>
      <c r="O13" s="7">
        <v>3.9980000000000002E-2</v>
      </c>
      <c r="P13" s="7">
        <v>0.39967999999999998</v>
      </c>
      <c r="Q13" s="7">
        <v>6.0670000000000002E-2</v>
      </c>
      <c r="S13" s="7">
        <f t="shared" si="16"/>
        <v>1.0711313356303983E-2</v>
      </c>
      <c r="T13" s="7">
        <f t="shared" si="17"/>
        <v>6.4531776206704075E-3</v>
      </c>
      <c r="U13" s="7">
        <f t="shared" si="18"/>
        <v>6.4530880452714351E-3</v>
      </c>
      <c r="W13" s="7">
        <f t="shared" si="0"/>
        <v>0.49240149663230853</v>
      </c>
      <c r="X13" s="7">
        <f t="shared" si="1"/>
        <v>0.49820000000000003</v>
      </c>
      <c r="Y13" s="7">
        <f t="shared" si="2"/>
        <v>0.49959726860185255</v>
      </c>
      <c r="Z13" s="7">
        <f t="shared" si="3"/>
        <v>0.49557142857142855</v>
      </c>
      <c r="AA13" s="7">
        <f t="shared" si="4"/>
        <v>0.49060145915354747</v>
      </c>
      <c r="AB13" s="7">
        <f t="shared" si="5"/>
        <v>0.4956666666666667</v>
      </c>
      <c r="AC13" s="7">
        <f t="shared" si="6"/>
        <v>0.49975000000000003</v>
      </c>
      <c r="AF13" s="7">
        <v>0.4</v>
      </c>
      <c r="AG13" s="7">
        <f t="shared" si="7"/>
        <v>1.0711313356303983E-2</v>
      </c>
      <c r="AH13" s="7" t="str">
        <f t="shared" si="8"/>
        <v xml:space="preserve"> </v>
      </c>
      <c r="AI13" s="7">
        <f t="shared" si="19"/>
        <v>1.0711313356303983E-2</v>
      </c>
      <c r="AJ13" s="7">
        <f t="shared" si="9"/>
        <v>6.4531776206704075E-3</v>
      </c>
      <c r="AK13" s="3" t="str">
        <f t="shared" si="10"/>
        <v xml:space="preserve"> </v>
      </c>
      <c r="AL13" s="7">
        <f t="shared" si="20"/>
        <v>6.4531776206704075E-3</v>
      </c>
      <c r="AM13" s="7" cm="1">
        <f t="array" ref="AM13">_xlfn.IFS($A$14=$A$15, $A$8*W13, $A$14=$A$16, $A$8*X13, $A$14=$A$17, $A$8*Y13, $A$14=$A$18, $A$8*Z13, $A$14=$A$19, $A$8*AA13, $A$14=$A$20, $A$8*AB13, $A$14=$A$21, $A$8*AC13)</f>
        <v>7.4939590290277885E-2</v>
      </c>
      <c r="AN13" s="7">
        <f t="shared" si="21"/>
        <v>6.4530880452714351E-3</v>
      </c>
      <c r="AO13" s="7">
        <f t="shared" si="11"/>
        <v>0.40048358841791082</v>
      </c>
      <c r="AP13" s="7">
        <f t="shared" si="22"/>
        <v>8.5649343321848009E-2</v>
      </c>
      <c r="AR13" s="7">
        <f t="shared" si="12"/>
        <v>0.4</v>
      </c>
      <c r="AS13" s="7">
        <f t="shared" si="13"/>
        <v>0</v>
      </c>
      <c r="AT13" s="7">
        <f t="shared" si="23"/>
        <v>0.4</v>
      </c>
      <c r="AU13" s="7">
        <f t="shared" si="24"/>
        <v>1.0711313356303983E-2</v>
      </c>
      <c r="AV13" s="7">
        <f t="shared" si="14"/>
        <v>0.40048358841791082</v>
      </c>
      <c r="AW13" s="7">
        <f t="shared" si="15"/>
        <v>8.5649343321848009E-2</v>
      </c>
      <c r="AZ13" s="7">
        <f t="shared" si="25"/>
        <v>-1</v>
      </c>
      <c r="BA13" s="7">
        <f t="shared" si="26"/>
        <v>-1</v>
      </c>
    </row>
    <row r="14" spans="1:54" x14ac:dyDescent="0.3">
      <c r="A14" s="45">
        <f>'naca_6-series_plot'!E2</f>
        <v>65</v>
      </c>
      <c r="B14" s="7">
        <v>0.34926000000000001</v>
      </c>
      <c r="C14" s="7">
        <v>8.5300000000000001E-2</v>
      </c>
      <c r="D14" s="7">
        <v>0.35</v>
      </c>
      <c r="E14" s="7">
        <v>7.4819999999999998E-2</v>
      </c>
      <c r="F14" s="7">
        <v>0.34950999999999999</v>
      </c>
      <c r="G14" s="7">
        <v>5.9540000000000003E-2</v>
      </c>
      <c r="H14" s="7">
        <v>0.35</v>
      </c>
      <c r="I14" s="7">
        <v>0.10154000000000001</v>
      </c>
      <c r="J14" s="7">
        <v>0.3493</v>
      </c>
      <c r="K14" s="7">
        <v>8.1850000000000006E-2</v>
      </c>
      <c r="L14" s="7">
        <v>0.35</v>
      </c>
      <c r="M14" s="7">
        <v>7.4959999999999999E-2</v>
      </c>
      <c r="N14" s="7">
        <v>0.35</v>
      </c>
      <c r="O14" s="7">
        <v>3.9719999999999998E-2</v>
      </c>
      <c r="P14" s="7">
        <v>0.34950999999999999</v>
      </c>
      <c r="Q14" s="7">
        <v>5.9540000000000003E-2</v>
      </c>
      <c r="S14" s="7">
        <f t="shared" si="16"/>
        <v>1.0304433299059584E-2</v>
      </c>
      <c r="T14" s="7">
        <f t="shared" si="17"/>
        <v>9.8523149985544466E-3</v>
      </c>
      <c r="U14" s="7">
        <f t="shared" si="18"/>
        <v>9.8519962352512178E-3</v>
      </c>
      <c r="W14" s="7">
        <f t="shared" si="0"/>
        <v>0.49999470967737863</v>
      </c>
      <c r="X14" s="7">
        <f t="shared" si="1"/>
        <v>0.49880000000000002</v>
      </c>
      <c r="Y14" s="7">
        <f t="shared" si="2"/>
        <v>0.49237956244677372</v>
      </c>
      <c r="Z14" s="7">
        <f t="shared" si="3"/>
        <v>0.48352380952380952</v>
      </c>
      <c r="AA14" s="7">
        <f t="shared" si="4"/>
        <v>0.47699359342119169</v>
      </c>
      <c r="AB14" s="7">
        <f t="shared" si="5"/>
        <v>0.49973333333333336</v>
      </c>
      <c r="AC14" s="7">
        <f t="shared" si="6"/>
        <v>0.4965</v>
      </c>
      <c r="AF14" s="7">
        <v>0.35</v>
      </c>
      <c r="AG14" s="7">
        <f t="shared" si="7"/>
        <v>1.0304433299059584E-2</v>
      </c>
      <c r="AH14" s="7" t="str">
        <f t="shared" si="8"/>
        <v xml:space="preserve"> </v>
      </c>
      <c r="AI14" s="7">
        <f t="shared" si="19"/>
        <v>1.0304433299059584E-2</v>
      </c>
      <c r="AJ14" s="7">
        <f t="shared" si="9"/>
        <v>9.8523149985544466E-3</v>
      </c>
      <c r="AK14" s="3" t="str">
        <f t="shared" si="10"/>
        <v xml:space="preserve"> </v>
      </c>
      <c r="AL14" s="7">
        <f t="shared" si="20"/>
        <v>9.8523149985544466E-3</v>
      </c>
      <c r="AM14" s="7" cm="1">
        <f t="array" ref="AM14">_xlfn.IFS($A$14=$A$15, $A$8*W14, $A$14=$A$16, $A$8*X14, $A$14=$A$17, $A$8*Y14, $A$14=$A$18, $A$8*Z14, $A$14=$A$19, $A$8*AA14, $A$14=$A$20, $A$8*AB14, $A$14=$A$21, $A$8*AC14)</f>
        <v>7.3856934367016056E-2</v>
      </c>
      <c r="AN14" s="7">
        <f t="shared" si="21"/>
        <v>9.8519962352512178E-3</v>
      </c>
      <c r="AO14" s="7">
        <f t="shared" si="11"/>
        <v>0.350727626468405</v>
      </c>
      <c r="AP14" s="7">
        <f t="shared" si="22"/>
        <v>8.4157783350470208E-2</v>
      </c>
      <c r="AR14" s="7">
        <f t="shared" si="12"/>
        <v>0.35</v>
      </c>
      <c r="AS14" s="7">
        <f t="shared" si="13"/>
        <v>0</v>
      </c>
      <c r="AT14" s="7">
        <f t="shared" si="23"/>
        <v>0.35</v>
      </c>
      <c r="AU14" s="7">
        <f t="shared" si="24"/>
        <v>1.0304433299059584E-2</v>
      </c>
      <c r="AV14" s="7">
        <f t="shared" si="14"/>
        <v>0.350727626468405</v>
      </c>
      <c r="AW14" s="7">
        <f t="shared" si="15"/>
        <v>8.4157783350470208E-2</v>
      </c>
      <c r="AZ14" s="7">
        <f t="shared" si="25"/>
        <v>-1</v>
      </c>
      <c r="BA14" s="7">
        <f t="shared" si="26"/>
        <v>-1</v>
      </c>
    </row>
    <row r="15" spans="1:54" x14ac:dyDescent="0.3">
      <c r="A15" s="46">
        <v>63</v>
      </c>
      <c r="B15" s="7">
        <v>0.29899999999999999</v>
      </c>
      <c r="C15" s="7">
        <v>8.3919999999999995E-2</v>
      </c>
      <c r="D15" s="7">
        <v>0.3</v>
      </c>
      <c r="E15" s="7">
        <v>7.3190000000000005E-2</v>
      </c>
      <c r="F15" s="7">
        <v>0.29936000000000001</v>
      </c>
      <c r="G15" s="7">
        <v>5.7320000000000003E-2</v>
      </c>
      <c r="H15" s="7">
        <v>0.3</v>
      </c>
      <c r="I15" s="7">
        <v>9.7379999999999994E-2</v>
      </c>
      <c r="J15" s="7">
        <v>0.29908000000000001</v>
      </c>
      <c r="K15" s="7">
        <v>7.825E-2</v>
      </c>
      <c r="L15" s="7">
        <v>0.3</v>
      </c>
      <c r="M15" s="7">
        <v>7.3840000000000003E-2</v>
      </c>
      <c r="N15" s="7">
        <v>0.3</v>
      </c>
      <c r="O15" s="7">
        <v>3.866E-2</v>
      </c>
      <c r="P15" s="7">
        <v>0.29936000000000001</v>
      </c>
      <c r="Q15" s="7">
        <v>5.7320000000000003E-2</v>
      </c>
      <c r="S15" s="7">
        <f t="shared" si="16"/>
        <v>9.7222073230416942E-3</v>
      </c>
      <c r="T15" s="7">
        <f t="shared" si="17"/>
        <v>1.3485164275181009E-2</v>
      </c>
      <c r="U15" s="7">
        <f t="shared" si="18"/>
        <v>1.348434694019901E-2</v>
      </c>
      <c r="W15" s="7">
        <f t="shared" si="0"/>
        <v>0.49469692527864817</v>
      </c>
      <c r="X15" s="7">
        <f t="shared" si="1"/>
        <v>0.48793333333333339</v>
      </c>
      <c r="Y15" s="7">
        <f t="shared" si="2"/>
        <v>0.47602120301324113</v>
      </c>
      <c r="Z15" s="7">
        <f t="shared" si="3"/>
        <v>0.46371428571428569</v>
      </c>
      <c r="AA15" s="7">
        <f t="shared" si="4"/>
        <v>0.45689348847639683</v>
      </c>
      <c r="AB15" s="7">
        <f t="shared" si="5"/>
        <v>0.49226666666666669</v>
      </c>
      <c r="AC15" s="7">
        <f t="shared" si="6"/>
        <v>0.48325000000000001</v>
      </c>
      <c r="AF15" s="7">
        <v>0.3</v>
      </c>
      <c r="AG15" s="7">
        <f t="shared" si="7"/>
        <v>9.7222073230416942E-3</v>
      </c>
      <c r="AH15" s="7" t="str">
        <f t="shared" si="8"/>
        <v xml:space="preserve"> </v>
      </c>
      <c r="AI15" s="7">
        <f t="shared" si="19"/>
        <v>9.7222073230416942E-3</v>
      </c>
      <c r="AJ15" s="7">
        <f t="shared" si="9"/>
        <v>1.3485164275181009E-2</v>
      </c>
      <c r="AK15" s="3" t="str">
        <f t="shared" si="10"/>
        <v xml:space="preserve"> </v>
      </c>
      <c r="AL15" s="7">
        <f t="shared" si="20"/>
        <v>1.3485164275181009E-2</v>
      </c>
      <c r="AM15" s="7" cm="1">
        <f t="array" ref="AM15">_xlfn.IFS($A$14=$A$15, $A$8*W15, $A$14=$A$16, $A$8*X15, $A$14=$A$17, $A$8*Y15, $A$14=$A$18, $A$8*Z15, $A$14=$A$19, $A$8*AA15, $A$14=$A$20, $A$8*AB15, $A$14=$A$21, $A$8*AC15)</f>
        <v>7.1403180451986167E-2</v>
      </c>
      <c r="AN15" s="7">
        <f t="shared" si="21"/>
        <v>1.348434694019901E-2</v>
      </c>
      <c r="AO15" s="7">
        <f t="shared" si="11"/>
        <v>0.3009627960800772</v>
      </c>
      <c r="AP15" s="7">
        <f t="shared" si="22"/>
        <v>8.1118896338479157E-2</v>
      </c>
      <c r="AR15" s="7">
        <f t="shared" si="12"/>
        <v>0.3</v>
      </c>
      <c r="AS15" s="7">
        <f t="shared" si="13"/>
        <v>0</v>
      </c>
      <c r="AT15" s="7">
        <f t="shared" si="23"/>
        <v>0.3</v>
      </c>
      <c r="AU15" s="7">
        <f t="shared" si="24"/>
        <v>9.7222073230416942E-3</v>
      </c>
      <c r="AV15" s="7">
        <f t="shared" si="14"/>
        <v>0.3009627960800772</v>
      </c>
      <c r="AW15" s="7">
        <f t="shared" si="15"/>
        <v>8.1118896338479157E-2</v>
      </c>
      <c r="AZ15" s="7">
        <f t="shared" si="25"/>
        <v>-1</v>
      </c>
      <c r="BA15" s="7">
        <f t="shared" si="26"/>
        <v>-1</v>
      </c>
    </row>
    <row r="16" spans="1:54" x14ac:dyDescent="0.3">
      <c r="A16" s="46">
        <v>64</v>
      </c>
      <c r="B16" s="7">
        <v>0.24875</v>
      </c>
      <c r="C16" s="7">
        <v>8.0490000000000006E-2</v>
      </c>
      <c r="D16" s="7">
        <v>0.25</v>
      </c>
      <c r="E16" s="7">
        <v>6.9849999999999995E-2</v>
      </c>
      <c r="F16" s="7">
        <v>0.24920999999999999</v>
      </c>
      <c r="G16" s="7">
        <v>5.3969999999999997E-2</v>
      </c>
      <c r="H16" s="7">
        <v>0.25</v>
      </c>
      <c r="I16" s="7">
        <v>9.153E-2</v>
      </c>
      <c r="J16" s="7">
        <v>0.24887000000000001</v>
      </c>
      <c r="K16" s="7">
        <v>7.3480000000000004E-2</v>
      </c>
      <c r="L16" s="7">
        <v>0.25</v>
      </c>
      <c r="M16" s="7">
        <v>7.0910000000000001E-2</v>
      </c>
      <c r="N16" s="7">
        <v>0.25</v>
      </c>
      <c r="O16" s="7">
        <v>3.6810000000000002E-2</v>
      </c>
      <c r="P16" s="7">
        <v>0.24920999999999999</v>
      </c>
      <c r="Q16" s="7">
        <v>5.3969999999999997E-2</v>
      </c>
      <c r="S16" s="7">
        <f t="shared" si="16"/>
        <v>8.9498417940379171E-3</v>
      </c>
      <c r="T16" s="7">
        <f t="shared" si="17"/>
        <v>1.7484957628302988E-2</v>
      </c>
      <c r="U16" s="7">
        <f t="shared" si="18"/>
        <v>1.7483176099519319E-2</v>
      </c>
      <c r="W16" s="7">
        <f t="shared" si="0"/>
        <v>0.47700728755159644</v>
      </c>
      <c r="X16" s="7">
        <f t="shared" si="1"/>
        <v>0.46566666666666667</v>
      </c>
      <c r="Y16" s="7">
        <f t="shared" si="2"/>
        <v>0.4502703954569956</v>
      </c>
      <c r="Z16" s="7">
        <f t="shared" si="3"/>
        <v>0.43585714285714283</v>
      </c>
      <c r="AA16" s="7">
        <f t="shared" si="4"/>
        <v>0.4302668110193818</v>
      </c>
      <c r="AB16" s="7">
        <f t="shared" si="5"/>
        <v>0.47273333333333334</v>
      </c>
      <c r="AC16" s="7">
        <f t="shared" si="6"/>
        <v>0.46012500000000001</v>
      </c>
      <c r="AF16" s="7">
        <v>0.25</v>
      </c>
      <c r="AG16" s="7">
        <f t="shared" si="7"/>
        <v>8.9498417940379171E-3</v>
      </c>
      <c r="AH16" s="7" t="str">
        <f t="shared" si="8"/>
        <v xml:space="preserve"> </v>
      </c>
      <c r="AI16" s="7">
        <f t="shared" si="19"/>
        <v>8.9498417940379171E-3</v>
      </c>
      <c r="AJ16" s="7">
        <f t="shared" si="9"/>
        <v>1.7484957628302988E-2</v>
      </c>
      <c r="AK16" s="3" t="str">
        <f t="shared" si="10"/>
        <v xml:space="preserve"> </v>
      </c>
      <c r="AL16" s="7">
        <f t="shared" si="20"/>
        <v>1.7484957628302988E-2</v>
      </c>
      <c r="AM16" s="7" cm="1">
        <f t="array" ref="AM16">_xlfn.IFS($A$14=$A$15, $A$8*W16, $A$14=$A$16, $A$8*X16, $A$14=$A$17, $A$8*Y16, $A$14=$A$18, $A$8*Z16, $A$14=$A$19, $A$8*AA16, $A$14=$A$20, $A$8*AB16, $A$14=$A$21, $A$8*AC16)</f>
        <v>6.754055931854934E-2</v>
      </c>
      <c r="AN16" s="7">
        <f t="shared" si="21"/>
        <v>1.7483176099519319E-2</v>
      </c>
      <c r="AO16" s="7">
        <f t="shared" si="11"/>
        <v>0.25118076333797612</v>
      </c>
      <c r="AP16" s="7">
        <f t="shared" si="22"/>
        <v>7.6480079102981047E-2</v>
      </c>
      <c r="AR16" s="7">
        <f t="shared" si="12"/>
        <v>0.25</v>
      </c>
      <c r="AS16" s="7">
        <f t="shared" si="13"/>
        <v>0</v>
      </c>
      <c r="AT16" s="7">
        <f t="shared" si="23"/>
        <v>0.25</v>
      </c>
      <c r="AU16" s="7">
        <f t="shared" si="24"/>
        <v>8.9498417940379171E-3</v>
      </c>
      <c r="AV16" s="7">
        <f t="shared" si="14"/>
        <v>0.25118076333797612</v>
      </c>
      <c r="AW16" s="7">
        <f t="shared" si="15"/>
        <v>7.6480079102981047E-2</v>
      </c>
      <c r="AZ16" s="7">
        <f t="shared" si="25"/>
        <v>-1</v>
      </c>
      <c r="BA16" s="7">
        <f t="shared" si="26"/>
        <v>-1</v>
      </c>
    </row>
    <row r="17" spans="1:53" x14ac:dyDescent="0.3">
      <c r="A17" s="46">
        <v>65</v>
      </c>
      <c r="B17" s="7">
        <v>0.19852</v>
      </c>
      <c r="C17" s="7">
        <v>7.4870000000000006E-2</v>
      </c>
      <c r="D17" s="7">
        <v>0.2</v>
      </c>
      <c r="E17" s="7">
        <v>6.4799999999999996E-2</v>
      </c>
      <c r="F17" s="7">
        <v>0.19908999999999999</v>
      </c>
      <c r="G17" s="7">
        <v>4.938E-2</v>
      </c>
      <c r="H17" s="7">
        <v>0.2</v>
      </c>
      <c r="I17" s="7">
        <v>8.3760000000000001E-2</v>
      </c>
      <c r="J17" s="7">
        <v>0.19869000000000001</v>
      </c>
      <c r="K17" s="7">
        <v>6.7349999999999993E-2</v>
      </c>
      <c r="L17" s="7">
        <v>0.2</v>
      </c>
      <c r="M17" s="7">
        <v>6.6189999999999999E-2</v>
      </c>
      <c r="N17" s="7">
        <v>0.2</v>
      </c>
      <c r="O17" s="7">
        <v>3.4139999999999997E-2</v>
      </c>
      <c r="P17" s="7">
        <v>0.19908999999999999</v>
      </c>
      <c r="Q17" s="7">
        <v>4.938E-2</v>
      </c>
      <c r="S17" s="7">
        <f t="shared" si="16"/>
        <v>7.9641519241266806E-3</v>
      </c>
      <c r="T17" s="7">
        <f t="shared" si="17"/>
        <v>2.206356001526516E-2</v>
      </c>
      <c r="U17" s="7">
        <f t="shared" si="18"/>
        <v>2.2059980875260114E-2</v>
      </c>
      <c r="W17" s="7">
        <f t="shared" si="0"/>
        <v>0.44614754000445117</v>
      </c>
      <c r="X17" s="7">
        <f t="shared" si="1"/>
        <v>0.432</v>
      </c>
      <c r="Y17" s="7">
        <f t="shared" si="2"/>
        <v>0.41425927480871655</v>
      </c>
      <c r="Z17" s="7">
        <f t="shared" si="3"/>
        <v>0.39885714285714285</v>
      </c>
      <c r="AA17" s="7">
        <f t="shared" si="4"/>
        <v>0.39600200568540678</v>
      </c>
      <c r="AB17" s="7">
        <f t="shared" si="5"/>
        <v>0.4412666666666667</v>
      </c>
      <c r="AC17" s="7">
        <f t="shared" si="6"/>
        <v>0.42674999999999996</v>
      </c>
      <c r="AF17" s="7">
        <v>0.2</v>
      </c>
      <c r="AG17" s="7">
        <f t="shared" si="7"/>
        <v>7.9641519241266806E-3</v>
      </c>
      <c r="AH17" s="7" t="str">
        <f t="shared" si="8"/>
        <v xml:space="preserve"> </v>
      </c>
      <c r="AI17" s="7">
        <f t="shared" si="19"/>
        <v>7.9641519241266806E-3</v>
      </c>
      <c r="AJ17" s="7">
        <f t="shared" si="9"/>
        <v>2.206356001526516E-2</v>
      </c>
      <c r="AK17" s="3" t="str">
        <f t="shared" si="10"/>
        <v xml:space="preserve"> </v>
      </c>
      <c r="AL17" s="7">
        <f t="shared" si="20"/>
        <v>2.206356001526516E-2</v>
      </c>
      <c r="AM17" s="7" cm="1">
        <f t="array" ref="AM17">_xlfn.IFS($A$14=$A$15, $A$8*W17, $A$14=$A$16, $A$8*X17, $A$14=$A$17, $A$8*Y17, $A$14=$A$18, $A$8*Z17, $A$14=$A$19, $A$8*AA17, $A$14=$A$20, $A$8*AB17, $A$14=$A$21, $A$8*AC17)</f>
        <v>6.2138891221307481E-2</v>
      </c>
      <c r="AN17" s="7">
        <f t="shared" si="21"/>
        <v>2.2059980875260114E-2</v>
      </c>
      <c r="AO17" s="7">
        <f t="shared" si="11"/>
        <v>0.20137067157440772</v>
      </c>
      <c r="AP17" s="7">
        <f t="shared" si="22"/>
        <v>7.0087924037936664E-2</v>
      </c>
      <c r="AR17" s="7">
        <f t="shared" si="12"/>
        <v>0.2</v>
      </c>
      <c r="AS17" s="7">
        <f t="shared" si="13"/>
        <v>0</v>
      </c>
      <c r="AT17" s="7">
        <f t="shared" si="23"/>
        <v>0.2</v>
      </c>
      <c r="AU17" s="7">
        <f t="shared" si="24"/>
        <v>7.9641519241266806E-3</v>
      </c>
      <c r="AV17" s="7">
        <f t="shared" si="14"/>
        <v>0.20137067157440772</v>
      </c>
      <c r="AW17" s="7">
        <f t="shared" si="15"/>
        <v>7.0087924037936664E-2</v>
      </c>
      <c r="AZ17" s="7">
        <f t="shared" si="25"/>
        <v>-1</v>
      </c>
      <c r="BA17" s="7">
        <f t="shared" si="26"/>
        <v>-1</v>
      </c>
    </row>
    <row r="18" spans="1:53" x14ac:dyDescent="0.3">
      <c r="A18" s="46">
        <v>66</v>
      </c>
      <c r="B18" s="7">
        <v>0.14834</v>
      </c>
      <c r="C18" s="7">
        <v>6.6820000000000004E-2</v>
      </c>
      <c r="D18" s="7">
        <v>0.15</v>
      </c>
      <c r="E18" s="7">
        <v>5.7849999999999999E-2</v>
      </c>
      <c r="F18" s="7">
        <v>0.14899000000000001</v>
      </c>
      <c r="G18" s="7">
        <v>4.3380000000000002E-2</v>
      </c>
      <c r="H18" s="7">
        <v>0.15</v>
      </c>
      <c r="I18" s="7">
        <v>7.3690000000000005E-2</v>
      </c>
      <c r="J18" s="7">
        <v>0.14854000000000001</v>
      </c>
      <c r="K18" s="7">
        <v>5.9540000000000003E-2</v>
      </c>
      <c r="L18" s="7">
        <v>0.15</v>
      </c>
      <c r="M18" s="7">
        <v>5.9420000000000001E-2</v>
      </c>
      <c r="N18" s="7">
        <v>0.15</v>
      </c>
      <c r="O18" s="7">
        <v>3.0470000000000001E-2</v>
      </c>
      <c r="P18" s="7">
        <v>0.14899000000000001</v>
      </c>
      <c r="Q18" s="7">
        <v>4.3380000000000002E-2</v>
      </c>
      <c r="S18" s="7">
        <f t="shared" si="16"/>
        <v>6.7276240814189469E-3</v>
      </c>
      <c r="T18" s="7">
        <f t="shared" si="17"/>
        <v>2.7607033225743566E-2</v>
      </c>
      <c r="U18" s="7">
        <f t="shared" si="18"/>
        <v>2.7600022880222702E-2</v>
      </c>
      <c r="W18" s="7">
        <f t="shared" si="0"/>
        <v>0.40076847471726895</v>
      </c>
      <c r="X18" s="7">
        <f t="shared" si="1"/>
        <v>0.38566666666666666</v>
      </c>
      <c r="Y18" s="7">
        <f t="shared" si="2"/>
        <v>0.36666340531008262</v>
      </c>
      <c r="Z18" s="7">
        <f t="shared" si="3"/>
        <v>0.35090476190476194</v>
      </c>
      <c r="AA18" s="7">
        <f t="shared" si="4"/>
        <v>0.35221665010819114</v>
      </c>
      <c r="AB18" s="7">
        <f t="shared" si="5"/>
        <v>0.39613333333333334</v>
      </c>
      <c r="AC18" s="7">
        <f t="shared" si="6"/>
        <v>0.38087500000000002</v>
      </c>
      <c r="AF18" s="7">
        <v>0.15</v>
      </c>
      <c r="AG18" s="7">
        <f t="shared" si="7"/>
        <v>6.7276240814189469E-3</v>
      </c>
      <c r="AH18" s="7" t="str">
        <f t="shared" si="8"/>
        <v xml:space="preserve"> </v>
      </c>
      <c r="AI18" s="7">
        <f t="shared" si="19"/>
        <v>6.7276240814189469E-3</v>
      </c>
      <c r="AJ18" s="7">
        <f t="shared" si="9"/>
        <v>2.7607033225743566E-2</v>
      </c>
      <c r="AK18" s="3" t="str">
        <f t="shared" si="10"/>
        <v xml:space="preserve"> </v>
      </c>
      <c r="AL18" s="7">
        <f t="shared" si="20"/>
        <v>2.7607033225743566E-2</v>
      </c>
      <c r="AM18" s="7" cm="1">
        <f t="array" ref="AM18">_xlfn.IFS($A$14=$A$15, $A$8*W18, $A$14=$A$16, $A$8*X18, $A$14=$A$17, $A$8*Y18, $A$14=$A$18, $A$8*Z18, $A$14=$A$19, $A$8*AA18, $A$14=$A$20, $A$8*AB18, $A$14=$A$21, $A$8*AC18)</f>
        <v>5.4999510796512392E-2</v>
      </c>
      <c r="AN18" s="7">
        <f t="shared" si="21"/>
        <v>2.7600022880222702E-2</v>
      </c>
      <c r="AO18" s="7">
        <f t="shared" si="11"/>
        <v>0.15151779503968005</v>
      </c>
      <c r="AP18" s="7">
        <f t="shared" si="22"/>
        <v>6.1706187959290532E-2</v>
      </c>
      <c r="AR18" s="7">
        <f t="shared" si="12"/>
        <v>0.15</v>
      </c>
      <c r="AS18" s="7">
        <f t="shared" si="13"/>
        <v>0</v>
      </c>
      <c r="AT18" s="7">
        <f t="shared" si="23"/>
        <v>0.15</v>
      </c>
      <c r="AU18" s="7">
        <f t="shared" si="24"/>
        <v>6.7276240814189469E-3</v>
      </c>
      <c r="AV18" s="7">
        <f t="shared" si="14"/>
        <v>0.15151779503968005</v>
      </c>
      <c r="AW18" s="7">
        <f t="shared" si="15"/>
        <v>6.1706187959290532E-2</v>
      </c>
      <c r="AZ18" s="7">
        <f t="shared" si="25"/>
        <v>-1</v>
      </c>
      <c r="BA18" s="7">
        <f t="shared" si="26"/>
        <v>-1</v>
      </c>
    </row>
    <row r="19" spans="1:53" x14ac:dyDescent="0.3">
      <c r="A19" s="46">
        <v>67</v>
      </c>
      <c r="B19" s="7">
        <v>9.8229999999999998E-2</v>
      </c>
      <c r="C19" s="7">
        <v>5.5690000000000003E-2</v>
      </c>
      <c r="D19" s="7">
        <v>0.1</v>
      </c>
      <c r="E19" s="7">
        <v>4.8419999999999998E-2</v>
      </c>
      <c r="F19" s="7">
        <v>9.894E-2</v>
      </c>
      <c r="G19" s="7">
        <v>3.5549999999999998E-2</v>
      </c>
      <c r="H19" s="7">
        <v>0.1</v>
      </c>
      <c r="I19" s="7">
        <v>6.0519999999999997E-2</v>
      </c>
      <c r="J19" s="7">
        <v>9.8449999999999996E-2</v>
      </c>
      <c r="K19" s="7">
        <v>4.947E-2</v>
      </c>
      <c r="L19" s="7">
        <v>0.1</v>
      </c>
      <c r="M19" s="7">
        <v>4.9970000000000001E-2</v>
      </c>
      <c r="N19" s="7">
        <v>0.1</v>
      </c>
      <c r="O19" s="7">
        <v>2.5590000000000002E-2</v>
      </c>
      <c r="P19" s="7">
        <v>9.894E-2</v>
      </c>
      <c r="Q19" s="7">
        <v>3.5549999999999998E-2</v>
      </c>
      <c r="S19" s="7">
        <f t="shared" si="16"/>
        <v>5.1738562130260067E-3</v>
      </c>
      <c r="T19" s="7">
        <f t="shared" si="17"/>
        <v>3.4969915256605977E-2</v>
      </c>
      <c r="U19" s="7">
        <f t="shared" si="18"/>
        <v>3.4955670862259973E-2</v>
      </c>
      <c r="W19" s="7">
        <f t="shared" si="0"/>
        <v>0.33698014879137095</v>
      </c>
      <c r="X19" s="7">
        <f t="shared" si="1"/>
        <v>0.32279999999999998</v>
      </c>
      <c r="Y19" s="7">
        <f t="shared" si="2"/>
        <v>0.30394711528877771</v>
      </c>
      <c r="Z19" s="7">
        <f t="shared" si="3"/>
        <v>0.28819047619047616</v>
      </c>
      <c r="AA19" s="7">
        <f t="shared" si="4"/>
        <v>0.2954881351823907</v>
      </c>
      <c r="AB19" s="7">
        <f t="shared" si="5"/>
        <v>0.33313333333333334</v>
      </c>
      <c r="AC19" s="7">
        <f t="shared" si="6"/>
        <v>0.31987500000000002</v>
      </c>
      <c r="AF19" s="7">
        <v>0.1</v>
      </c>
      <c r="AG19" s="7">
        <f t="shared" si="7"/>
        <v>5.1738562130260067E-3</v>
      </c>
      <c r="AH19" s="7" t="str">
        <f t="shared" si="8"/>
        <v xml:space="preserve"> </v>
      </c>
      <c r="AI19" s="7">
        <f t="shared" si="19"/>
        <v>5.1738562130260067E-3</v>
      </c>
      <c r="AJ19" s="7">
        <f t="shared" si="9"/>
        <v>3.4969915256605977E-2</v>
      </c>
      <c r="AK19" s="3" t="str">
        <f t="shared" si="10"/>
        <v xml:space="preserve"> </v>
      </c>
      <c r="AL19" s="7">
        <f t="shared" si="20"/>
        <v>3.4969915256605977E-2</v>
      </c>
      <c r="AM19" s="7" cm="1">
        <f t="array" ref="AM19">_xlfn.IFS($A$14=$A$15, $A$8*W19, $A$14=$A$16, $A$8*X19, $A$14=$A$17, $A$8*Y19, $A$14=$A$18, $A$8*Z19, $A$14=$A$19, $A$8*AA19, $A$14=$A$20, $A$8*AB19, $A$14=$A$21, $A$8*AC19)</f>
        <v>4.5592067293316656E-2</v>
      </c>
      <c r="AN19" s="7">
        <f t="shared" si="21"/>
        <v>3.4955670862259973E-2</v>
      </c>
      <c r="AO19" s="7">
        <f t="shared" si="11"/>
        <v>0.10159337676107945</v>
      </c>
      <c r="AP19" s="7">
        <f t="shared" si="22"/>
        <v>5.0738071893486988E-2</v>
      </c>
      <c r="AR19" s="7">
        <f t="shared" si="12"/>
        <v>0.1</v>
      </c>
      <c r="AS19" s="7">
        <f t="shared" si="13"/>
        <v>0</v>
      </c>
      <c r="AT19" s="7">
        <f t="shared" si="23"/>
        <v>0.1</v>
      </c>
      <c r="AU19" s="7">
        <f t="shared" si="24"/>
        <v>5.1738562130260067E-3</v>
      </c>
      <c r="AV19" s="7">
        <f t="shared" si="14"/>
        <v>0.10159337676107945</v>
      </c>
      <c r="AW19" s="7">
        <f t="shared" si="15"/>
        <v>5.0738071893486988E-2</v>
      </c>
      <c r="AZ19" s="7">
        <f t="shared" si="25"/>
        <v>-1</v>
      </c>
      <c r="BA19" s="7">
        <f t="shared" si="26"/>
        <v>-1</v>
      </c>
    </row>
    <row r="20" spans="1:53" x14ac:dyDescent="0.3">
      <c r="A20" s="47" t="s">
        <v>21</v>
      </c>
      <c r="B20" s="7">
        <v>7.3230000000000003E-2</v>
      </c>
      <c r="C20" s="7">
        <v>4.8469999999999999E-2</v>
      </c>
      <c r="D20" s="7">
        <v>7.4999999999999997E-2</v>
      </c>
      <c r="E20" s="7">
        <v>4.24E-2</v>
      </c>
      <c r="F20" s="7">
        <v>7.3940000000000006E-2</v>
      </c>
      <c r="G20" s="7">
        <v>3.0689999999999999E-2</v>
      </c>
      <c r="H20" s="7">
        <v>7.4999999999999997E-2</v>
      </c>
      <c r="I20" s="7">
        <v>5.2330000000000002E-2</v>
      </c>
      <c r="J20" s="7">
        <v>7.3440000000000005E-2</v>
      </c>
      <c r="K20" s="7">
        <v>4.3209999999999998E-2</v>
      </c>
      <c r="L20" s="7">
        <v>7.4999999999999997E-2</v>
      </c>
      <c r="M20" s="7">
        <v>4.3819999999999998E-2</v>
      </c>
      <c r="N20" s="7">
        <v>7.4999999999999997E-2</v>
      </c>
      <c r="O20" s="7">
        <v>2.2450000000000001E-2</v>
      </c>
      <c r="P20" s="7">
        <v>7.3940000000000006E-2</v>
      </c>
      <c r="Q20" s="7">
        <v>3.0689999999999999E-2</v>
      </c>
      <c r="S20" s="7">
        <f t="shared" si="16"/>
        <v>4.2396404091970957E-3</v>
      </c>
      <c r="T20" s="7">
        <f t="shared" si="17"/>
        <v>3.9984585861336713E-2</v>
      </c>
      <c r="U20" s="7">
        <f t="shared" si="18"/>
        <v>3.9963297598379181E-2</v>
      </c>
      <c r="W20" s="7">
        <f t="shared" si="0"/>
        <v>0.29510468328125855</v>
      </c>
      <c r="X20" s="7">
        <f t="shared" si="1"/>
        <v>0.28266666666666668</v>
      </c>
      <c r="Y20" s="7">
        <f t="shared" si="2"/>
        <v>0.26471495128910377</v>
      </c>
      <c r="Z20" s="7">
        <f t="shared" si="3"/>
        <v>0.24919047619047618</v>
      </c>
      <c r="AA20" s="7">
        <f t="shared" si="4"/>
        <v>0.26000999609309039</v>
      </c>
      <c r="AB20" s="7">
        <f t="shared" si="5"/>
        <v>0.29213333333333336</v>
      </c>
      <c r="AC20" s="7">
        <f t="shared" si="6"/>
        <v>0.28062500000000001</v>
      </c>
      <c r="AF20" s="7">
        <v>7.4999999999999997E-2</v>
      </c>
      <c r="AG20" s="7">
        <f t="shared" si="7"/>
        <v>4.2396404091970957E-3</v>
      </c>
      <c r="AH20" s="7" t="str">
        <f t="shared" si="8"/>
        <v xml:space="preserve"> </v>
      </c>
      <c r="AI20" s="7">
        <f t="shared" si="19"/>
        <v>4.2396404091970957E-3</v>
      </c>
      <c r="AJ20" s="7">
        <f t="shared" si="9"/>
        <v>3.9984585861336713E-2</v>
      </c>
      <c r="AK20" s="3" t="str">
        <f t="shared" si="10"/>
        <v xml:space="preserve"> </v>
      </c>
      <c r="AL20" s="7">
        <f t="shared" si="20"/>
        <v>3.9984585861336713E-2</v>
      </c>
      <c r="AM20" s="7" cm="1">
        <f t="array" ref="AM20">_xlfn.IFS($A$14=$A$15, $A$8*W20, $A$14=$A$16, $A$8*X20, $A$14=$A$17, $A$8*Y20, $A$14=$A$18, $A$8*Z20, $A$14=$A$19, $A$8*AA20, $A$14=$A$20, $A$8*AB20, $A$14=$A$21, $A$8*AC20)</f>
        <v>3.9707242693365563E-2</v>
      </c>
      <c r="AN20" s="7">
        <f t="shared" si="21"/>
        <v>3.9963297598379181E-2</v>
      </c>
      <c r="AO20" s="7">
        <f t="shared" si="11"/>
        <v>7.6586410011182535E-2</v>
      </c>
      <c r="AP20" s="7">
        <f t="shared" si="22"/>
        <v>4.3915179795401445E-2</v>
      </c>
      <c r="AR20" s="7">
        <f t="shared" si="12"/>
        <v>7.4999999999999997E-2</v>
      </c>
      <c r="AS20" s="7">
        <f t="shared" si="13"/>
        <v>0</v>
      </c>
      <c r="AT20" s="7">
        <f t="shared" si="23"/>
        <v>7.4999999999999997E-2</v>
      </c>
      <c r="AU20" s="7">
        <f t="shared" si="24"/>
        <v>4.2396404091970957E-3</v>
      </c>
      <c r="AV20" s="7">
        <f t="shared" si="14"/>
        <v>7.6586410011182535E-2</v>
      </c>
      <c r="AW20" s="7">
        <f t="shared" si="15"/>
        <v>4.3915179795401445E-2</v>
      </c>
      <c r="AZ20" s="7">
        <f t="shared" si="25"/>
        <v>-1</v>
      </c>
      <c r="BA20" s="7">
        <f t="shared" si="26"/>
        <v>-1</v>
      </c>
    </row>
    <row r="21" spans="1:53" x14ac:dyDescent="0.3">
      <c r="A21" s="47" t="s">
        <v>20</v>
      </c>
      <c r="B21" s="7">
        <v>4.829E-2</v>
      </c>
      <c r="C21" s="7">
        <v>3.9600000000000003E-2</v>
      </c>
      <c r="D21" s="7">
        <v>0.05</v>
      </c>
      <c r="E21" s="7">
        <v>3.5040000000000002E-2</v>
      </c>
      <c r="F21" s="7">
        <v>4.8980000000000003E-2</v>
      </c>
      <c r="G21" s="7">
        <v>2.4910000000000002E-2</v>
      </c>
      <c r="H21" s="7">
        <v>0.05</v>
      </c>
      <c r="I21" s="7">
        <v>4.2689999999999999E-2</v>
      </c>
      <c r="J21" s="7">
        <v>4.8480000000000002E-2</v>
      </c>
      <c r="K21" s="7">
        <v>3.5569999999999997E-2</v>
      </c>
      <c r="L21" s="7">
        <v>0.05</v>
      </c>
      <c r="M21" s="7">
        <v>3.6179999999999997E-2</v>
      </c>
      <c r="N21" s="7">
        <v>0.05</v>
      </c>
      <c r="O21" s="7">
        <v>1.8630000000000001E-2</v>
      </c>
      <c r="P21" s="7">
        <v>4.8980000000000003E-2</v>
      </c>
      <c r="Q21" s="7">
        <v>2.4910000000000002E-2</v>
      </c>
      <c r="S21" s="7">
        <f t="shared" si="16"/>
        <v>3.1594682257586105E-3</v>
      </c>
      <c r="T21" s="7">
        <f t="shared" si="17"/>
        <v>4.6862201816679321E-2</v>
      </c>
      <c r="U21" s="7">
        <f t="shared" si="18"/>
        <v>4.6827942784359894E-2</v>
      </c>
      <c r="W21" s="7">
        <f t="shared" si="0"/>
        <v>0.24320348490843474</v>
      </c>
      <c r="X21" s="7">
        <f t="shared" si="1"/>
        <v>0.23360000000000003</v>
      </c>
      <c r="Y21" s="7">
        <f t="shared" si="2"/>
        <v>0.21774401477778382</v>
      </c>
      <c r="Z21" s="7">
        <f t="shared" si="3"/>
        <v>0.20328571428571429</v>
      </c>
      <c r="AA21" s="7">
        <f t="shared" si="4"/>
        <v>0.216307333934211</v>
      </c>
      <c r="AB21" s="7">
        <f t="shared" si="5"/>
        <v>0.2412</v>
      </c>
      <c r="AC21" s="7">
        <f t="shared" si="6"/>
        <v>0.232875</v>
      </c>
      <c r="AF21" s="7">
        <v>0.05</v>
      </c>
      <c r="AG21" s="7">
        <f t="shared" si="7"/>
        <v>3.1594682257586105E-3</v>
      </c>
      <c r="AH21" s="7" t="str">
        <f t="shared" si="8"/>
        <v xml:space="preserve"> </v>
      </c>
      <c r="AI21" s="7">
        <f t="shared" si="19"/>
        <v>3.1594682257586105E-3</v>
      </c>
      <c r="AJ21" s="7">
        <f t="shared" si="9"/>
        <v>4.6862201816679321E-2</v>
      </c>
      <c r="AK21" s="3" t="str">
        <f t="shared" si="10"/>
        <v xml:space="preserve"> </v>
      </c>
      <c r="AL21" s="7">
        <f t="shared" si="20"/>
        <v>4.6862201816679321E-2</v>
      </c>
      <c r="AM21" s="7" cm="1">
        <f t="array" ref="AM21">_xlfn.IFS($A$14=$A$15, $A$8*W21, $A$14=$A$16, $A$8*X21, $A$14=$A$17, $A$8*Y21, $A$14=$A$18, $A$8*Z21, $A$14=$A$19, $A$8*AA21, $A$14=$A$20, $A$8*AB21, $A$14=$A$21, $A$8*AC21)</f>
        <v>3.2661602216667571E-2</v>
      </c>
      <c r="AN21" s="7">
        <f t="shared" si="21"/>
        <v>4.6827942784359894E-2</v>
      </c>
      <c r="AO21" s="7">
        <f t="shared" si="11"/>
        <v>5.15289167144369E-2</v>
      </c>
      <c r="AP21" s="7">
        <f t="shared" si="22"/>
        <v>3.5785265887120693E-2</v>
      </c>
      <c r="AR21" s="7">
        <f t="shared" si="12"/>
        <v>0.05</v>
      </c>
      <c r="AS21" s="7">
        <f t="shared" si="13"/>
        <v>0</v>
      </c>
      <c r="AT21" s="7">
        <f t="shared" si="23"/>
        <v>0.05</v>
      </c>
      <c r="AU21" s="7">
        <f t="shared" si="24"/>
        <v>3.1594682257586105E-3</v>
      </c>
      <c r="AV21" s="7">
        <f t="shared" si="14"/>
        <v>5.15289167144369E-2</v>
      </c>
      <c r="AW21" s="7">
        <f t="shared" si="15"/>
        <v>3.5785265887120693E-2</v>
      </c>
      <c r="AZ21" s="7">
        <f t="shared" si="25"/>
        <v>-1</v>
      </c>
      <c r="BA21" s="7">
        <f t="shared" si="26"/>
        <v>-1</v>
      </c>
    </row>
    <row r="22" spans="1:53" x14ac:dyDescent="0.3">
      <c r="A22" s="48"/>
      <c r="B22" s="7">
        <v>2.3480000000000001E-2</v>
      </c>
      <c r="C22" s="7">
        <v>2.792E-2</v>
      </c>
      <c r="D22" s="7">
        <v>2.5000000000000001E-2</v>
      </c>
      <c r="E22" s="7">
        <v>2.528E-2</v>
      </c>
      <c r="F22" s="7">
        <v>2.4080000000000001E-2</v>
      </c>
      <c r="G22" s="7">
        <v>1.7569999999999999E-2</v>
      </c>
      <c r="H22" s="7">
        <v>2.5000000000000001E-2</v>
      </c>
      <c r="I22" s="7">
        <v>3.0450000000000001E-2</v>
      </c>
      <c r="J22" s="7">
        <v>2.3609999999999999E-2</v>
      </c>
      <c r="K22" s="7">
        <v>2.5770000000000001E-2</v>
      </c>
      <c r="L22" s="7">
        <v>2.5000000000000001E-2</v>
      </c>
      <c r="M22" s="7">
        <v>2.579E-2</v>
      </c>
      <c r="N22" s="7">
        <v>2.5000000000000001E-2</v>
      </c>
      <c r="O22" s="7">
        <v>1.353E-2</v>
      </c>
      <c r="P22" s="7">
        <v>2.4080000000000001E-2</v>
      </c>
      <c r="Q22" s="7">
        <v>1.7569999999999999E-2</v>
      </c>
      <c r="S22" s="7">
        <f t="shared" si="16"/>
        <v>1.8606302921536551E-3</v>
      </c>
      <c r="T22" s="7">
        <f t="shared" si="17"/>
        <v>5.8307394530341429E-2</v>
      </c>
      <c r="U22" s="7">
        <f t="shared" si="18"/>
        <v>5.8241452092223242E-2</v>
      </c>
      <c r="W22" s="7">
        <f t="shared" si="0"/>
        <v>0.17402419881265843</v>
      </c>
      <c r="X22" s="7">
        <f t="shared" si="1"/>
        <v>0.16853333333333334</v>
      </c>
      <c r="Y22" s="7">
        <f t="shared" si="2"/>
        <v>0.15736051032174442</v>
      </c>
      <c r="Z22" s="7">
        <f t="shared" si="3"/>
        <v>0.14500000000000002</v>
      </c>
      <c r="AA22" s="7">
        <f t="shared" si="4"/>
        <v>0.15966652126167147</v>
      </c>
      <c r="AB22" s="7">
        <f t="shared" si="5"/>
        <v>0.17193333333333335</v>
      </c>
      <c r="AC22" s="7">
        <f t="shared" si="6"/>
        <v>0.169125</v>
      </c>
      <c r="AF22" s="7">
        <v>2.5000000000000001E-2</v>
      </c>
      <c r="AG22" s="7">
        <f t="shared" si="7"/>
        <v>1.8606302921536551E-3</v>
      </c>
      <c r="AH22" s="7" t="str">
        <f t="shared" si="8"/>
        <v xml:space="preserve"> </v>
      </c>
      <c r="AI22" s="7">
        <f t="shared" si="19"/>
        <v>1.8606302921536551E-3</v>
      </c>
      <c r="AJ22" s="7">
        <f t="shared" si="9"/>
        <v>5.8307394530341429E-2</v>
      </c>
      <c r="AK22" s="3" t="str">
        <f t="shared" si="10"/>
        <v xml:space="preserve"> </v>
      </c>
      <c r="AL22" s="7">
        <f t="shared" si="20"/>
        <v>5.8307394530341429E-2</v>
      </c>
      <c r="AM22" s="7" cm="1">
        <f t="array" ref="AM22">_xlfn.IFS($A$14=$A$15, $A$8*W22, $A$14=$A$16, $A$8*X22, $A$14=$A$17, $A$8*Y22, $A$14=$A$18, $A$8*Z22, $A$14=$A$19, $A$8*AA22, $A$14=$A$20, $A$8*AB22, $A$14=$A$21, $A$8*AC22)</f>
        <v>2.3604076548261663E-2</v>
      </c>
      <c r="AN22" s="7">
        <f t="shared" si="21"/>
        <v>5.8241452092223242E-2</v>
      </c>
      <c r="AO22" s="7">
        <f t="shared" si="11"/>
        <v>2.637395862606759E-2</v>
      </c>
      <c r="AP22" s="7">
        <f t="shared" si="22"/>
        <v>2.5424684853923168E-2</v>
      </c>
      <c r="AR22" s="7">
        <f t="shared" si="12"/>
        <v>2.5000000000000001E-2</v>
      </c>
      <c r="AS22" s="7">
        <f t="shared" si="13"/>
        <v>0</v>
      </c>
      <c r="AT22" s="7">
        <f t="shared" si="23"/>
        <v>2.5000000000000001E-2</v>
      </c>
      <c r="AU22" s="7">
        <f t="shared" si="24"/>
        <v>1.8606302921536551E-3</v>
      </c>
      <c r="AV22" s="7">
        <f t="shared" si="14"/>
        <v>2.637395862606759E-2</v>
      </c>
      <c r="AW22" s="7">
        <f t="shared" si="15"/>
        <v>2.5424684853923168E-2</v>
      </c>
      <c r="AZ22" s="7">
        <f t="shared" si="25"/>
        <v>-1</v>
      </c>
      <c r="BA22" s="7">
        <f t="shared" si="26"/>
        <v>-1</v>
      </c>
    </row>
    <row r="23" spans="1:53" x14ac:dyDescent="0.3">
      <c r="B23" s="7">
        <v>1.12E-2</v>
      </c>
      <c r="C23" s="7">
        <v>1.9800000000000002E-2</v>
      </c>
      <c r="D23" s="7">
        <v>1.2500000000000001E-2</v>
      </c>
      <c r="E23" s="7">
        <v>1.8419999999999999E-2</v>
      </c>
      <c r="F23" s="7">
        <v>1.1690000000000001E-2</v>
      </c>
      <c r="G23" s="7">
        <v>1.273E-2</v>
      </c>
      <c r="H23" s="7">
        <v>1.2500000000000001E-2</v>
      </c>
      <c r="I23" s="7">
        <v>2.24E-2</v>
      </c>
      <c r="J23" s="7">
        <v>1.128E-2</v>
      </c>
      <c r="K23" s="7">
        <v>1.8669999999999999E-2</v>
      </c>
      <c r="L23" s="7">
        <v>1.2500000000000001E-2</v>
      </c>
      <c r="M23" s="7">
        <v>1.8440000000000002E-2</v>
      </c>
      <c r="N23" s="7">
        <v>1.2500000000000001E-2</v>
      </c>
      <c r="O23" s="7">
        <v>9.8300000000000002E-3</v>
      </c>
      <c r="P23" s="7">
        <v>1.1690000000000001E-2</v>
      </c>
      <c r="Q23" s="7">
        <v>1.273E-2</v>
      </c>
      <c r="S23" s="7">
        <f t="shared" si="16"/>
        <v>1.0694715670078072E-3</v>
      </c>
      <c r="T23" s="7">
        <f t="shared" si="17"/>
        <v>6.9541922430239309E-2</v>
      </c>
      <c r="U23" s="7">
        <f t="shared" si="18"/>
        <v>6.9430143185714985E-2</v>
      </c>
      <c r="W23" s="7">
        <f t="shared" si="0"/>
        <v>0.12517176642981392</v>
      </c>
      <c r="X23" s="7">
        <f t="shared" si="1"/>
        <v>0.12279999999999999</v>
      </c>
      <c r="Y23" s="7">
        <f t="shared" si="2"/>
        <v>0.11688690044311291</v>
      </c>
      <c r="Z23" s="7">
        <f t="shared" si="3"/>
        <v>0.10666666666666666</v>
      </c>
      <c r="AA23" s="7">
        <f t="shared" si="4"/>
        <v>0.11762023916929369</v>
      </c>
      <c r="AB23" s="7">
        <f t="shared" si="5"/>
        <v>0.12293333333333335</v>
      </c>
      <c r="AC23" s="7">
        <f t="shared" si="6"/>
        <v>0.122875</v>
      </c>
      <c r="AF23" s="7">
        <v>1.2500000000000001E-2</v>
      </c>
      <c r="AG23" s="7">
        <f t="shared" si="7"/>
        <v>1.0694715670078072E-3</v>
      </c>
      <c r="AH23" s="7" t="str">
        <f t="shared" si="8"/>
        <v xml:space="preserve"> </v>
      </c>
      <c r="AI23" s="7">
        <f t="shared" si="19"/>
        <v>1.0694715670078072E-3</v>
      </c>
      <c r="AJ23" s="7">
        <f t="shared" si="9"/>
        <v>6.9541922430239309E-2</v>
      </c>
      <c r="AK23" s="3" t="str">
        <f t="shared" si="10"/>
        <v xml:space="preserve"> </v>
      </c>
      <c r="AL23" s="7">
        <f t="shared" si="20"/>
        <v>6.9541922430239309E-2</v>
      </c>
      <c r="AM23" s="7" cm="1">
        <f t="array" ref="AM23">_xlfn.IFS($A$14=$A$15, $A$8*W23, $A$14=$A$16, $A$8*X23, $A$14=$A$17, $A$8*Y23, $A$14=$A$18, $A$8*Z23, $A$14=$A$19, $A$8*AA23, $A$14=$A$20, $A$8*AB23, $A$14=$A$21, $A$8*AC23)</f>
        <v>1.7533035066466935E-2</v>
      </c>
      <c r="AN23" s="7">
        <f t="shared" si="21"/>
        <v>6.9430143185714985E-2</v>
      </c>
      <c r="AO23" s="7">
        <f t="shared" si="11"/>
        <v>1.3716343345674115E-2</v>
      </c>
      <c r="AP23" s="7">
        <f t="shared" si="22"/>
        <v>1.8560264216496095E-2</v>
      </c>
      <c r="AR23" s="7">
        <f t="shared" si="12"/>
        <v>1.2500000000000001E-2</v>
      </c>
      <c r="AS23" s="7">
        <f t="shared" si="13"/>
        <v>0</v>
      </c>
      <c r="AT23" s="7">
        <f t="shared" si="23"/>
        <v>1.2500000000000001E-2</v>
      </c>
      <c r="AU23" s="7">
        <f t="shared" si="24"/>
        <v>1.0694715670078072E-3</v>
      </c>
      <c r="AV23" s="7">
        <f t="shared" si="14"/>
        <v>1.3716343345674115E-2</v>
      </c>
      <c r="AW23" s="7">
        <f t="shared" si="15"/>
        <v>1.8560264216496095E-2</v>
      </c>
      <c r="AZ23" s="7">
        <f t="shared" si="25"/>
        <v>-1</v>
      </c>
      <c r="BA23" s="7">
        <f t="shared" si="26"/>
        <v>-1</v>
      </c>
    </row>
    <row r="24" spans="1:53" x14ac:dyDescent="0.3">
      <c r="B24" s="7">
        <v>6.3699999999999998E-3</v>
      </c>
      <c r="C24" s="7">
        <v>1.528E-2</v>
      </c>
      <c r="D24" s="7">
        <v>7.4999999999999997E-3</v>
      </c>
      <c r="E24" s="7">
        <v>1.456E-2</v>
      </c>
      <c r="F24" s="7">
        <v>6.7799999999999996E-3</v>
      </c>
      <c r="G24" s="7">
        <v>9.9900000000000006E-3</v>
      </c>
      <c r="H24" s="7">
        <v>7.4999999999999997E-3</v>
      </c>
      <c r="I24" s="7">
        <v>1.804E-2</v>
      </c>
      <c r="J24" s="7">
        <v>6.4200000000000004E-3</v>
      </c>
      <c r="K24" s="7">
        <v>1.46E-2</v>
      </c>
      <c r="L24" s="7">
        <v>7.4999999999999997E-3</v>
      </c>
      <c r="M24" s="7">
        <v>1.448E-2</v>
      </c>
      <c r="N24" s="7">
        <v>7.4999999999999997E-3</v>
      </c>
      <c r="O24" s="7">
        <v>7.7799999999999996E-3</v>
      </c>
      <c r="P24" s="7">
        <v>6.7799999999999996E-3</v>
      </c>
      <c r="Q24" s="7">
        <v>9.9900000000000006E-3</v>
      </c>
      <c r="S24" s="7">
        <f t="shared" si="16"/>
        <v>7.0295867782962105E-4</v>
      </c>
      <c r="T24" s="7">
        <f t="shared" si="17"/>
        <v>7.7752346193526778E-2</v>
      </c>
      <c r="U24" s="7">
        <f t="shared" si="18"/>
        <v>7.7596230023759635E-2</v>
      </c>
      <c r="W24" s="7">
        <f t="shared" si="0"/>
        <v>9.7473581006858823E-2</v>
      </c>
      <c r="X24" s="7">
        <f t="shared" si="1"/>
        <v>9.7066666666666676E-2</v>
      </c>
      <c r="Y24" s="7">
        <f t="shared" si="2"/>
        <v>9.3150710897741865E-2</v>
      </c>
      <c r="Z24" s="7">
        <f t="shared" si="3"/>
        <v>8.59047619047619E-2</v>
      </c>
      <c r="AA24" s="7">
        <f t="shared" si="4"/>
        <v>9.2926565352601548E-2</v>
      </c>
      <c r="AB24" s="7">
        <f t="shared" si="5"/>
        <v>9.6533333333333332E-2</v>
      </c>
      <c r="AC24" s="7">
        <f t="shared" si="6"/>
        <v>9.7249999999999989E-2</v>
      </c>
      <c r="AF24" s="7">
        <v>7.4999999999999997E-3</v>
      </c>
      <c r="AG24" s="7">
        <f t="shared" si="7"/>
        <v>7.0295867782962105E-4</v>
      </c>
      <c r="AH24" s="7" t="str">
        <f t="shared" si="8"/>
        <v xml:space="preserve"> </v>
      </c>
      <c r="AI24" s="7">
        <f t="shared" si="19"/>
        <v>7.0295867782962105E-4</v>
      </c>
      <c r="AJ24" s="7">
        <f t="shared" si="9"/>
        <v>7.7752346193526778E-2</v>
      </c>
      <c r="AK24" s="3" t="str">
        <f t="shared" si="10"/>
        <v xml:space="preserve"> </v>
      </c>
      <c r="AL24" s="7">
        <f t="shared" si="20"/>
        <v>7.7752346193526778E-2</v>
      </c>
      <c r="AM24" s="7" cm="1">
        <f t="array" ref="AM24">_xlfn.IFS($A$14=$A$15, $A$8*W24, $A$14=$A$16, $A$8*X24, $A$14=$A$17, $A$8*Y24, $A$14=$A$18, $A$8*Z24, $A$14=$A$19, $A$8*AA24, $A$14=$A$20, $A$8*AB24, $A$14=$A$21, $A$8*AC24)</f>
        <v>1.3972606634661279E-2</v>
      </c>
      <c r="AN24" s="7">
        <f t="shared" si="21"/>
        <v>7.7596230023759635E-2</v>
      </c>
      <c r="AO24" s="7">
        <f t="shared" si="11"/>
        <v>8.5831338779924701E-3</v>
      </c>
      <c r="AP24" s="7">
        <f t="shared" si="22"/>
        <v>1.4633520661085191E-2</v>
      </c>
      <c r="AR24" s="7">
        <f t="shared" si="12"/>
        <v>7.4999999999999997E-3</v>
      </c>
      <c r="AS24" s="7">
        <f t="shared" si="13"/>
        <v>0</v>
      </c>
      <c r="AT24" s="7">
        <f t="shared" si="23"/>
        <v>7.4999999999999997E-3</v>
      </c>
      <c r="AU24" s="7">
        <f t="shared" si="24"/>
        <v>7.0295867782962105E-4</v>
      </c>
      <c r="AV24" s="7">
        <f t="shared" si="14"/>
        <v>8.5831338779924701E-3</v>
      </c>
      <c r="AW24" s="7">
        <f t="shared" si="15"/>
        <v>1.4633520661085191E-2</v>
      </c>
      <c r="AZ24" s="7">
        <f t="shared" si="25"/>
        <v>-1</v>
      </c>
      <c r="BA24" s="7">
        <f t="shared" si="26"/>
        <v>-1</v>
      </c>
    </row>
    <row r="25" spans="1:53" x14ac:dyDescent="0.3">
      <c r="B25" s="7">
        <v>3.9899999999999996E-3</v>
      </c>
      <c r="C25" s="7">
        <v>1.2500000000000001E-2</v>
      </c>
      <c r="D25" s="7">
        <v>5.0000000000000001E-3</v>
      </c>
      <c r="E25" s="7">
        <v>1.208E-2</v>
      </c>
      <c r="F25" s="7">
        <v>4.3499999999999997E-3</v>
      </c>
      <c r="G25" s="7">
        <v>8.1899999999999994E-3</v>
      </c>
      <c r="H25" s="7">
        <v>5.0000000000000001E-3</v>
      </c>
      <c r="I25" s="7">
        <v>1.525E-2</v>
      </c>
      <c r="J25" s="7">
        <v>4.0200000000000001E-3</v>
      </c>
      <c r="K25" s="7">
        <v>1.213E-2</v>
      </c>
      <c r="L25" s="7">
        <v>5.0000000000000001E-3</v>
      </c>
      <c r="M25" s="7">
        <v>1.2030000000000001E-2</v>
      </c>
      <c r="N25" s="7">
        <v>5.0000000000000001E-3</v>
      </c>
      <c r="O25" s="7">
        <v>6.4599999999999996E-3</v>
      </c>
      <c r="P25" s="7">
        <v>4.3499999999999997E-3</v>
      </c>
      <c r="Q25" s="7">
        <v>8.1899999999999994E-3</v>
      </c>
      <c r="S25" s="7">
        <f t="shared" si="16"/>
        <v>5.0100489494073446E-4</v>
      </c>
      <c r="T25" s="7">
        <f t="shared" si="17"/>
        <v>8.4245562814708158E-2</v>
      </c>
      <c r="U25" s="7">
        <f t="shared" si="18"/>
        <v>8.4047101495715815E-2</v>
      </c>
      <c r="W25" s="7">
        <f t="shared" si="0"/>
        <v>8.0276667623921577E-2</v>
      </c>
      <c r="X25" s="7">
        <f t="shared" si="1"/>
        <v>8.0533333333333346E-2</v>
      </c>
      <c r="Y25" s="7">
        <f t="shared" si="2"/>
        <v>7.7162324720494224E-2</v>
      </c>
      <c r="Z25" s="7">
        <f t="shared" si="3"/>
        <v>7.2619047619047611E-2</v>
      </c>
      <c r="AA25" s="7">
        <f t="shared" si="4"/>
        <v>7.7801263078725341E-2</v>
      </c>
      <c r="AB25" s="7">
        <f t="shared" si="5"/>
        <v>8.0200000000000007E-2</v>
      </c>
      <c r="AC25" s="7">
        <f t="shared" si="6"/>
        <v>8.0749999999999988E-2</v>
      </c>
      <c r="AF25" s="49">
        <v>5.0000000000000001E-3</v>
      </c>
      <c r="AG25" s="7">
        <f t="shared" si="7"/>
        <v>5.0100489494073446E-4</v>
      </c>
      <c r="AH25" s="7" t="str">
        <f t="shared" si="8"/>
        <v xml:space="preserve"> </v>
      </c>
      <c r="AI25" s="49">
        <f t="shared" si="19"/>
        <v>5.0100489494073446E-4</v>
      </c>
      <c r="AJ25" s="7">
        <f t="shared" si="9"/>
        <v>8.4245562814708158E-2</v>
      </c>
      <c r="AK25" s="3" t="str">
        <f t="shared" si="10"/>
        <v xml:space="preserve"> </v>
      </c>
      <c r="AL25" s="7">
        <f t="shared" si="20"/>
        <v>8.4245562814708158E-2</v>
      </c>
      <c r="AM25" s="7" cm="1">
        <f t="array" ref="AM25">_xlfn.IFS($A$14=$A$15, $A$8*W25, $A$14=$A$16, $A$8*X25, $A$14=$A$17, $A$8*Y25, $A$14=$A$18, $A$8*Z25, $A$14=$A$19, $A$8*AA25, $A$14=$A$20, $A$8*AB25, $A$14=$A$21, $A$8*AC25)</f>
        <v>1.1574348708074134E-2</v>
      </c>
      <c r="AN25" s="7">
        <f t="shared" si="21"/>
        <v>8.4047101495715815E-2</v>
      </c>
      <c r="AO25" s="7">
        <f t="shared" si="11"/>
        <v>5.9716455801578812E-3</v>
      </c>
      <c r="AP25" s="7">
        <f t="shared" si="22"/>
        <v>1.2034497552529631E-2</v>
      </c>
      <c r="AR25" s="7">
        <f t="shared" si="12"/>
        <v>5.0000000000000001E-3</v>
      </c>
      <c r="AS25" s="7">
        <f t="shared" si="13"/>
        <v>0</v>
      </c>
      <c r="AT25" s="7">
        <f t="shared" si="23"/>
        <v>5.0000000000000001E-3</v>
      </c>
      <c r="AU25" s="7">
        <f t="shared" si="24"/>
        <v>5.0100489494073446E-4</v>
      </c>
      <c r="AV25" s="50">
        <f t="shared" si="14"/>
        <v>5.9716455801578812E-3</v>
      </c>
      <c r="AW25" s="50">
        <f t="shared" si="15"/>
        <v>1.2034497552529631E-2</v>
      </c>
      <c r="AZ25" s="7">
        <f t="shared" si="25"/>
        <v>-1</v>
      </c>
      <c r="BA25" s="7">
        <f t="shared" si="26"/>
        <v>-1</v>
      </c>
    </row>
    <row r="26" spans="1:53" x14ac:dyDescent="0.3">
      <c r="B26" s="7">
        <v>0</v>
      </c>
      <c r="C26" s="7">
        <v>0</v>
      </c>
      <c r="D26" s="7">
        <v>0</v>
      </c>
      <c r="E26" s="7">
        <v>0</v>
      </c>
      <c r="F26" s="7">
        <v>0</v>
      </c>
      <c r="G26" s="7">
        <v>0</v>
      </c>
      <c r="H26" s="7">
        <v>0</v>
      </c>
      <c r="I26" s="7">
        <v>0</v>
      </c>
      <c r="J26" s="7">
        <v>0</v>
      </c>
      <c r="K26" s="7">
        <v>0</v>
      </c>
      <c r="L26" s="7">
        <v>0</v>
      </c>
      <c r="M26" s="7">
        <v>0</v>
      </c>
      <c r="N26" s="7">
        <v>0</v>
      </c>
      <c r="O26" s="7">
        <v>0</v>
      </c>
      <c r="P26" s="7">
        <v>0</v>
      </c>
      <c r="Q26" s="7">
        <v>0</v>
      </c>
      <c r="S26" s="7">
        <f t="shared" si="16"/>
        <v>0</v>
      </c>
      <c r="T26" s="7">
        <f t="shared" si="17"/>
        <v>0</v>
      </c>
      <c r="U26" s="7">
        <f t="shared" si="18"/>
        <v>0</v>
      </c>
      <c r="W26" s="7">
        <f t="shared" si="0"/>
        <v>0</v>
      </c>
      <c r="X26" s="7">
        <f t="shared" si="1"/>
        <v>0</v>
      </c>
      <c r="Y26" s="7">
        <f t="shared" si="2"/>
        <v>0</v>
      </c>
      <c r="Z26" s="7">
        <f t="shared" si="3"/>
        <v>0</v>
      </c>
      <c r="AA26" s="7">
        <f t="shared" si="4"/>
        <v>0</v>
      </c>
      <c r="AB26" s="7">
        <f t="shared" si="5"/>
        <v>0</v>
      </c>
      <c r="AC26" s="7">
        <f t="shared" si="6"/>
        <v>0</v>
      </c>
      <c r="AF26" s="49">
        <v>0</v>
      </c>
      <c r="AG26" s="7">
        <f t="shared" si="7"/>
        <v>0</v>
      </c>
      <c r="AH26" s="7" t="str">
        <f t="shared" si="8"/>
        <v xml:space="preserve"> </v>
      </c>
      <c r="AI26" s="49">
        <f t="shared" si="19"/>
        <v>0</v>
      </c>
      <c r="AJ26" s="7">
        <f t="shared" si="9"/>
        <v>0</v>
      </c>
      <c r="AK26" s="3" t="str">
        <f t="shared" si="10"/>
        <v xml:space="preserve"> </v>
      </c>
      <c r="AL26" s="7">
        <f t="shared" si="20"/>
        <v>0</v>
      </c>
      <c r="AM26" s="7" cm="1">
        <f t="array" ref="AM26">_xlfn.IFS($A$14=$A$15, $A$8*W26, $A$14=$A$16, $A$8*X26, $A$14=$A$17, $A$8*Y26, $A$14=$A$18, $A$8*Z26, $A$14=$A$19, $A$8*AA26, $A$14=$A$20, $A$8*AB26, $A$14=$A$21, $A$8*AC26)</f>
        <v>0</v>
      </c>
      <c r="AN26" s="7">
        <f t="shared" si="21"/>
        <v>0</v>
      </c>
      <c r="AO26" s="7">
        <f t="shared" si="11"/>
        <v>0</v>
      </c>
      <c r="AP26" s="7">
        <f t="shared" si="22"/>
        <v>0</v>
      </c>
      <c r="AR26" s="7">
        <f t="shared" si="12"/>
        <v>0</v>
      </c>
      <c r="AS26" s="7">
        <f t="shared" si="13"/>
        <v>0</v>
      </c>
      <c r="AT26" s="7">
        <f t="shared" si="23"/>
        <v>0</v>
      </c>
      <c r="AU26" s="7">
        <f t="shared" si="24"/>
        <v>0</v>
      </c>
      <c r="AV26" s="50">
        <f t="shared" si="14"/>
        <v>0</v>
      </c>
      <c r="AW26" s="50">
        <f t="shared" si="15"/>
        <v>0</v>
      </c>
      <c r="AZ26" s="7">
        <f t="shared" si="25"/>
        <v>-1</v>
      </c>
      <c r="BA26" s="7">
        <f t="shared" si="26"/>
        <v>-1</v>
      </c>
    </row>
    <row r="27" spans="1:53" x14ac:dyDescent="0.3">
      <c r="B27" s="7">
        <v>6.0099999999999997E-3</v>
      </c>
      <c r="C27" s="7">
        <v>-1.15E-2</v>
      </c>
      <c r="D27" s="7">
        <v>5.0000000000000001E-3</v>
      </c>
      <c r="E27" s="7">
        <v>-1.208E-2</v>
      </c>
      <c r="F27" s="7">
        <v>5.6499999999999996E-3</v>
      </c>
      <c r="G27" s="7">
        <v>-7.1900000000000002E-3</v>
      </c>
      <c r="H27" s="7">
        <v>5.0000000000000001E-3</v>
      </c>
      <c r="I27" s="7">
        <v>-1.525E-2</v>
      </c>
      <c r="J27" s="7">
        <v>5.9800000000000001E-3</v>
      </c>
      <c r="K27" s="7">
        <v>-1.1129999999999999E-2</v>
      </c>
      <c r="L27" s="7">
        <v>5.0000000000000001E-3</v>
      </c>
      <c r="M27" s="7">
        <v>-1.2030000000000001E-2</v>
      </c>
      <c r="N27" s="7">
        <v>5.0000000000000001E-3</v>
      </c>
      <c r="O27" s="7">
        <v>-6.4599999999999996E-3</v>
      </c>
      <c r="P27" s="7">
        <v>5.6499999999999996E-3</v>
      </c>
      <c r="Q27" s="7">
        <v>-7.1900000000000002E-3</v>
      </c>
      <c r="S27" s="7">
        <f t="shared" si="16"/>
        <v>5.0100489494073446E-4</v>
      </c>
      <c r="T27" s="7">
        <f t="shared" si="17"/>
        <v>8.4245562814708158E-2</v>
      </c>
      <c r="U27" s="7">
        <f t="shared" si="18"/>
        <v>8.4047101495715815E-2</v>
      </c>
      <c r="W27" s="7">
        <f t="shared" si="0"/>
        <v>-8.0290113686103934E-2</v>
      </c>
      <c r="X27" s="7">
        <f t="shared" si="1"/>
        <v>-8.0533333333333346E-2</v>
      </c>
      <c r="Y27" s="7">
        <f t="shared" si="2"/>
        <v>-7.7182493813767794E-2</v>
      </c>
      <c r="Z27" s="7">
        <f t="shared" si="3"/>
        <v>-7.2619047619047611E-2</v>
      </c>
      <c r="AA27" s="7">
        <f t="shared" si="4"/>
        <v>-7.7814709140907698E-2</v>
      </c>
      <c r="AB27" s="7">
        <f t="shared" si="5"/>
        <v>-8.0200000000000007E-2</v>
      </c>
      <c r="AC27" s="7">
        <f t="shared" si="6"/>
        <v>-8.0749999999999988E-2</v>
      </c>
      <c r="AF27" s="7">
        <v>5.0000000000000001E-3</v>
      </c>
      <c r="AG27" s="7">
        <f t="shared" si="7"/>
        <v>5.0100489494073446E-4</v>
      </c>
      <c r="AH27" s="7" t="str">
        <f t="shared" si="8"/>
        <v xml:space="preserve"> </v>
      </c>
      <c r="AI27" s="7">
        <f t="shared" si="19"/>
        <v>5.0100489494073446E-4</v>
      </c>
      <c r="AJ27" s="7">
        <f t="shared" si="9"/>
        <v>8.4245562814708158E-2</v>
      </c>
      <c r="AK27" s="3" t="str">
        <f t="shared" si="10"/>
        <v xml:space="preserve"> </v>
      </c>
      <c r="AL27" s="7">
        <f t="shared" si="20"/>
        <v>8.4245562814708158E-2</v>
      </c>
      <c r="AM27" s="7" cm="1">
        <f t="array" ref="AM27">_xlfn.IFS($A$14=$A$15, $A$8*W27, $A$14=$A$16, $A$8*X27, $A$14=$A$17, $A$8*Y27, $A$14=$A$18, $A$8*Z27, $A$14=$A$19, $A$8*AA27, $A$14=$A$20, $A$8*AB27, $A$14=$A$21, $A$8*AC27)</f>
        <v>-1.1577374072065169E-2</v>
      </c>
      <c r="AN27" s="7">
        <f t="shared" si="21"/>
        <v>8.4047101495715815E-2</v>
      </c>
      <c r="AO27" s="7">
        <f t="shared" si="11"/>
        <v>4.0281004460225632E-3</v>
      </c>
      <c r="AP27" s="7">
        <f t="shared" si="22"/>
        <v>-1.1035502447470371E-2</v>
      </c>
      <c r="AV27" s="50">
        <f t="shared" si="14"/>
        <v>4.0281004460225632E-3</v>
      </c>
      <c r="AW27" s="50">
        <f t="shared" si="15"/>
        <v>-1.1035502447470371E-2</v>
      </c>
    </row>
    <row r="28" spans="1:53" x14ac:dyDescent="0.3">
      <c r="B28" s="7">
        <v>8.6300000000000005E-3</v>
      </c>
      <c r="C28" s="7">
        <v>-1.388E-2</v>
      </c>
      <c r="D28" s="7">
        <v>7.4999999999999997E-3</v>
      </c>
      <c r="E28" s="7">
        <v>-1.456E-2</v>
      </c>
      <c r="F28" s="7">
        <v>8.2199999999999999E-3</v>
      </c>
      <c r="G28" s="7">
        <v>-8.5900000000000004E-3</v>
      </c>
      <c r="H28" s="7">
        <v>7.4999999999999997E-3</v>
      </c>
      <c r="I28" s="7">
        <v>-1.804E-2</v>
      </c>
      <c r="J28" s="7">
        <v>8.5800000000000008E-3</v>
      </c>
      <c r="K28" s="7">
        <v>-1.32E-2</v>
      </c>
      <c r="L28" s="7">
        <v>7.4999999999999997E-3</v>
      </c>
      <c r="M28" s="7">
        <v>-1.448E-2</v>
      </c>
      <c r="N28" s="7">
        <v>7.4999999999999997E-3</v>
      </c>
      <c r="O28" s="7">
        <v>-7.7799999999999996E-3</v>
      </c>
      <c r="P28" s="7">
        <v>8.2199999999999999E-3</v>
      </c>
      <c r="Q28" s="7">
        <v>-8.5900000000000004E-3</v>
      </c>
      <c r="S28" s="7">
        <f t="shared" si="16"/>
        <v>7.0295867782962105E-4</v>
      </c>
      <c r="T28" s="7">
        <f t="shared" si="17"/>
        <v>7.7752346193526778E-2</v>
      </c>
      <c r="U28" s="7">
        <f t="shared" si="18"/>
        <v>7.7596230023759635E-2</v>
      </c>
      <c r="W28" s="7">
        <f t="shared" si="0"/>
        <v>-9.7513149108056446E-2</v>
      </c>
      <c r="X28" s="7">
        <f t="shared" si="1"/>
        <v>-9.7066666666666676E-2</v>
      </c>
      <c r="Y28" s="7">
        <f t="shared" si="2"/>
        <v>-9.3210063049538286E-2</v>
      </c>
      <c r="Z28" s="7">
        <f t="shared" si="3"/>
        <v>-8.59047619047619E-2</v>
      </c>
      <c r="AA28" s="7">
        <f t="shared" si="4"/>
        <v>-9.2966133453799157E-2</v>
      </c>
      <c r="AB28" s="7">
        <f t="shared" si="5"/>
        <v>-9.6533333333333332E-2</v>
      </c>
      <c r="AC28" s="7">
        <f t="shared" si="6"/>
        <v>-9.7249999999999989E-2</v>
      </c>
      <c r="AF28" s="7">
        <v>7.4999999999999997E-3</v>
      </c>
      <c r="AG28" s="7">
        <f t="shared" si="7"/>
        <v>7.0295867782962105E-4</v>
      </c>
      <c r="AH28" s="7" t="str">
        <f t="shared" si="8"/>
        <v xml:space="preserve"> </v>
      </c>
      <c r="AI28" s="7">
        <f t="shared" si="19"/>
        <v>7.0295867782962105E-4</v>
      </c>
      <c r="AJ28" s="7">
        <f t="shared" si="9"/>
        <v>7.7752346193526778E-2</v>
      </c>
      <c r="AK28" s="3" t="str">
        <f t="shared" si="10"/>
        <v xml:space="preserve"> </v>
      </c>
      <c r="AL28" s="7">
        <f t="shared" si="20"/>
        <v>7.7752346193526778E-2</v>
      </c>
      <c r="AM28" s="7" cm="1">
        <f t="array" ref="AM28">_xlfn.IFS($A$14=$A$15, $A$8*W28, $A$14=$A$16, $A$8*X28, $A$14=$A$17, $A$8*Y28, $A$14=$A$18, $A$8*Z28, $A$14=$A$19, $A$8*AA28, $A$14=$A$20, $A$8*AB28, $A$14=$A$21, $A$8*AC28)</f>
        <v>-1.3981509457430742E-2</v>
      </c>
      <c r="AN28" s="7">
        <f t="shared" si="21"/>
        <v>7.7596230023759635E-2</v>
      </c>
      <c r="AO28" s="7">
        <f t="shared" si="11"/>
        <v>6.4161759895788786E-3</v>
      </c>
      <c r="AP28" s="7">
        <f t="shared" si="22"/>
        <v>-1.3236479338914812E-2</v>
      </c>
      <c r="AV28" s="7">
        <f t="shared" si="14"/>
        <v>6.4161759895788786E-3</v>
      </c>
      <c r="AW28" s="7">
        <f t="shared" si="15"/>
        <v>-1.3236479338914812E-2</v>
      </c>
    </row>
    <row r="29" spans="1:53" x14ac:dyDescent="0.3">
      <c r="B29" s="7">
        <v>1.38E-2</v>
      </c>
      <c r="C29" s="7">
        <v>-1.7659999999999999E-2</v>
      </c>
      <c r="D29" s="7">
        <v>1.2500000000000001E-2</v>
      </c>
      <c r="E29" s="7">
        <v>-1.8419999999999999E-2</v>
      </c>
      <c r="F29" s="7">
        <v>1.3310000000000001E-2</v>
      </c>
      <c r="G29" s="7">
        <v>-1.059E-2</v>
      </c>
      <c r="H29" s="7">
        <v>1.2500000000000001E-2</v>
      </c>
      <c r="I29" s="7">
        <v>-2.24E-2</v>
      </c>
      <c r="J29" s="7">
        <v>1.372E-2</v>
      </c>
      <c r="K29" s="7">
        <v>-1.653E-2</v>
      </c>
      <c r="L29" s="7">
        <v>1.2500000000000001E-2</v>
      </c>
      <c r="M29" s="7">
        <v>-1.8440000000000002E-2</v>
      </c>
      <c r="N29" s="7">
        <v>1.2500000000000001E-2</v>
      </c>
      <c r="O29" s="7">
        <v>-9.8300000000000002E-3</v>
      </c>
      <c r="P29" s="7">
        <v>1.3310000000000001E-2</v>
      </c>
      <c r="Q29" s="7">
        <v>-1.059E-2</v>
      </c>
      <c r="S29" s="7">
        <f t="shared" si="16"/>
        <v>1.0694715670078072E-3</v>
      </c>
      <c r="T29" s="7">
        <f t="shared" si="17"/>
        <v>6.9541922430239309E-2</v>
      </c>
      <c r="U29" s="7">
        <f t="shared" si="18"/>
        <v>6.9430143185714985E-2</v>
      </c>
      <c r="W29" s="7">
        <f t="shared" si="0"/>
        <v>-0.12516470364017515</v>
      </c>
      <c r="X29" s="7">
        <f t="shared" si="1"/>
        <v>-0.12279999999999999</v>
      </c>
      <c r="Y29" s="7">
        <f t="shared" si="2"/>
        <v>-0.11687630625865478</v>
      </c>
      <c r="Z29" s="7">
        <f t="shared" si="3"/>
        <v>-0.10666666666666666</v>
      </c>
      <c r="AA29" s="7">
        <f t="shared" si="4"/>
        <v>-0.11761317637965493</v>
      </c>
      <c r="AB29" s="7">
        <f t="shared" si="5"/>
        <v>-0.12293333333333335</v>
      </c>
      <c r="AC29" s="7">
        <f t="shared" si="6"/>
        <v>-0.122875</v>
      </c>
      <c r="AF29" s="7">
        <v>1.2500000000000001E-2</v>
      </c>
      <c r="AG29" s="7">
        <f t="shared" si="7"/>
        <v>1.0694715670078072E-3</v>
      </c>
      <c r="AH29" s="7" t="str">
        <f t="shared" si="8"/>
        <v xml:space="preserve"> </v>
      </c>
      <c r="AI29" s="7">
        <f t="shared" si="19"/>
        <v>1.0694715670078072E-3</v>
      </c>
      <c r="AJ29" s="7">
        <f t="shared" si="9"/>
        <v>6.9541922430239309E-2</v>
      </c>
      <c r="AK29" s="3" t="str">
        <f t="shared" si="10"/>
        <v xml:space="preserve"> </v>
      </c>
      <c r="AL29" s="7">
        <f t="shared" si="20"/>
        <v>6.9541922430239309E-2</v>
      </c>
      <c r="AM29" s="7" cm="1">
        <f t="array" ref="AM29">_xlfn.IFS($A$14=$A$15, $A$8*W29, $A$14=$A$16, $A$8*X29, $A$14=$A$17, $A$8*Y29, $A$14=$A$18, $A$8*Z29, $A$14=$A$19, $A$8*AA29, $A$14=$A$20, $A$8*AB29, $A$14=$A$21, $A$8*AC29)</f>
        <v>-1.7531445938798216E-2</v>
      </c>
      <c r="AN29" s="7">
        <f t="shared" si="21"/>
        <v>6.9430143185714985E-2</v>
      </c>
      <c r="AO29" s="7">
        <f t="shared" si="11"/>
        <v>1.1283766899064344E-2</v>
      </c>
      <c r="AP29" s="7">
        <f t="shared" si="22"/>
        <v>-1.6419735783503905E-2</v>
      </c>
      <c r="AV29" s="7">
        <f t="shared" si="14"/>
        <v>1.1283766899064344E-2</v>
      </c>
      <c r="AW29" s="7">
        <f t="shared" si="15"/>
        <v>-1.6419735783503905E-2</v>
      </c>
    </row>
    <row r="30" spans="1:53" x14ac:dyDescent="0.3">
      <c r="B30" s="7">
        <v>2.6519999999999998E-2</v>
      </c>
      <c r="C30" s="7">
        <v>-2.4199999999999999E-2</v>
      </c>
      <c r="D30" s="7">
        <v>2.5000000000000001E-2</v>
      </c>
      <c r="E30" s="7">
        <v>-2.528E-2</v>
      </c>
      <c r="F30" s="7">
        <v>2.5919999999999999E-2</v>
      </c>
      <c r="G30" s="7">
        <v>-1.3849999999999999E-2</v>
      </c>
      <c r="H30" s="7">
        <v>2.5000000000000001E-2</v>
      </c>
      <c r="I30" s="7">
        <v>-3.0450000000000001E-2</v>
      </c>
      <c r="J30" s="7">
        <v>2.639E-2</v>
      </c>
      <c r="K30" s="7">
        <v>-2.205E-2</v>
      </c>
      <c r="L30" s="7">
        <v>2.5000000000000001E-2</v>
      </c>
      <c r="M30" s="7">
        <v>-2.579E-2</v>
      </c>
      <c r="N30" s="7">
        <v>2.5000000000000001E-2</v>
      </c>
      <c r="O30" s="7">
        <v>-1.353E-2</v>
      </c>
      <c r="P30" s="7">
        <v>2.5919999999999999E-2</v>
      </c>
      <c r="Q30" s="7">
        <v>-1.3849999999999999E-2</v>
      </c>
      <c r="S30" s="7">
        <f t="shared" si="16"/>
        <v>1.8606302921536551E-3</v>
      </c>
      <c r="T30" s="7">
        <f t="shared" si="17"/>
        <v>5.8307394530341429E-2</v>
      </c>
      <c r="U30" s="7">
        <f t="shared" si="18"/>
        <v>5.8241452092223242E-2</v>
      </c>
      <c r="W30" s="7">
        <f t="shared" si="0"/>
        <v>-0.17403261698150038</v>
      </c>
      <c r="X30" s="7">
        <f t="shared" si="1"/>
        <v>-0.16853333333333334</v>
      </c>
      <c r="Y30" s="7">
        <f t="shared" si="2"/>
        <v>-0.15737313757500737</v>
      </c>
      <c r="Z30" s="7">
        <f t="shared" si="3"/>
        <v>-0.14500000000000002</v>
      </c>
      <c r="AA30" s="7">
        <f t="shared" si="4"/>
        <v>-0.15967493943051339</v>
      </c>
      <c r="AB30" s="7">
        <f t="shared" si="5"/>
        <v>-0.17193333333333335</v>
      </c>
      <c r="AC30" s="7">
        <f t="shared" si="6"/>
        <v>-0.169125</v>
      </c>
      <c r="AF30" s="7">
        <v>2.5000000000000001E-2</v>
      </c>
      <c r="AG30" s="7">
        <f t="shared" si="7"/>
        <v>1.8606302921536551E-3</v>
      </c>
      <c r="AH30" s="7" t="str">
        <f t="shared" si="8"/>
        <v xml:space="preserve"> </v>
      </c>
      <c r="AI30" s="7">
        <f t="shared" si="19"/>
        <v>1.8606302921536551E-3</v>
      </c>
      <c r="AJ30" s="7">
        <f t="shared" si="9"/>
        <v>5.8307394530341429E-2</v>
      </c>
      <c r="AK30" s="3" t="str">
        <f t="shared" si="10"/>
        <v xml:space="preserve"> </v>
      </c>
      <c r="AL30" s="7">
        <f t="shared" si="20"/>
        <v>5.8307394530341429E-2</v>
      </c>
      <c r="AM30" s="7" cm="1">
        <f t="array" ref="AM30">_xlfn.IFS($A$14=$A$15, $A$8*W30, $A$14=$A$16, $A$8*X30, $A$14=$A$17, $A$8*Y30, $A$14=$A$18, $A$8*Z30, $A$14=$A$19, $A$8*AA30, $A$14=$A$20, $A$8*AB30, $A$14=$A$21, $A$8*AC30)</f>
        <v>-2.3605970636251104E-2</v>
      </c>
      <c r="AN30" s="7">
        <f t="shared" si="21"/>
        <v>5.8241452092223242E-2</v>
      </c>
      <c r="AO30" s="7">
        <f t="shared" si="11"/>
        <v>2.3625931121852597E-2</v>
      </c>
      <c r="AP30" s="7">
        <f t="shared" si="22"/>
        <v>-2.1705315146076827E-2</v>
      </c>
      <c r="AV30" s="7">
        <f t="shared" si="14"/>
        <v>2.3625931121852597E-2</v>
      </c>
      <c r="AW30" s="7">
        <f t="shared" si="15"/>
        <v>-2.1705315146076827E-2</v>
      </c>
    </row>
    <row r="31" spans="1:53" x14ac:dyDescent="0.3">
      <c r="B31" s="7">
        <v>5.1709999999999999E-2</v>
      </c>
      <c r="C31" s="7">
        <v>-3.3279999999999997E-2</v>
      </c>
      <c r="D31" s="7">
        <v>0.05</v>
      </c>
      <c r="E31" s="7">
        <v>-3.5040000000000002E-2</v>
      </c>
      <c r="F31" s="7">
        <v>5.1020000000000003E-2</v>
      </c>
      <c r="G31" s="7">
        <v>-1.8589999999999999E-2</v>
      </c>
      <c r="H31" s="7">
        <v>0.05</v>
      </c>
      <c r="I31" s="7">
        <v>-4.2689999999999999E-2</v>
      </c>
      <c r="J31" s="7">
        <v>5.1520000000000003E-2</v>
      </c>
      <c r="K31" s="7">
        <v>-2.9250000000000002E-2</v>
      </c>
      <c r="L31" s="7">
        <v>0.05</v>
      </c>
      <c r="M31" s="7">
        <v>-3.6179999999999997E-2</v>
      </c>
      <c r="N31" s="7">
        <v>0.05</v>
      </c>
      <c r="O31" s="7">
        <v>-1.8630000000000001E-2</v>
      </c>
      <c r="P31" s="7">
        <v>5.1020000000000003E-2</v>
      </c>
      <c r="Q31" s="7">
        <v>-1.8589999999999999E-2</v>
      </c>
      <c r="S31" s="7">
        <f t="shared" si="16"/>
        <v>3.1594682257586105E-3</v>
      </c>
      <c r="T31" s="7">
        <f t="shared" si="17"/>
        <v>4.6862201816679321E-2</v>
      </c>
      <c r="U31" s="7">
        <f t="shared" si="18"/>
        <v>4.6827942784359894E-2</v>
      </c>
      <c r="W31" s="7">
        <f t="shared" si="0"/>
        <v>-0.2431963868040771</v>
      </c>
      <c r="X31" s="7">
        <f t="shared" si="1"/>
        <v>-0.23360000000000003</v>
      </c>
      <c r="Y31" s="7">
        <f t="shared" si="2"/>
        <v>-0.2177333676212474</v>
      </c>
      <c r="Z31" s="7">
        <f t="shared" si="3"/>
        <v>-0.20328571428571429</v>
      </c>
      <c r="AA31" s="7">
        <f t="shared" si="4"/>
        <v>-0.21630023582985342</v>
      </c>
      <c r="AB31" s="7">
        <f t="shared" si="5"/>
        <v>-0.2412</v>
      </c>
      <c r="AC31" s="7">
        <f t="shared" si="6"/>
        <v>-0.232875</v>
      </c>
      <c r="AF31" s="7">
        <v>0.05</v>
      </c>
      <c r="AG31" s="7">
        <f t="shared" si="7"/>
        <v>3.1594682257586105E-3</v>
      </c>
      <c r="AH31" s="7" t="str">
        <f t="shared" si="8"/>
        <v xml:space="preserve"> </v>
      </c>
      <c r="AI31" s="7">
        <f t="shared" si="19"/>
        <v>3.1594682257586105E-3</v>
      </c>
      <c r="AJ31" s="7">
        <f t="shared" si="9"/>
        <v>4.6862201816679321E-2</v>
      </c>
      <c r="AK31" s="3" t="str">
        <f t="shared" si="10"/>
        <v xml:space="preserve"> </v>
      </c>
      <c r="AL31" s="7">
        <f t="shared" si="20"/>
        <v>4.6862201816679321E-2</v>
      </c>
      <c r="AM31" s="7" cm="1">
        <f t="array" ref="AM31">_xlfn.IFS($A$14=$A$15, $A$8*W31, $A$14=$A$16, $A$8*X31, $A$14=$A$17, $A$8*Y31, $A$14=$A$18, $A$8*Z31, $A$14=$A$19, $A$8*AA31, $A$14=$A$20, $A$8*AB31, $A$14=$A$21, $A$8*AC31)</f>
        <v>-3.2660005143187107E-2</v>
      </c>
      <c r="AN31" s="7">
        <f t="shared" si="21"/>
        <v>4.6827942784359894E-2</v>
      </c>
      <c r="AO31" s="7">
        <f t="shared" si="11"/>
        <v>4.847115804589857E-2</v>
      </c>
      <c r="AP31" s="7">
        <f t="shared" si="22"/>
        <v>-2.9464734112879302E-2</v>
      </c>
      <c r="AV31" s="7">
        <f t="shared" si="14"/>
        <v>4.847115804589857E-2</v>
      </c>
      <c r="AW31" s="7">
        <f t="shared" si="15"/>
        <v>-2.9464734112879302E-2</v>
      </c>
    </row>
    <row r="32" spans="1:53" x14ac:dyDescent="0.3">
      <c r="B32" s="7">
        <v>7.6770000000000005E-2</v>
      </c>
      <c r="C32" s="7">
        <v>-3.9989999999999998E-2</v>
      </c>
      <c r="D32" s="7">
        <v>7.4999999999999997E-2</v>
      </c>
      <c r="E32" s="7">
        <v>-4.24E-2</v>
      </c>
      <c r="F32" s="7">
        <v>7.6060000000000003E-2</v>
      </c>
      <c r="G32" s="7">
        <v>-2.2210000000000001E-2</v>
      </c>
      <c r="H32" s="7">
        <v>7.4999999999999997E-2</v>
      </c>
      <c r="I32" s="7">
        <v>-5.2330000000000002E-2</v>
      </c>
      <c r="J32" s="7">
        <v>7.6560000000000003E-2</v>
      </c>
      <c r="K32" s="7">
        <v>-3.4729999999999997E-2</v>
      </c>
      <c r="L32" s="7">
        <v>7.4999999999999997E-2</v>
      </c>
      <c r="M32" s="7">
        <v>-4.3819999999999998E-2</v>
      </c>
      <c r="N32" s="7">
        <v>7.4999999999999997E-2</v>
      </c>
      <c r="O32" s="7">
        <v>-2.2450000000000001E-2</v>
      </c>
      <c r="P32" s="7">
        <v>7.6060000000000003E-2</v>
      </c>
      <c r="Q32" s="7">
        <v>-2.2210000000000001E-2</v>
      </c>
      <c r="S32" s="7">
        <f t="shared" si="16"/>
        <v>4.2396404091970957E-3</v>
      </c>
      <c r="T32" s="7">
        <f t="shared" si="17"/>
        <v>3.9984585861336713E-2</v>
      </c>
      <c r="U32" s="7">
        <f t="shared" si="18"/>
        <v>3.9963297598379181E-2</v>
      </c>
      <c r="W32" s="7">
        <f t="shared" si="0"/>
        <v>-0.29509988490607086</v>
      </c>
      <c r="X32" s="7">
        <f t="shared" si="1"/>
        <v>-0.28266666666666668</v>
      </c>
      <c r="Y32" s="7">
        <f t="shared" si="2"/>
        <v>-0.26470775372632221</v>
      </c>
      <c r="Z32" s="7">
        <f t="shared" si="3"/>
        <v>-0.24919047619047618</v>
      </c>
      <c r="AA32" s="7">
        <f t="shared" si="4"/>
        <v>-0.2600051977179027</v>
      </c>
      <c r="AB32" s="7">
        <f t="shared" si="5"/>
        <v>-0.29213333333333336</v>
      </c>
      <c r="AC32" s="7">
        <f t="shared" si="6"/>
        <v>-0.28062500000000001</v>
      </c>
      <c r="AF32" s="7">
        <v>7.4999999999999997E-2</v>
      </c>
      <c r="AG32" s="7">
        <f t="shared" si="7"/>
        <v>4.2396404091970957E-3</v>
      </c>
      <c r="AH32" s="7" t="str">
        <f t="shared" si="8"/>
        <v xml:space="preserve"> </v>
      </c>
      <c r="AI32" s="7">
        <f t="shared" si="19"/>
        <v>4.2396404091970957E-3</v>
      </c>
      <c r="AJ32" s="7">
        <f t="shared" si="9"/>
        <v>3.9984585861336713E-2</v>
      </c>
      <c r="AK32" s="3" t="str">
        <f t="shared" si="10"/>
        <v xml:space="preserve"> </v>
      </c>
      <c r="AL32" s="7">
        <f t="shared" si="20"/>
        <v>3.9984585861336713E-2</v>
      </c>
      <c r="AM32" s="7" cm="1">
        <f t="array" ref="AM32">_xlfn.IFS($A$14=$A$15, $A$8*W32, $A$14=$A$16, $A$8*X32, $A$14=$A$17, $A$8*Y32, $A$14=$A$18, $A$8*Z32, $A$14=$A$19, $A$8*AA32, $A$14=$A$20, $A$8*AB32, $A$14=$A$21, $A$8*AC32)</f>
        <v>-3.9706163058948328E-2</v>
      </c>
      <c r="AN32" s="7">
        <f t="shared" si="21"/>
        <v>3.9963297598379181E-2</v>
      </c>
      <c r="AO32" s="7">
        <f t="shared" si="11"/>
        <v>7.3413633123085464E-2</v>
      </c>
      <c r="AP32" s="7">
        <f t="shared" si="22"/>
        <v>-3.5434820204598545E-2</v>
      </c>
      <c r="AV32" s="7">
        <f t="shared" si="14"/>
        <v>7.3413633123085464E-2</v>
      </c>
      <c r="AW32" s="7">
        <f t="shared" si="15"/>
        <v>-3.5434820204598545E-2</v>
      </c>
    </row>
    <row r="33" spans="2:49" x14ac:dyDescent="0.3">
      <c r="B33" s="7">
        <v>0.10177</v>
      </c>
      <c r="C33" s="7">
        <v>-4.5350000000000001E-2</v>
      </c>
      <c r="D33" s="7">
        <v>0.1</v>
      </c>
      <c r="E33" s="7">
        <v>-4.8419999999999998E-2</v>
      </c>
      <c r="F33" s="7">
        <v>0.10106</v>
      </c>
      <c r="G33" s="7">
        <v>-2.521E-2</v>
      </c>
      <c r="H33" s="7">
        <v>0.1</v>
      </c>
      <c r="I33" s="7">
        <v>-6.0519999999999997E-2</v>
      </c>
      <c r="J33" s="7">
        <v>0.10155</v>
      </c>
      <c r="K33" s="7">
        <v>-3.9129999999999998E-2</v>
      </c>
      <c r="L33" s="7">
        <v>0.1</v>
      </c>
      <c r="M33" s="7">
        <v>-4.9970000000000001E-2</v>
      </c>
      <c r="N33" s="7">
        <v>0.1</v>
      </c>
      <c r="O33" s="7">
        <v>-2.5590000000000002E-2</v>
      </c>
      <c r="P33" s="7">
        <v>0.10106</v>
      </c>
      <c r="Q33" s="7">
        <v>-2.521E-2</v>
      </c>
      <c r="S33" s="7">
        <f t="shared" si="16"/>
        <v>5.1738562130260067E-3</v>
      </c>
      <c r="T33" s="7">
        <f t="shared" si="17"/>
        <v>3.4969915256605977E-2</v>
      </c>
      <c r="U33" s="7">
        <f t="shared" si="18"/>
        <v>3.4955670862259973E-2</v>
      </c>
      <c r="W33" s="7">
        <f t="shared" ref="W33:W51" si="27">IFERROR((1/0.15)*(C33-S33)/COS(U33),0)</f>
        <v>-0.33703159639373559</v>
      </c>
      <c r="X33" s="7">
        <f t="shared" ref="X33:X51" si="28">(1/0.15)*E33</f>
        <v>-0.32279999999999998</v>
      </c>
      <c r="Y33" s="7">
        <f t="shared" ref="Y33:Y51" si="29">IFERROR((1/0.1)*(G33-S33)/COS(U33),0)</f>
        <v>-0.30402428669232479</v>
      </c>
      <c r="Z33" s="7">
        <f t="shared" ref="Z33:Z51" si="30">(1/0.21)*I33</f>
        <v>-0.28819047619047616</v>
      </c>
      <c r="AA33" s="7">
        <f t="shared" ref="AA33:AA51" si="31">IFERROR((1/0.15)*(K33-S33)/COS(U33),0)</f>
        <v>-0.29553958278475534</v>
      </c>
      <c r="AB33" s="7">
        <f t="shared" ref="AB33:AB51" si="32">(1/0.15)*M33</f>
        <v>-0.33313333333333334</v>
      </c>
      <c r="AC33" s="7">
        <f t="shared" ref="AC33:AC51" si="33">(1/0.08)*O33</f>
        <v>-0.31987500000000002</v>
      </c>
      <c r="AF33" s="7">
        <v>0.1</v>
      </c>
      <c r="AG33" s="7">
        <f t="shared" ref="AG33:AG51" si="34">IF($A$9=1, IFERROR((-$AE$3)*((1-AF33)*LN(1-AF33)+AF33*LN(AF33)),0), " ")</f>
        <v>5.1738562130260067E-3</v>
      </c>
      <c r="AH33" s="7" t="str">
        <f t="shared" ref="AH33:AH51" si="35">IF($A$9&lt;&gt;1, IF(AF33&lt;&gt;$A$9, IFERROR($AE$3*((1/(1-$A$9))*(0.5*($A$9-AF33)^2*LN(ABS($A$9-AF33))-0.5*(1-AF33)^2*LN(1-AF33)+0.25*(1-AF33)^2-0.25*($A$9-AF33)^2) -AF33*LN(AF33) +$AE$1-$AE$2*AF33), 0),  IFERROR($AE$3*((1/(1-$A$9))*(-0.5*(1-AF33)^2*LN(1-AF33)+0.25*(1-AF33)^2) -AF33*LN(AF33) +$AE$1-$AE$2*AF33), 0)), " ")</f>
        <v xml:space="preserve"> </v>
      </c>
      <c r="AI33" s="7">
        <f t="shared" si="19"/>
        <v>5.1738562130260067E-3</v>
      </c>
      <c r="AJ33" s="7">
        <f t="shared" ref="AJ33:AJ51" si="36">IF($A$9=1, IFERROR($AE$3*(LN(1-AF33)-LN(AF33)), 0), " ")</f>
        <v>3.4969915256605977E-2</v>
      </c>
      <c r="AK33" s="3" t="str">
        <f t="shared" ref="AK33:AK51" si="37">IF($A$9&lt;&gt;1, IF(AF33&lt;&gt;$A$9, IFERROR($AE$3*((1/(1-$A$9))*((1-AF33)*LN(1-AF33)-($A$9-AF33)*LN(ABS($A$9-AF33))) - LN(AF33) -1 - $AE$2), 0),  IFERROR($AE$3*((1/(1-$A$9))*((1-AF33)*LN(1-AF33)) - LN(AF33) -1 - $AE$2), 0)), " ")</f>
        <v xml:space="preserve"> </v>
      </c>
      <c r="AL33" s="7">
        <f t="shared" si="20"/>
        <v>3.4969915256605977E-2</v>
      </c>
      <c r="AM33" s="7" cm="1">
        <f t="array" ref="AM33">_xlfn.IFS($A$14=$A$15, $A$8*W33, $A$14=$A$16, $A$8*X33, $A$14=$A$17, $A$8*Y33, $A$14=$A$18, $A$8*Z33, $A$14=$A$19, $A$8*AA33, $A$14=$A$20, $A$8*AB33, $A$14=$A$21, $A$8*AC33)</f>
        <v>-4.5603643003848719E-2</v>
      </c>
      <c r="AN33" s="7">
        <f t="shared" si="21"/>
        <v>3.4955670862259973E-2</v>
      </c>
      <c r="AO33" s="7">
        <f t="shared" ref="AO33:AO51" si="38">AF33+AM33*SIN(AN33)</f>
        <v>9.8406218684592373E-2</v>
      </c>
      <c r="AP33" s="7">
        <f t="shared" si="22"/>
        <v>-4.0401928106513003E-2</v>
      </c>
      <c r="AV33" s="7">
        <f t="shared" ref="AV33:AV51" si="39">AO33*COS($A$11)+AP33*SIN($A$11)</f>
        <v>9.8406218684592373E-2</v>
      </c>
      <c r="AW33" s="7">
        <f t="shared" ref="AW33:AW51" si="40">AP33*COS($A$11)-AO33*SIN($A$11)</f>
        <v>-4.0401928106513003E-2</v>
      </c>
    </row>
    <row r="34" spans="2:49" x14ac:dyDescent="0.3">
      <c r="B34" s="7">
        <v>0.15165999999999999</v>
      </c>
      <c r="C34" s="7">
        <v>-5.3359999999999998E-2</v>
      </c>
      <c r="D34" s="7">
        <v>0.15</v>
      </c>
      <c r="E34" s="7">
        <v>-5.7849999999999999E-2</v>
      </c>
      <c r="F34" s="7">
        <v>0.15101000000000001</v>
      </c>
      <c r="G34" s="7">
        <v>-2.9919999999999999E-2</v>
      </c>
      <c r="H34" s="7">
        <v>0.15</v>
      </c>
      <c r="I34" s="7">
        <v>-7.3690000000000005E-2</v>
      </c>
      <c r="J34" s="7">
        <v>0.15146000000000001</v>
      </c>
      <c r="K34" s="7">
        <v>-4.6080000000000003E-2</v>
      </c>
      <c r="L34" s="7">
        <v>0.15</v>
      </c>
      <c r="M34" s="7">
        <v>-5.9420000000000001E-2</v>
      </c>
      <c r="N34" s="7">
        <v>0.15</v>
      </c>
      <c r="O34" s="7">
        <v>-3.0470000000000001E-2</v>
      </c>
      <c r="P34" s="7">
        <v>0.15101000000000001</v>
      </c>
      <c r="Q34" s="7">
        <v>-2.9919999999999999E-2</v>
      </c>
      <c r="S34" s="7">
        <f t="shared" si="16"/>
        <v>6.7276240814189469E-3</v>
      </c>
      <c r="T34" s="7">
        <f t="shared" si="17"/>
        <v>2.7607033225743566E-2</v>
      </c>
      <c r="U34" s="7">
        <f t="shared" si="18"/>
        <v>2.7600022880222702E-2</v>
      </c>
      <c r="W34" s="7">
        <f t="shared" si="27"/>
        <v>-0.40073678373313909</v>
      </c>
      <c r="X34" s="7">
        <f t="shared" si="28"/>
        <v>-0.38566666666666666</v>
      </c>
      <c r="Y34" s="7">
        <f t="shared" si="29"/>
        <v>-0.36661586883388775</v>
      </c>
      <c r="Z34" s="7">
        <f t="shared" si="30"/>
        <v>-0.35090476190476194</v>
      </c>
      <c r="AA34" s="7">
        <f t="shared" si="31"/>
        <v>-0.35218495912406128</v>
      </c>
      <c r="AB34" s="7">
        <f t="shared" si="32"/>
        <v>-0.39613333333333334</v>
      </c>
      <c r="AC34" s="7">
        <f t="shared" si="33"/>
        <v>-0.38087500000000002</v>
      </c>
      <c r="AF34" s="7">
        <v>0.15</v>
      </c>
      <c r="AG34" s="7">
        <f t="shared" si="34"/>
        <v>6.7276240814189469E-3</v>
      </c>
      <c r="AH34" s="7" t="str">
        <f t="shared" si="35"/>
        <v xml:space="preserve"> </v>
      </c>
      <c r="AI34" s="7">
        <f t="shared" si="19"/>
        <v>6.7276240814189469E-3</v>
      </c>
      <c r="AJ34" s="7">
        <f t="shared" si="36"/>
        <v>2.7607033225743566E-2</v>
      </c>
      <c r="AK34" s="3" t="str">
        <f t="shared" si="37"/>
        <v xml:space="preserve"> </v>
      </c>
      <c r="AL34" s="7">
        <f t="shared" si="20"/>
        <v>2.7607033225743566E-2</v>
      </c>
      <c r="AM34" s="7" cm="1">
        <f t="array" ref="AM34">_xlfn.IFS($A$14=$A$15, $A$8*W34, $A$14=$A$16, $A$8*X34, $A$14=$A$17, $A$8*Y34, $A$14=$A$18, $A$8*Z34, $A$14=$A$19, $A$8*AA34, $A$14=$A$20, $A$8*AB34, $A$14=$A$21, $A$8*AC34)</f>
        <v>-5.4992380325083162E-2</v>
      </c>
      <c r="AN34" s="7">
        <f t="shared" si="21"/>
        <v>2.7600022880222702E-2</v>
      </c>
      <c r="AO34" s="7">
        <f t="shared" si="38"/>
        <v>0.14848240173650956</v>
      </c>
      <c r="AP34" s="7">
        <f t="shared" si="22"/>
        <v>-4.8243812040709468E-2</v>
      </c>
      <c r="AV34" s="7">
        <f t="shared" si="39"/>
        <v>0.14848240173650956</v>
      </c>
      <c r="AW34" s="7">
        <f t="shared" si="40"/>
        <v>-4.8243812040709468E-2</v>
      </c>
    </row>
    <row r="35" spans="2:49" x14ac:dyDescent="0.3">
      <c r="B35" s="7">
        <v>0.20147999999999999</v>
      </c>
      <c r="C35" s="7">
        <v>-5.8950000000000002E-2</v>
      </c>
      <c r="D35" s="7">
        <v>0.2</v>
      </c>
      <c r="E35" s="7">
        <v>-6.4799999999999996E-2</v>
      </c>
      <c r="F35" s="7">
        <v>0.20091000000000001</v>
      </c>
      <c r="G35" s="7">
        <v>-3.3459999999999997E-2</v>
      </c>
      <c r="H35" s="7">
        <v>0.2</v>
      </c>
      <c r="I35" s="7">
        <v>-8.3760000000000001E-2</v>
      </c>
      <c r="J35" s="7">
        <v>0.20130999999999999</v>
      </c>
      <c r="K35" s="7">
        <v>-5.1429999999999997E-2</v>
      </c>
      <c r="L35" s="7">
        <v>0.2</v>
      </c>
      <c r="M35" s="7">
        <v>-6.6189999999999999E-2</v>
      </c>
      <c r="N35" s="7">
        <v>0.2</v>
      </c>
      <c r="O35" s="7">
        <v>-3.4139999999999997E-2</v>
      </c>
      <c r="P35" s="7">
        <v>0.20091000000000001</v>
      </c>
      <c r="Q35" s="7">
        <v>-3.3459999999999997E-2</v>
      </c>
      <c r="S35" s="7">
        <f t="shared" si="16"/>
        <v>7.9641519241266806E-3</v>
      </c>
      <c r="T35" s="7">
        <f t="shared" si="17"/>
        <v>2.206356001526516E-2</v>
      </c>
      <c r="U35" s="7">
        <f t="shared" si="18"/>
        <v>2.2059980875260114E-2</v>
      </c>
      <c r="W35" s="7">
        <f t="shared" si="27"/>
        <v>-0.44620291246556409</v>
      </c>
      <c r="X35" s="7">
        <f t="shared" si="28"/>
        <v>-0.432</v>
      </c>
      <c r="Y35" s="7">
        <f t="shared" si="29"/>
        <v>-0.41434233350038585</v>
      </c>
      <c r="Z35" s="7">
        <f t="shared" si="30"/>
        <v>-0.39885714285714285</v>
      </c>
      <c r="AA35" s="7">
        <f t="shared" si="31"/>
        <v>-0.39605737814651965</v>
      </c>
      <c r="AB35" s="7">
        <f t="shared" si="32"/>
        <v>-0.4412666666666667</v>
      </c>
      <c r="AC35" s="7">
        <f t="shared" si="33"/>
        <v>-0.42674999999999996</v>
      </c>
      <c r="AF35" s="7">
        <v>0.2</v>
      </c>
      <c r="AG35" s="7">
        <f t="shared" si="34"/>
        <v>7.9641519241266806E-3</v>
      </c>
      <c r="AH35" s="7" t="str">
        <f t="shared" si="35"/>
        <v xml:space="preserve"> </v>
      </c>
      <c r="AI35" s="7">
        <f t="shared" si="19"/>
        <v>7.9641519241266806E-3</v>
      </c>
      <c r="AJ35" s="7">
        <f t="shared" si="36"/>
        <v>2.206356001526516E-2</v>
      </c>
      <c r="AK35" s="3" t="str">
        <f t="shared" si="37"/>
        <v xml:space="preserve"> </v>
      </c>
      <c r="AL35" s="7">
        <f t="shared" si="20"/>
        <v>2.206356001526516E-2</v>
      </c>
      <c r="AM35" s="7" cm="1">
        <f t="array" ref="AM35">_xlfn.IFS($A$14=$A$15, $A$8*W35, $A$14=$A$16, $A$8*X35, $A$14=$A$17, $A$8*Y35, $A$14=$A$18, $A$8*Z35, $A$14=$A$19, $A$8*AA35, $A$14=$A$20, $A$8*AB35, $A$14=$A$21, $A$8*AC35)</f>
        <v>-6.2151350025057873E-2</v>
      </c>
      <c r="AN35" s="7">
        <f t="shared" si="21"/>
        <v>2.2059980875260114E-2</v>
      </c>
      <c r="AO35" s="7">
        <f t="shared" si="38"/>
        <v>0.19862905360691085</v>
      </c>
      <c r="AP35" s="7">
        <f t="shared" si="22"/>
        <v>-5.4172075962063332E-2</v>
      </c>
      <c r="AV35" s="7">
        <f t="shared" si="39"/>
        <v>0.19862905360691085</v>
      </c>
      <c r="AW35" s="7">
        <f t="shared" si="40"/>
        <v>-5.4172075962063332E-2</v>
      </c>
    </row>
    <row r="36" spans="2:49" x14ac:dyDescent="0.3">
      <c r="B36" s="7">
        <v>0.25124999999999997</v>
      </c>
      <c r="C36" s="7">
        <v>-6.2590000000000007E-2</v>
      </c>
      <c r="D36" s="7">
        <v>0.25</v>
      </c>
      <c r="E36" s="7">
        <v>-6.9849999999999995E-2</v>
      </c>
      <c r="F36" s="7">
        <v>0.25079000000000001</v>
      </c>
      <c r="G36" s="7">
        <v>-3.6069999999999998E-2</v>
      </c>
      <c r="H36" s="7">
        <v>0.25</v>
      </c>
      <c r="I36" s="7">
        <v>-9.153E-2</v>
      </c>
      <c r="J36" s="7">
        <v>0.25113000000000002</v>
      </c>
      <c r="K36" s="7">
        <v>-5.5579999999999997E-2</v>
      </c>
      <c r="L36" s="7">
        <v>0.25</v>
      </c>
      <c r="M36" s="7">
        <v>-7.0910000000000001E-2</v>
      </c>
      <c r="N36" s="7">
        <v>0.25</v>
      </c>
      <c r="O36" s="7">
        <v>-3.6810000000000002E-2</v>
      </c>
      <c r="P36" s="7">
        <v>0.25079000000000001</v>
      </c>
      <c r="Q36" s="7">
        <v>-3.6069999999999998E-2</v>
      </c>
      <c r="S36" s="7">
        <f t="shared" si="16"/>
        <v>8.9498417940379171E-3</v>
      </c>
      <c r="T36" s="7">
        <f t="shared" si="17"/>
        <v>1.7484957628302988E-2</v>
      </c>
      <c r="U36" s="7">
        <f t="shared" si="18"/>
        <v>1.7483176099519319E-2</v>
      </c>
      <c r="W36" s="7">
        <f t="shared" si="27"/>
        <v>-0.47700517781634455</v>
      </c>
      <c r="X36" s="7">
        <f t="shared" si="28"/>
        <v>-0.46566666666666667</v>
      </c>
      <c r="Y36" s="7">
        <f t="shared" si="29"/>
        <v>-0.45026723085411774</v>
      </c>
      <c r="Z36" s="7">
        <f t="shared" si="30"/>
        <v>-0.43585714285714283</v>
      </c>
      <c r="AA36" s="7">
        <f t="shared" si="31"/>
        <v>-0.43026470128412986</v>
      </c>
      <c r="AB36" s="7">
        <f t="shared" si="32"/>
        <v>-0.47273333333333334</v>
      </c>
      <c r="AC36" s="7">
        <f t="shared" si="33"/>
        <v>-0.46012500000000001</v>
      </c>
      <c r="AF36" s="7">
        <v>0.25</v>
      </c>
      <c r="AG36" s="7">
        <f t="shared" si="34"/>
        <v>8.9498417940379171E-3</v>
      </c>
      <c r="AH36" s="7" t="str">
        <f t="shared" si="35"/>
        <v xml:space="preserve"> </v>
      </c>
      <c r="AI36" s="7">
        <f t="shared" si="19"/>
        <v>8.9498417940379171E-3</v>
      </c>
      <c r="AJ36" s="7">
        <f t="shared" si="36"/>
        <v>1.7484957628302988E-2</v>
      </c>
      <c r="AK36" s="3" t="str">
        <f t="shared" si="37"/>
        <v xml:space="preserve"> </v>
      </c>
      <c r="AL36" s="7">
        <f t="shared" si="20"/>
        <v>1.7484957628302988E-2</v>
      </c>
      <c r="AM36" s="7" cm="1">
        <f t="array" ref="AM36">_xlfn.IFS($A$14=$A$15, $A$8*W36, $A$14=$A$16, $A$8*X36, $A$14=$A$17, $A$8*Y36, $A$14=$A$18, $A$8*Z36, $A$14=$A$19, $A$8*AA36, $A$14=$A$20, $A$8*AB36, $A$14=$A$21, $A$8*AC36)</f>
        <v>-6.7540084628117655E-2</v>
      </c>
      <c r="AN36" s="7">
        <f t="shared" si="21"/>
        <v>1.7483176099519319E-2</v>
      </c>
      <c r="AO36" s="7">
        <f t="shared" si="38"/>
        <v>0.24881924496069752</v>
      </c>
      <c r="AP36" s="7">
        <f t="shared" si="22"/>
        <v>-5.8579920897018953E-2</v>
      </c>
      <c r="AV36" s="7">
        <f t="shared" si="39"/>
        <v>0.24881924496069752</v>
      </c>
      <c r="AW36" s="7">
        <f t="shared" si="40"/>
        <v>-5.8579920897018953E-2</v>
      </c>
    </row>
    <row r="37" spans="2:49" x14ac:dyDescent="0.3">
      <c r="B37" s="7">
        <v>0.30099999999999999</v>
      </c>
      <c r="C37" s="7">
        <v>-6.4479999999999996E-2</v>
      </c>
      <c r="D37" s="7">
        <v>0.3</v>
      </c>
      <c r="E37" s="7">
        <v>-7.3190000000000005E-2</v>
      </c>
      <c r="F37" s="7">
        <v>0.30064000000000002</v>
      </c>
      <c r="G37" s="7">
        <v>-3.7879999999999997E-2</v>
      </c>
      <c r="H37" s="7">
        <v>0.3</v>
      </c>
      <c r="I37" s="7">
        <v>-9.7379999999999994E-2</v>
      </c>
      <c r="J37" s="7">
        <v>0.30092000000000002</v>
      </c>
      <c r="K37" s="7">
        <v>-5.8810000000000001E-2</v>
      </c>
      <c r="L37" s="7">
        <v>0.3</v>
      </c>
      <c r="M37" s="7">
        <v>-7.3840000000000003E-2</v>
      </c>
      <c r="N37" s="7">
        <v>0.3</v>
      </c>
      <c r="O37" s="7">
        <v>-3.866E-2</v>
      </c>
      <c r="P37" s="7">
        <v>0.30064000000000002</v>
      </c>
      <c r="Q37" s="7">
        <v>-3.7879999999999997E-2</v>
      </c>
      <c r="S37" s="7">
        <f t="shared" si="16"/>
        <v>9.7222073230416942E-3</v>
      </c>
      <c r="T37" s="7">
        <f t="shared" si="17"/>
        <v>1.3485164275181009E-2</v>
      </c>
      <c r="U37" s="7">
        <f t="shared" si="18"/>
        <v>1.348434694019901E-2</v>
      </c>
      <c r="W37" s="7">
        <f t="shared" si="27"/>
        <v>-0.49472635892842204</v>
      </c>
      <c r="X37" s="7">
        <f t="shared" si="28"/>
        <v>-0.48793333333333339</v>
      </c>
      <c r="Y37" s="7">
        <f t="shared" si="29"/>
        <v>-0.47606535348790185</v>
      </c>
      <c r="Z37" s="7">
        <f t="shared" si="30"/>
        <v>-0.46371428571428569</v>
      </c>
      <c r="AA37" s="7">
        <f t="shared" si="31"/>
        <v>-0.45692292212617075</v>
      </c>
      <c r="AB37" s="7">
        <f t="shared" si="32"/>
        <v>-0.49226666666666669</v>
      </c>
      <c r="AC37" s="7">
        <f t="shared" si="33"/>
        <v>-0.48325000000000001</v>
      </c>
      <c r="AF37" s="7">
        <v>0.3</v>
      </c>
      <c r="AG37" s="7">
        <f t="shared" si="34"/>
        <v>9.7222073230416942E-3</v>
      </c>
      <c r="AH37" s="7" t="str">
        <f t="shared" si="35"/>
        <v xml:space="preserve"> </v>
      </c>
      <c r="AI37" s="7">
        <f t="shared" si="19"/>
        <v>9.7222073230416942E-3</v>
      </c>
      <c r="AJ37" s="7">
        <f t="shared" si="36"/>
        <v>1.3485164275181009E-2</v>
      </c>
      <c r="AK37" s="3" t="str">
        <f t="shared" si="37"/>
        <v xml:space="preserve"> </v>
      </c>
      <c r="AL37" s="7">
        <f t="shared" si="20"/>
        <v>1.3485164275181009E-2</v>
      </c>
      <c r="AM37" s="7" cm="1">
        <f t="array" ref="AM37">_xlfn.IFS($A$14=$A$15, $A$8*W37, $A$14=$A$16, $A$8*X37, $A$14=$A$17, $A$8*Y37, $A$14=$A$18, $A$8*Z37, $A$14=$A$19, $A$8*AA37, $A$14=$A$20, $A$8*AB37, $A$14=$A$21, $A$8*AC37)</f>
        <v>-7.1409803023185281E-2</v>
      </c>
      <c r="AN37" s="7">
        <f t="shared" si="21"/>
        <v>1.348434694019901E-2</v>
      </c>
      <c r="AO37" s="7">
        <f t="shared" si="38"/>
        <v>0.29903711462158133</v>
      </c>
      <c r="AP37" s="7">
        <f t="shared" si="22"/>
        <v>-6.1681103661520846E-2</v>
      </c>
      <c r="AV37" s="7">
        <f t="shared" si="39"/>
        <v>0.29903711462158133</v>
      </c>
      <c r="AW37" s="7">
        <f t="shared" si="40"/>
        <v>-6.1681103661520846E-2</v>
      </c>
    </row>
    <row r="38" spans="2:49" x14ac:dyDescent="0.3">
      <c r="B38" s="7">
        <v>0.35074</v>
      </c>
      <c r="C38" s="7">
        <v>-6.4699999999999994E-2</v>
      </c>
      <c r="D38" s="7">
        <v>0.35</v>
      </c>
      <c r="E38" s="7">
        <v>-7.4819999999999998E-2</v>
      </c>
      <c r="F38" s="7">
        <v>0.35049000000000002</v>
      </c>
      <c r="G38" s="7">
        <v>-3.8940000000000002E-2</v>
      </c>
      <c r="H38" s="7">
        <v>0.35</v>
      </c>
      <c r="I38" s="7">
        <v>-0.10154000000000001</v>
      </c>
      <c r="J38" s="7">
        <v>0.35070000000000001</v>
      </c>
      <c r="K38" s="7">
        <v>-6.1249999999999999E-2</v>
      </c>
      <c r="L38" s="7">
        <v>0.35</v>
      </c>
      <c r="M38" s="7">
        <v>-7.4959999999999999E-2</v>
      </c>
      <c r="N38" s="7">
        <v>0.35</v>
      </c>
      <c r="O38" s="7">
        <v>-3.9719999999999998E-2</v>
      </c>
      <c r="P38" s="7">
        <v>0.35049000000000002</v>
      </c>
      <c r="Q38" s="7">
        <v>-3.8940000000000002E-2</v>
      </c>
      <c r="S38" s="7">
        <f t="shared" si="16"/>
        <v>1.0304433299059584E-2</v>
      </c>
      <c r="T38" s="7">
        <f t="shared" si="17"/>
        <v>9.8523149985544466E-3</v>
      </c>
      <c r="U38" s="7">
        <f t="shared" si="18"/>
        <v>9.8519962352512178E-3</v>
      </c>
      <c r="W38" s="7">
        <f t="shared" si="27"/>
        <v>-0.50005382320031655</v>
      </c>
      <c r="X38" s="7">
        <f t="shared" si="28"/>
        <v>-0.49880000000000002</v>
      </c>
      <c r="Y38" s="7">
        <f t="shared" si="29"/>
        <v>-0.49246823273118062</v>
      </c>
      <c r="Z38" s="7">
        <f t="shared" si="30"/>
        <v>-0.48352380952380952</v>
      </c>
      <c r="AA38" s="7">
        <f t="shared" si="31"/>
        <v>-0.4770527069441296</v>
      </c>
      <c r="AB38" s="7">
        <f t="shared" si="32"/>
        <v>-0.49973333333333336</v>
      </c>
      <c r="AC38" s="7">
        <f t="shared" si="33"/>
        <v>-0.4965</v>
      </c>
      <c r="AF38" s="7">
        <v>0.35</v>
      </c>
      <c r="AG38" s="7">
        <f t="shared" si="34"/>
        <v>1.0304433299059584E-2</v>
      </c>
      <c r="AH38" s="7" t="str">
        <f t="shared" si="35"/>
        <v xml:space="preserve"> </v>
      </c>
      <c r="AI38" s="7">
        <f t="shared" si="19"/>
        <v>1.0304433299059584E-2</v>
      </c>
      <c r="AJ38" s="7">
        <f t="shared" si="36"/>
        <v>9.8523149985544466E-3</v>
      </c>
      <c r="AK38" s="3" t="str">
        <f t="shared" si="37"/>
        <v xml:space="preserve"> </v>
      </c>
      <c r="AL38" s="7">
        <f t="shared" si="20"/>
        <v>9.8523149985544466E-3</v>
      </c>
      <c r="AM38" s="7" cm="1">
        <f t="array" ref="AM38">_xlfn.IFS($A$14=$A$15, $A$8*W38, $A$14=$A$16, $A$8*X38, $A$14=$A$17, $A$8*Y38, $A$14=$A$18, $A$8*Z38, $A$14=$A$19, $A$8*AA38, $A$14=$A$20, $A$8*AB38, $A$14=$A$21, $A$8*AC38)</f>
        <v>-7.387023490967709E-2</v>
      </c>
      <c r="AN38" s="7">
        <f t="shared" si="21"/>
        <v>9.8519962352512178E-3</v>
      </c>
      <c r="AO38" s="7">
        <f t="shared" si="38"/>
        <v>0.34927224249681854</v>
      </c>
      <c r="AP38" s="7">
        <f t="shared" si="22"/>
        <v>-6.3562216649529796E-2</v>
      </c>
      <c r="AV38" s="7">
        <f t="shared" si="39"/>
        <v>0.34927224249681854</v>
      </c>
      <c r="AW38" s="7">
        <f t="shared" si="40"/>
        <v>-6.3562216649529796E-2</v>
      </c>
    </row>
    <row r="39" spans="2:49" x14ac:dyDescent="0.3">
      <c r="B39" s="7">
        <v>0.40048</v>
      </c>
      <c r="C39" s="7">
        <v>-6.3149999999999998E-2</v>
      </c>
      <c r="D39" s="7">
        <v>0.4</v>
      </c>
      <c r="E39" s="7">
        <v>-7.4730000000000005E-2</v>
      </c>
      <c r="F39" s="7">
        <v>0.40032000000000001</v>
      </c>
      <c r="G39" s="7">
        <v>-3.925E-2</v>
      </c>
      <c r="H39" s="7">
        <v>0.4</v>
      </c>
      <c r="I39" s="7">
        <v>-0.10407</v>
      </c>
      <c r="J39" s="7">
        <v>0.40046999999999999</v>
      </c>
      <c r="K39" s="7">
        <v>-6.2880000000000005E-2</v>
      </c>
      <c r="L39" s="7">
        <v>0.4</v>
      </c>
      <c r="M39" s="7">
        <v>-7.4349999999999999E-2</v>
      </c>
      <c r="N39" s="7">
        <v>0.4</v>
      </c>
      <c r="O39" s="7">
        <v>-3.9980000000000002E-2</v>
      </c>
      <c r="P39" s="7">
        <v>0.40032000000000001</v>
      </c>
      <c r="Q39" s="7">
        <v>-3.925E-2</v>
      </c>
      <c r="S39" s="7">
        <f t="shared" si="16"/>
        <v>1.0711313356303983E-2</v>
      </c>
      <c r="T39" s="7">
        <f t="shared" si="17"/>
        <v>6.4531776206704075E-3</v>
      </c>
      <c r="U39" s="7">
        <f t="shared" si="18"/>
        <v>6.4530880452714351E-3</v>
      </c>
      <c r="W39" s="7">
        <f t="shared" si="27"/>
        <v>-0.49241900841430952</v>
      </c>
      <c r="X39" s="7">
        <f t="shared" si="28"/>
        <v>-0.49820000000000003</v>
      </c>
      <c r="Y39" s="7">
        <f t="shared" si="29"/>
        <v>-0.49962353627485412</v>
      </c>
      <c r="Z39" s="7">
        <f t="shared" si="30"/>
        <v>-0.49557142857142855</v>
      </c>
      <c r="AA39" s="7">
        <f t="shared" si="31"/>
        <v>-0.49061897093554852</v>
      </c>
      <c r="AB39" s="7">
        <f t="shared" si="32"/>
        <v>-0.4956666666666667</v>
      </c>
      <c r="AC39" s="7">
        <f t="shared" si="33"/>
        <v>-0.49975000000000003</v>
      </c>
      <c r="AF39" s="7">
        <v>0.4</v>
      </c>
      <c r="AG39" s="7">
        <f t="shared" si="34"/>
        <v>1.0711313356303983E-2</v>
      </c>
      <c r="AH39" s="7" t="str">
        <f t="shared" si="35"/>
        <v xml:space="preserve"> </v>
      </c>
      <c r="AI39" s="7">
        <f t="shared" si="19"/>
        <v>1.0711313356303983E-2</v>
      </c>
      <c r="AJ39" s="7">
        <f t="shared" si="36"/>
        <v>6.4531776206704075E-3</v>
      </c>
      <c r="AK39" s="3" t="str">
        <f t="shared" si="37"/>
        <v xml:space="preserve"> </v>
      </c>
      <c r="AL39" s="7">
        <f t="shared" si="20"/>
        <v>6.4531776206704075E-3</v>
      </c>
      <c r="AM39" s="7" cm="1">
        <f t="array" ref="AM39">_xlfn.IFS($A$14=$A$15, $A$8*W39, $A$14=$A$16, $A$8*X39, $A$14=$A$17, $A$8*Y39, $A$14=$A$18, $A$8*Z39, $A$14=$A$19, $A$8*AA39, $A$14=$A$20, $A$8*AB39, $A$14=$A$21, $A$8*AC39)</f>
        <v>-7.4943530441228118E-2</v>
      </c>
      <c r="AN39" s="7">
        <f t="shared" si="21"/>
        <v>6.4530880452714351E-3</v>
      </c>
      <c r="AO39" s="7">
        <f t="shared" si="38"/>
        <v>0.39951638615612473</v>
      </c>
      <c r="AP39" s="7">
        <f t="shared" si="22"/>
        <v>-6.423065667815199E-2</v>
      </c>
      <c r="AV39" s="7">
        <f t="shared" si="39"/>
        <v>0.39951638615612473</v>
      </c>
      <c r="AW39" s="7">
        <f t="shared" si="40"/>
        <v>-6.423065667815199E-2</v>
      </c>
    </row>
    <row r="40" spans="2:49" x14ac:dyDescent="0.3">
      <c r="B40" s="7">
        <v>0.45023000000000002</v>
      </c>
      <c r="C40" s="7">
        <v>-6.0040000000000003E-2</v>
      </c>
      <c r="D40" s="7">
        <v>0.45</v>
      </c>
      <c r="E40" s="7">
        <v>-7.2239999999999999E-2</v>
      </c>
      <c r="F40" s="7">
        <v>0.45016</v>
      </c>
      <c r="G40" s="7">
        <v>-3.8679999999999999E-2</v>
      </c>
      <c r="H40" s="7">
        <v>0.45</v>
      </c>
      <c r="I40" s="7">
        <v>-0.105</v>
      </c>
      <c r="J40" s="7">
        <v>0.45023999999999997</v>
      </c>
      <c r="K40" s="7">
        <v>-6.3799999999999996E-2</v>
      </c>
      <c r="L40" s="7">
        <v>0.45</v>
      </c>
      <c r="M40" s="7">
        <v>-7.2150000000000006E-2</v>
      </c>
      <c r="N40" s="7">
        <v>0.45</v>
      </c>
      <c r="O40" s="7">
        <v>-3.9210000000000002E-2</v>
      </c>
      <c r="P40" s="7">
        <v>0.45016</v>
      </c>
      <c r="Q40" s="7">
        <v>-3.8679999999999999E-2</v>
      </c>
      <c r="S40" s="7">
        <f t="shared" si="16"/>
        <v>1.0952069373591054E-2</v>
      </c>
      <c r="T40" s="7">
        <f t="shared" si="17"/>
        <v>3.1937733116489736E-3</v>
      </c>
      <c r="U40" s="7">
        <f t="shared" si="18"/>
        <v>3.193762452686065E-3</v>
      </c>
      <c r="W40" s="7">
        <f t="shared" si="27"/>
        <v>-0.47328287625929089</v>
      </c>
      <c r="X40" s="7">
        <f t="shared" si="28"/>
        <v>-0.48160000000000003</v>
      </c>
      <c r="Y40" s="7">
        <f t="shared" si="29"/>
        <v>-0.4963232250116395</v>
      </c>
      <c r="Z40" s="7">
        <f t="shared" si="30"/>
        <v>-0.5</v>
      </c>
      <c r="AA40" s="7">
        <f t="shared" si="31"/>
        <v>-0.49834967076798742</v>
      </c>
      <c r="AB40" s="7">
        <f t="shared" si="32"/>
        <v>-0.48100000000000004</v>
      </c>
      <c r="AC40" s="7">
        <f t="shared" si="33"/>
        <v>-0.49012500000000003</v>
      </c>
      <c r="AF40" s="7">
        <v>0.45</v>
      </c>
      <c r="AG40" s="7">
        <f t="shared" si="34"/>
        <v>1.0952069373591054E-2</v>
      </c>
      <c r="AH40" s="7" t="str">
        <f t="shared" si="35"/>
        <v xml:space="preserve"> </v>
      </c>
      <c r="AI40" s="7">
        <f t="shared" si="19"/>
        <v>1.0952069373591054E-2</v>
      </c>
      <c r="AJ40" s="7">
        <f t="shared" si="36"/>
        <v>3.1937733116489736E-3</v>
      </c>
      <c r="AK40" s="3" t="str">
        <f t="shared" si="37"/>
        <v xml:space="preserve"> </v>
      </c>
      <c r="AL40" s="7">
        <f t="shared" si="20"/>
        <v>3.1937733116489736E-3</v>
      </c>
      <c r="AM40" s="7" cm="1">
        <f t="array" ref="AM40">_xlfn.IFS($A$14=$A$15, $A$8*W40, $A$14=$A$16, $A$8*X40, $A$14=$A$17, $A$8*Y40, $A$14=$A$18, $A$8*Z40, $A$14=$A$19, $A$8*AA40, $A$14=$A$20, $A$8*AB40, $A$14=$A$21, $A$8*AC40)</f>
        <v>-7.4448483751745925E-2</v>
      </c>
      <c r="AN40" s="7">
        <f t="shared" si="21"/>
        <v>3.193762452686065E-3</v>
      </c>
      <c r="AO40" s="7">
        <f t="shared" si="38"/>
        <v>0.44976222963214907</v>
      </c>
      <c r="AP40" s="7">
        <f t="shared" si="22"/>
        <v>-6.349603468679553E-2</v>
      </c>
      <c r="AV40" s="7">
        <f t="shared" si="39"/>
        <v>0.44976222963214907</v>
      </c>
      <c r="AW40" s="7">
        <f t="shared" si="40"/>
        <v>-6.349603468679553E-2</v>
      </c>
    </row>
    <row r="41" spans="2:49" x14ac:dyDescent="0.3">
      <c r="B41" s="7">
        <v>0.5</v>
      </c>
      <c r="C41" s="7">
        <v>-5.5620000000000003E-2</v>
      </c>
      <c r="D41" s="7">
        <v>0.5</v>
      </c>
      <c r="E41" s="7">
        <v>-6.8099999999999994E-2</v>
      </c>
      <c r="F41" s="7">
        <v>0.5</v>
      </c>
      <c r="G41" s="7">
        <v>-3.7089999999999998E-2</v>
      </c>
      <c r="H41" s="7">
        <v>0.5</v>
      </c>
      <c r="I41" s="7">
        <v>-0.10434</v>
      </c>
      <c r="J41" s="7">
        <v>0.5</v>
      </c>
      <c r="K41" s="7">
        <v>-6.3939999999999997E-2</v>
      </c>
      <c r="L41" s="7">
        <v>0.5</v>
      </c>
      <c r="M41" s="7">
        <v>-6.8580000000000002E-2</v>
      </c>
      <c r="N41" s="7">
        <v>0.5</v>
      </c>
      <c r="O41" s="7">
        <v>-3.7569999999999999E-2</v>
      </c>
      <c r="P41" s="7">
        <v>0.5</v>
      </c>
      <c r="Q41" s="7">
        <v>-3.7089999999999998E-2</v>
      </c>
      <c r="S41" s="7">
        <f t="shared" si="16"/>
        <v>1.103178000763258E-2</v>
      </c>
      <c r="T41" s="7">
        <f t="shared" si="17"/>
        <v>0</v>
      </c>
      <c r="U41" s="7">
        <f t="shared" si="18"/>
        <v>0</v>
      </c>
      <c r="W41" s="7">
        <f t="shared" si="27"/>
        <v>-0.4443452000508839</v>
      </c>
      <c r="X41" s="7">
        <f t="shared" si="28"/>
        <v>-0.45399999999999996</v>
      </c>
      <c r="Y41" s="7">
        <f t="shared" si="29"/>
        <v>-0.48121780007632575</v>
      </c>
      <c r="Z41" s="7">
        <f t="shared" si="30"/>
        <v>-0.49685714285714289</v>
      </c>
      <c r="AA41" s="7">
        <f t="shared" si="31"/>
        <v>-0.49981186671755051</v>
      </c>
      <c r="AB41" s="7">
        <f t="shared" si="32"/>
        <v>-0.45720000000000005</v>
      </c>
      <c r="AC41" s="7">
        <f t="shared" si="33"/>
        <v>-0.46962500000000001</v>
      </c>
      <c r="AF41" s="7">
        <v>0.5</v>
      </c>
      <c r="AG41" s="7">
        <f t="shared" si="34"/>
        <v>1.103178000763258E-2</v>
      </c>
      <c r="AH41" s="7" t="str">
        <f t="shared" si="35"/>
        <v xml:space="preserve"> </v>
      </c>
      <c r="AI41" s="7">
        <f t="shared" si="19"/>
        <v>1.103178000763258E-2</v>
      </c>
      <c r="AJ41" s="7">
        <f t="shared" si="36"/>
        <v>0</v>
      </c>
      <c r="AK41" s="3" t="str">
        <f t="shared" si="37"/>
        <v xml:space="preserve"> </v>
      </c>
      <c r="AL41" s="7">
        <f t="shared" si="20"/>
        <v>0</v>
      </c>
      <c r="AM41" s="7" cm="1">
        <f t="array" ref="AM41">_xlfn.IFS($A$14=$A$15, $A$8*W41, $A$14=$A$16, $A$8*X41, $A$14=$A$17, $A$8*Y41, $A$14=$A$18, $A$8*Z41, $A$14=$A$19, $A$8*AA41, $A$14=$A$20, $A$8*AB41, $A$14=$A$21, $A$8*AC41)</f>
        <v>-7.218267001144886E-2</v>
      </c>
      <c r="AN41" s="7">
        <f t="shared" si="21"/>
        <v>0</v>
      </c>
      <c r="AO41" s="7">
        <f t="shared" si="38"/>
        <v>0.5</v>
      </c>
      <c r="AP41" s="7">
        <f t="shared" si="22"/>
        <v>-6.115089000381628E-2</v>
      </c>
      <c r="AV41" s="7">
        <f t="shared" si="39"/>
        <v>0.5</v>
      </c>
      <c r="AW41" s="7">
        <f t="shared" si="40"/>
        <v>-6.115089000381628E-2</v>
      </c>
    </row>
    <row r="42" spans="2:49" x14ac:dyDescent="0.3">
      <c r="B42" s="7">
        <v>0.54981000000000002</v>
      </c>
      <c r="C42" s="7">
        <v>-5.0130000000000001E-2</v>
      </c>
      <c r="D42" s="7">
        <v>0.55000000000000004</v>
      </c>
      <c r="E42" s="7">
        <v>-6.2659999999999993E-2</v>
      </c>
      <c r="F42" s="7">
        <v>0.54986000000000002</v>
      </c>
      <c r="G42" s="7">
        <v>-3.4349999999999999E-2</v>
      </c>
      <c r="H42" s="7">
        <v>0.55000000000000004</v>
      </c>
      <c r="I42" s="7">
        <v>-0.10186000000000001</v>
      </c>
      <c r="J42" s="7">
        <v>0.54976000000000003</v>
      </c>
      <c r="K42" s="7">
        <v>-6.3259999999999997E-2</v>
      </c>
      <c r="L42" s="7">
        <v>0.55000000000000004</v>
      </c>
      <c r="M42" s="7">
        <v>-6.3869999999999996E-2</v>
      </c>
      <c r="N42" s="7">
        <v>0.55000000000000004</v>
      </c>
      <c r="O42" s="7">
        <v>-3.524E-2</v>
      </c>
      <c r="P42" s="7">
        <v>0.54986000000000002</v>
      </c>
      <c r="Q42" s="7">
        <v>-3.4349999999999999E-2</v>
      </c>
      <c r="S42" s="7">
        <f t="shared" si="16"/>
        <v>1.0952069373591054E-2</v>
      </c>
      <c r="T42" s="7">
        <f t="shared" si="17"/>
        <v>-3.1937733116489753E-3</v>
      </c>
      <c r="U42" s="7">
        <f t="shared" si="18"/>
        <v>-3.1937624526860667E-3</v>
      </c>
      <c r="W42" s="7">
        <f t="shared" si="27"/>
        <v>-0.40721587264727432</v>
      </c>
      <c r="X42" s="7">
        <f t="shared" si="28"/>
        <v>-0.41773333333333329</v>
      </c>
      <c r="Y42" s="7">
        <f t="shared" si="29"/>
        <v>-0.45302300417813318</v>
      </c>
      <c r="Z42" s="7">
        <f t="shared" si="30"/>
        <v>-0.48504761904761906</v>
      </c>
      <c r="AA42" s="7">
        <f t="shared" si="31"/>
        <v>-0.49474965240769592</v>
      </c>
      <c r="AB42" s="7">
        <f t="shared" si="32"/>
        <v>-0.42580000000000001</v>
      </c>
      <c r="AC42" s="7">
        <f t="shared" si="33"/>
        <v>-0.4405</v>
      </c>
      <c r="AF42" s="7">
        <v>0.55000000000000004</v>
      </c>
      <c r="AG42" s="7">
        <f t="shared" si="34"/>
        <v>1.0952069373591054E-2</v>
      </c>
      <c r="AH42" s="7" t="str">
        <f t="shared" si="35"/>
        <v xml:space="preserve"> </v>
      </c>
      <c r="AI42" s="7">
        <f t="shared" si="19"/>
        <v>1.0952069373591054E-2</v>
      </c>
      <c r="AJ42" s="7">
        <f t="shared" si="36"/>
        <v>-3.1937733116489753E-3</v>
      </c>
      <c r="AK42" s="3" t="str">
        <f t="shared" si="37"/>
        <v xml:space="preserve"> </v>
      </c>
      <c r="AL42" s="7">
        <f t="shared" si="20"/>
        <v>-3.1937733116489753E-3</v>
      </c>
      <c r="AM42" s="7" cm="1">
        <f t="array" ref="AM42">_xlfn.IFS($A$14=$A$15, $A$8*W42, $A$14=$A$16, $A$8*X42, $A$14=$A$17, $A$8*Y42, $A$14=$A$18, $A$8*Z42, $A$14=$A$19, $A$8*AA42, $A$14=$A$20, $A$8*AB42, $A$14=$A$21, $A$8*AC42)</f>
        <v>-6.795345062671998E-2</v>
      </c>
      <c r="AN42" s="7">
        <f t="shared" si="21"/>
        <v>-3.1937624526860667E-3</v>
      </c>
      <c r="AO42" s="7">
        <f t="shared" si="38"/>
        <v>0.5502170268101918</v>
      </c>
      <c r="AP42" s="7">
        <f t="shared" si="22"/>
        <v>-5.7001034686795529E-2</v>
      </c>
      <c r="AV42" s="7">
        <f t="shared" si="39"/>
        <v>0.5502170268101918</v>
      </c>
      <c r="AW42" s="7">
        <f t="shared" si="40"/>
        <v>-5.7001034686795529E-2</v>
      </c>
    </row>
    <row r="43" spans="2:49" x14ac:dyDescent="0.3">
      <c r="B43" s="7">
        <v>0.59965000000000002</v>
      </c>
      <c r="C43" s="7">
        <v>-4.3819999999999998E-2</v>
      </c>
      <c r="D43" s="7">
        <v>0.6</v>
      </c>
      <c r="E43" s="7">
        <v>-5.62E-2</v>
      </c>
      <c r="F43" s="7">
        <v>0.59972999999999999</v>
      </c>
      <c r="G43" s="7">
        <v>-3.075E-2</v>
      </c>
      <c r="H43" s="7">
        <v>0.6</v>
      </c>
      <c r="I43" s="7">
        <v>-9.6920000000000006E-2</v>
      </c>
      <c r="J43" s="7">
        <v>0.59953000000000001</v>
      </c>
      <c r="K43" s="7">
        <v>-6.1600000000000002E-2</v>
      </c>
      <c r="L43" s="7">
        <v>0.6</v>
      </c>
      <c r="M43" s="7">
        <v>-5.8200000000000002E-2</v>
      </c>
      <c r="N43" s="7">
        <v>0.6</v>
      </c>
      <c r="O43" s="7">
        <v>-3.2340000000000001E-2</v>
      </c>
      <c r="P43" s="7">
        <v>0.59972999999999999</v>
      </c>
      <c r="Q43" s="7">
        <v>-3.075E-2</v>
      </c>
      <c r="S43" s="7">
        <f t="shared" si="16"/>
        <v>1.0711313356303983E-2</v>
      </c>
      <c r="T43" s="7">
        <f t="shared" si="17"/>
        <v>-6.4531776206704075E-3</v>
      </c>
      <c r="U43" s="7">
        <f t="shared" si="18"/>
        <v>-6.4530880452714351E-3</v>
      </c>
      <c r="W43" s="7">
        <f t="shared" si="27"/>
        <v>-0.36354965854596993</v>
      </c>
      <c r="X43" s="7">
        <f t="shared" si="28"/>
        <v>-0.3746666666666667</v>
      </c>
      <c r="Y43" s="7">
        <f t="shared" si="29"/>
        <v>-0.41462176644446974</v>
      </c>
      <c r="Z43" s="7">
        <f t="shared" si="30"/>
        <v>-0.46152380952380956</v>
      </c>
      <c r="AA43" s="7">
        <f t="shared" si="31"/>
        <v>-0.48208545992512558</v>
      </c>
      <c r="AB43" s="7">
        <f t="shared" si="32"/>
        <v>-0.38800000000000001</v>
      </c>
      <c r="AC43" s="7">
        <f t="shared" si="33"/>
        <v>-0.40425</v>
      </c>
      <c r="AF43" s="7">
        <v>0.6</v>
      </c>
      <c r="AG43" s="7">
        <f t="shared" si="34"/>
        <v>1.0711313356303983E-2</v>
      </c>
      <c r="AH43" s="7" t="str">
        <f t="shared" si="35"/>
        <v xml:space="preserve"> </v>
      </c>
      <c r="AI43" s="7">
        <f t="shared" si="19"/>
        <v>1.0711313356303983E-2</v>
      </c>
      <c r="AJ43" s="7">
        <f t="shared" si="36"/>
        <v>-6.4531776206704075E-3</v>
      </c>
      <c r="AK43" s="3" t="str">
        <f t="shared" si="37"/>
        <v xml:space="preserve"> </v>
      </c>
      <c r="AL43" s="7">
        <f t="shared" si="20"/>
        <v>-6.4531776206704075E-3</v>
      </c>
      <c r="AM43" s="7" cm="1">
        <f t="array" ref="AM43">_xlfn.IFS($A$14=$A$15, $A$8*W43, $A$14=$A$16, $A$8*X43, $A$14=$A$17, $A$8*Y43, $A$14=$A$18, $A$8*Z43, $A$14=$A$19, $A$8*AA43, $A$14=$A$20, $A$8*AB43, $A$14=$A$21, $A$8*AC43)</f>
        <v>-6.2193264966670457E-2</v>
      </c>
      <c r="AN43" s="7">
        <f t="shared" si="21"/>
        <v>-6.4530880452714351E-3</v>
      </c>
      <c r="AO43" s="7">
        <f t="shared" si="38"/>
        <v>0.60040133582921174</v>
      </c>
      <c r="AP43" s="7">
        <f t="shared" si="22"/>
        <v>-5.1480656678151993E-2</v>
      </c>
      <c r="AV43" s="7">
        <f t="shared" si="39"/>
        <v>0.60040133582921174</v>
      </c>
      <c r="AW43" s="7">
        <f t="shared" si="40"/>
        <v>-5.1480656678151993E-2</v>
      </c>
    </row>
    <row r="44" spans="2:49" x14ac:dyDescent="0.3">
      <c r="B44" s="7">
        <v>0.64953000000000005</v>
      </c>
      <c r="C44" s="7">
        <v>-3.6909999999999998E-2</v>
      </c>
      <c r="D44" s="7">
        <v>0.65</v>
      </c>
      <c r="E44" s="7">
        <v>-4.895E-2</v>
      </c>
      <c r="F44" s="7">
        <v>0.64964</v>
      </c>
      <c r="G44" s="7">
        <v>-2.6519999999999998E-2</v>
      </c>
      <c r="H44" s="7">
        <v>0.65</v>
      </c>
      <c r="I44" s="7">
        <v>-8.7929999999999994E-2</v>
      </c>
      <c r="J44" s="7">
        <v>0.64932000000000001</v>
      </c>
      <c r="K44" s="7">
        <v>-5.8749999999999997E-2</v>
      </c>
      <c r="L44" s="7">
        <v>0.65</v>
      </c>
      <c r="M44" s="7">
        <v>-5.1729999999999998E-2</v>
      </c>
      <c r="N44" s="7">
        <v>0.65</v>
      </c>
      <c r="O44" s="7">
        <v>-2.8969999999999999E-2</v>
      </c>
      <c r="P44" s="7">
        <v>0.64964</v>
      </c>
      <c r="Q44" s="7">
        <v>-2.6519999999999998E-2</v>
      </c>
      <c r="S44" s="7">
        <f t="shared" si="16"/>
        <v>1.0304433299059584E-2</v>
      </c>
      <c r="T44" s="7">
        <f t="shared" si="17"/>
        <v>-9.8523149985544466E-3</v>
      </c>
      <c r="U44" s="7">
        <f t="shared" si="18"/>
        <v>-9.8519962352512178E-3</v>
      </c>
      <c r="W44" s="7">
        <f t="shared" si="27"/>
        <v>-0.3147781650091756</v>
      </c>
      <c r="X44" s="7">
        <f t="shared" si="28"/>
        <v>-0.32633333333333336</v>
      </c>
      <c r="Y44" s="7">
        <f t="shared" si="29"/>
        <v>-0.3682622049477709</v>
      </c>
      <c r="Z44" s="7">
        <f t="shared" si="30"/>
        <v>-0.41871428571428571</v>
      </c>
      <c r="AA44" s="7">
        <f t="shared" si="31"/>
        <v>-0.46038523139616799</v>
      </c>
      <c r="AB44" s="7">
        <f t="shared" si="32"/>
        <v>-0.34486666666666665</v>
      </c>
      <c r="AC44" s="7">
        <f t="shared" si="33"/>
        <v>-0.36212499999999997</v>
      </c>
      <c r="AF44" s="7">
        <v>0.65</v>
      </c>
      <c r="AG44" s="7">
        <f t="shared" si="34"/>
        <v>1.0304433299059584E-2</v>
      </c>
      <c r="AH44" s="7" t="str">
        <f t="shared" si="35"/>
        <v xml:space="preserve"> </v>
      </c>
      <c r="AI44" s="7">
        <f t="shared" si="19"/>
        <v>1.0304433299059584E-2</v>
      </c>
      <c r="AJ44" s="7">
        <f t="shared" si="36"/>
        <v>-9.8523149985544466E-3</v>
      </c>
      <c r="AK44" s="3" t="str">
        <f t="shared" si="37"/>
        <v xml:space="preserve"> </v>
      </c>
      <c r="AL44" s="7">
        <f t="shared" si="20"/>
        <v>-9.8523149985544466E-3</v>
      </c>
      <c r="AM44" s="7" cm="1">
        <f t="array" ref="AM44">_xlfn.IFS($A$14=$A$15, $A$8*W44, $A$14=$A$16, $A$8*X44, $A$14=$A$17, $A$8*Y44, $A$14=$A$18, $A$8*Z44, $A$14=$A$19, $A$8*AA44, $A$14=$A$20, $A$8*AB44, $A$14=$A$21, $A$8*AC44)</f>
        <v>-5.5239330742165631E-2</v>
      </c>
      <c r="AN44" s="7">
        <f t="shared" si="21"/>
        <v>-9.8519962352512178E-3</v>
      </c>
      <c r="AO44" s="7">
        <f t="shared" si="38"/>
        <v>0.65054420887475839</v>
      </c>
      <c r="AP44" s="7">
        <f t="shared" si="22"/>
        <v>-4.4932216649529795E-2</v>
      </c>
      <c r="AV44" s="7">
        <f t="shared" si="39"/>
        <v>0.65054420887475839</v>
      </c>
      <c r="AW44" s="7">
        <f t="shared" si="40"/>
        <v>-4.4932216649529795E-2</v>
      </c>
    </row>
    <row r="45" spans="2:49" x14ac:dyDescent="0.3">
      <c r="B45" s="7">
        <v>0.69947000000000004</v>
      </c>
      <c r="C45" s="7">
        <v>-2.962E-2</v>
      </c>
      <c r="D45" s="7">
        <v>0.7</v>
      </c>
      <c r="E45" s="7">
        <v>-4.113E-2</v>
      </c>
      <c r="F45" s="7">
        <v>0.69957000000000003</v>
      </c>
      <c r="G45" s="7">
        <v>-2.1839999999999998E-2</v>
      </c>
      <c r="H45" s="7">
        <v>0.7</v>
      </c>
      <c r="I45" s="7">
        <v>-7.6100000000000001E-2</v>
      </c>
      <c r="J45" s="7">
        <v>0.69913999999999998</v>
      </c>
      <c r="K45" s="7">
        <v>-5.4289999999999998E-2</v>
      </c>
      <c r="L45" s="7">
        <v>0.7</v>
      </c>
      <c r="M45" s="7">
        <v>-4.4679999999999997E-2</v>
      </c>
      <c r="N45" s="7">
        <v>0.7</v>
      </c>
      <c r="O45" s="7">
        <v>-2.521E-2</v>
      </c>
      <c r="P45" s="7">
        <v>0.69957000000000003</v>
      </c>
      <c r="Q45" s="7">
        <v>-2.1839999999999998E-2</v>
      </c>
      <c r="S45" s="7">
        <f t="shared" si="16"/>
        <v>9.7222073230416942E-3</v>
      </c>
      <c r="T45" s="7">
        <f t="shared" si="17"/>
        <v>-1.3485164275181004E-2</v>
      </c>
      <c r="U45" s="7">
        <f t="shared" si="18"/>
        <v>-1.3484346940199005E-2</v>
      </c>
      <c r="W45" s="7">
        <f t="shared" si="27"/>
        <v>-0.26230522895902536</v>
      </c>
      <c r="X45" s="7">
        <f t="shared" si="28"/>
        <v>-0.2742</v>
      </c>
      <c r="Y45" s="7">
        <f t="shared" si="29"/>
        <v>-0.31565076980850759</v>
      </c>
      <c r="Z45" s="7">
        <f t="shared" si="30"/>
        <v>-0.36238095238095236</v>
      </c>
      <c r="AA45" s="7">
        <f t="shared" si="31"/>
        <v>-0.4267868490492438</v>
      </c>
      <c r="AB45" s="7">
        <f t="shared" si="32"/>
        <v>-0.29786666666666667</v>
      </c>
      <c r="AC45" s="7">
        <f t="shared" si="33"/>
        <v>-0.31512499999999999</v>
      </c>
      <c r="AF45" s="7">
        <v>0.7</v>
      </c>
      <c r="AG45" s="7">
        <f t="shared" si="34"/>
        <v>9.7222073230416942E-3</v>
      </c>
      <c r="AH45" s="7" t="str">
        <f t="shared" si="35"/>
        <v xml:space="preserve"> </v>
      </c>
      <c r="AI45" s="7">
        <f t="shared" si="19"/>
        <v>9.7222073230416942E-3</v>
      </c>
      <c r="AJ45" s="7">
        <f t="shared" si="36"/>
        <v>-1.3485164275181004E-2</v>
      </c>
      <c r="AK45" s="3" t="str">
        <f t="shared" si="37"/>
        <v xml:space="preserve"> </v>
      </c>
      <c r="AL45" s="7">
        <f t="shared" si="20"/>
        <v>-1.3485164275181004E-2</v>
      </c>
      <c r="AM45" s="7" cm="1">
        <f t="array" ref="AM45">_xlfn.IFS($A$14=$A$15, $A$8*W45, $A$14=$A$16, $A$8*X45, $A$14=$A$17, $A$8*Y45, $A$14=$A$18, $A$8*Z45, $A$14=$A$19, $A$8*AA45, $A$14=$A$20, $A$8*AB45, $A$14=$A$21, $A$8*AC45)</f>
        <v>-4.7347615471276139E-2</v>
      </c>
      <c r="AN45" s="7">
        <f t="shared" si="21"/>
        <v>-1.3484346940199005E-2</v>
      </c>
      <c r="AO45" s="7">
        <f t="shared" si="38"/>
        <v>0.70063843232595779</v>
      </c>
      <c r="AP45" s="7">
        <f t="shared" si="22"/>
        <v>-3.7621103661520841E-2</v>
      </c>
      <c r="AV45" s="7">
        <f t="shared" si="39"/>
        <v>0.70063843232595779</v>
      </c>
      <c r="AW45" s="7">
        <f t="shared" si="40"/>
        <v>-3.7621103661520841E-2</v>
      </c>
    </row>
    <row r="46" spans="2:49" x14ac:dyDescent="0.3">
      <c r="B46" s="7">
        <v>0.74944999999999995</v>
      </c>
      <c r="C46" s="7">
        <v>-2.2239999999999999E-2</v>
      </c>
      <c r="D46" s="7">
        <v>0.75</v>
      </c>
      <c r="E46" s="7">
        <v>-3.2960000000000003E-2</v>
      </c>
      <c r="F46" s="7">
        <v>0.74955000000000005</v>
      </c>
      <c r="G46" s="7">
        <v>-1.6889999999999999E-2</v>
      </c>
      <c r="H46" s="7">
        <v>0.75</v>
      </c>
      <c r="I46" s="7">
        <v>-6.2509999999999996E-2</v>
      </c>
      <c r="J46" s="7">
        <v>0.74902000000000002</v>
      </c>
      <c r="K46" s="7">
        <v>-4.725E-2</v>
      </c>
      <c r="L46" s="7">
        <v>0.75</v>
      </c>
      <c r="M46" s="7">
        <v>-3.7310000000000003E-2</v>
      </c>
      <c r="N46" s="7">
        <v>0.75</v>
      </c>
      <c r="O46" s="7">
        <v>-2.1170000000000001E-2</v>
      </c>
      <c r="P46" s="7">
        <v>0.74955000000000005</v>
      </c>
      <c r="Q46" s="7">
        <v>-1.6889999999999999E-2</v>
      </c>
      <c r="S46" s="7">
        <f t="shared" si="16"/>
        <v>8.9498417940379171E-3</v>
      </c>
      <c r="T46" s="7">
        <f t="shared" si="17"/>
        <v>-1.7484957628302988E-2</v>
      </c>
      <c r="U46" s="7">
        <f t="shared" si="18"/>
        <v>-1.7483176099519319E-2</v>
      </c>
      <c r="W46" s="7">
        <f t="shared" si="27"/>
        <v>-0.20796406111522331</v>
      </c>
      <c r="X46" s="7">
        <f t="shared" si="28"/>
        <v>-0.21973333333333336</v>
      </c>
      <c r="Y46" s="7">
        <f t="shared" si="29"/>
        <v>-0.25843791418766776</v>
      </c>
      <c r="Z46" s="7">
        <f t="shared" si="30"/>
        <v>-0.29766666666666663</v>
      </c>
      <c r="AA46" s="7">
        <f t="shared" si="31"/>
        <v>-0.37472287967024298</v>
      </c>
      <c r="AB46" s="7">
        <f t="shared" si="32"/>
        <v>-0.24873333333333336</v>
      </c>
      <c r="AC46" s="7">
        <f t="shared" si="33"/>
        <v>-0.264625</v>
      </c>
      <c r="AF46" s="7">
        <v>0.75</v>
      </c>
      <c r="AG46" s="7">
        <f t="shared" si="34"/>
        <v>8.9498417940379171E-3</v>
      </c>
      <c r="AH46" s="7" t="str">
        <f t="shared" si="35"/>
        <v xml:space="preserve"> </v>
      </c>
      <c r="AI46" s="7">
        <f t="shared" si="19"/>
        <v>8.9498417940379171E-3</v>
      </c>
      <c r="AJ46" s="7">
        <f t="shared" si="36"/>
        <v>-1.7484957628302988E-2</v>
      </c>
      <c r="AK46" s="3" t="str">
        <f t="shared" si="37"/>
        <v xml:space="preserve"> </v>
      </c>
      <c r="AL46" s="7">
        <f t="shared" si="20"/>
        <v>-1.7484957628302988E-2</v>
      </c>
      <c r="AM46" s="7" cm="1">
        <f t="array" ref="AM46">_xlfn.IFS($A$14=$A$15, $A$8*W46, $A$14=$A$16, $A$8*X46, $A$14=$A$17, $A$8*Y46, $A$14=$A$18, $A$8*Z46, $A$14=$A$19, $A$8*AA46, $A$14=$A$20, $A$8*AB46, $A$14=$A$21, $A$8*AC46)</f>
        <v>-3.8765687128150164E-2</v>
      </c>
      <c r="AN46" s="7">
        <f t="shared" si="21"/>
        <v>-1.7483176099519319E-2</v>
      </c>
      <c r="AO46" s="7">
        <f t="shared" si="38"/>
        <v>0.75067771280833617</v>
      </c>
      <c r="AP46" s="7">
        <f t="shared" si="22"/>
        <v>-2.9809920897018956E-2</v>
      </c>
      <c r="AV46" s="7">
        <f t="shared" si="39"/>
        <v>0.75067771280833617</v>
      </c>
      <c r="AW46" s="7">
        <f t="shared" si="40"/>
        <v>-2.9809920897018956E-2</v>
      </c>
    </row>
    <row r="47" spans="2:49" x14ac:dyDescent="0.3">
      <c r="B47" s="7">
        <v>0.79949000000000003</v>
      </c>
      <c r="C47" s="7">
        <v>-1.5129999999999999E-2</v>
      </c>
      <c r="D47" s="7">
        <v>0.8</v>
      </c>
      <c r="E47" s="7">
        <v>-2.4719999999999999E-2</v>
      </c>
      <c r="F47" s="7">
        <v>0.79956000000000005</v>
      </c>
      <c r="G47" s="7">
        <v>-1.191E-2</v>
      </c>
      <c r="H47" s="7">
        <v>0.8</v>
      </c>
      <c r="I47" s="7">
        <v>-4.7960000000000003E-2</v>
      </c>
      <c r="J47" s="7">
        <v>0.79900000000000004</v>
      </c>
      <c r="K47" s="7">
        <v>-3.7429999999999998E-2</v>
      </c>
      <c r="L47" s="7">
        <v>0.8</v>
      </c>
      <c r="M47" s="7">
        <v>-2.9909999999999999E-2</v>
      </c>
      <c r="N47" s="7">
        <v>0.8</v>
      </c>
      <c r="O47" s="7">
        <v>-1.6979999999999999E-2</v>
      </c>
      <c r="P47" s="7">
        <v>0.79956000000000005</v>
      </c>
      <c r="Q47" s="7">
        <v>-1.191E-2</v>
      </c>
      <c r="S47" s="7">
        <f t="shared" si="16"/>
        <v>7.9641519241266806E-3</v>
      </c>
      <c r="T47" s="7">
        <f t="shared" si="17"/>
        <v>-2.2063560015265164E-2</v>
      </c>
      <c r="U47" s="7">
        <f t="shared" si="18"/>
        <v>-2.2059980875260118E-2</v>
      </c>
      <c r="W47" s="7">
        <f t="shared" si="27"/>
        <v>-0.15399848243092001</v>
      </c>
      <c r="X47" s="7">
        <f t="shared" si="28"/>
        <v>-0.1648</v>
      </c>
      <c r="Y47" s="7">
        <f t="shared" si="29"/>
        <v>-0.1987898871090151</v>
      </c>
      <c r="Z47" s="7">
        <f t="shared" si="30"/>
        <v>-0.22838095238095238</v>
      </c>
      <c r="AA47" s="7">
        <f t="shared" si="31"/>
        <v>-0.30270133021212858</v>
      </c>
      <c r="AB47" s="7">
        <f t="shared" si="32"/>
        <v>-0.19939999999999999</v>
      </c>
      <c r="AC47" s="7">
        <f t="shared" si="33"/>
        <v>-0.21224999999999999</v>
      </c>
      <c r="AF47" s="7">
        <v>0.8</v>
      </c>
      <c r="AG47" s="7">
        <f t="shared" si="34"/>
        <v>7.9641519241266806E-3</v>
      </c>
      <c r="AH47" s="7" t="str">
        <f t="shared" si="35"/>
        <v xml:space="preserve"> </v>
      </c>
      <c r="AI47" s="7">
        <f t="shared" si="19"/>
        <v>7.9641519241266806E-3</v>
      </c>
      <c r="AJ47" s="7">
        <f t="shared" si="36"/>
        <v>-2.2063560015265164E-2</v>
      </c>
      <c r="AK47" s="3" t="str">
        <f t="shared" si="37"/>
        <v xml:space="preserve"> </v>
      </c>
      <c r="AL47" s="7">
        <f t="shared" si="20"/>
        <v>-2.2063560015265164E-2</v>
      </c>
      <c r="AM47" s="7" cm="1">
        <f t="array" ref="AM47">_xlfn.IFS($A$14=$A$15, $A$8*W47, $A$14=$A$16, $A$8*X47, $A$14=$A$17, $A$8*Y47, $A$14=$A$18, $A$8*Z47, $A$14=$A$19, $A$8*AA47, $A$14=$A$20, $A$8*AB47, $A$14=$A$21, $A$8*AC47)</f>
        <v>-2.9818483066352264E-2</v>
      </c>
      <c r="AN47" s="7">
        <f t="shared" si="21"/>
        <v>-2.2059980875260118E-2</v>
      </c>
      <c r="AO47" s="7">
        <f t="shared" si="38"/>
        <v>0.80065774181559579</v>
      </c>
      <c r="AP47" s="7">
        <f t="shared" si="22"/>
        <v>-2.1847075962063339E-2</v>
      </c>
      <c r="AV47" s="7">
        <f t="shared" si="39"/>
        <v>0.80065774181559579</v>
      </c>
      <c r="AW47" s="7">
        <f t="shared" si="40"/>
        <v>-2.1847075962063339E-2</v>
      </c>
    </row>
    <row r="48" spans="2:49" x14ac:dyDescent="0.3">
      <c r="B48" s="7">
        <v>0.84957000000000005</v>
      </c>
      <c r="C48" s="7">
        <v>-8.6700000000000006E-3</v>
      </c>
      <c r="D48" s="7">
        <v>0.85</v>
      </c>
      <c r="E48" s="7">
        <v>-1.677E-2</v>
      </c>
      <c r="F48" s="7">
        <v>0.84962000000000004</v>
      </c>
      <c r="G48" s="7">
        <v>-7.11E-3</v>
      </c>
      <c r="H48" s="7">
        <v>0.85</v>
      </c>
      <c r="I48" s="7">
        <v>-3.3239999999999999E-2</v>
      </c>
      <c r="J48" s="7">
        <v>0.84907999999999995</v>
      </c>
      <c r="K48" s="7">
        <v>-2.6530000000000001E-2</v>
      </c>
      <c r="L48" s="7">
        <v>0.85</v>
      </c>
      <c r="M48" s="7">
        <v>-2.2519999999999998E-2</v>
      </c>
      <c r="N48" s="7">
        <v>0.85</v>
      </c>
      <c r="O48" s="7">
        <v>-1.278E-2</v>
      </c>
      <c r="P48" s="7">
        <v>0.84962000000000004</v>
      </c>
      <c r="Q48" s="7">
        <v>-7.11E-3</v>
      </c>
      <c r="S48" s="7">
        <f t="shared" si="16"/>
        <v>6.7276240814189477E-3</v>
      </c>
      <c r="T48" s="7">
        <f t="shared" si="17"/>
        <v>-2.7607033225743562E-2</v>
      </c>
      <c r="U48" s="7">
        <f t="shared" si="18"/>
        <v>-2.7600022880222699E-2</v>
      </c>
      <c r="W48" s="7">
        <f t="shared" si="27"/>
        <v>-0.10268993733483042</v>
      </c>
      <c r="X48" s="7">
        <f t="shared" si="28"/>
        <v>-0.11180000000000001</v>
      </c>
      <c r="Y48" s="7">
        <f t="shared" si="29"/>
        <v>-0.1384289623778992</v>
      </c>
      <c r="Z48" s="7">
        <f t="shared" si="30"/>
        <v>-0.15828571428571428</v>
      </c>
      <c r="AA48" s="7">
        <f t="shared" si="31"/>
        <v>-0.22180196858732076</v>
      </c>
      <c r="AB48" s="7">
        <f t="shared" si="32"/>
        <v>-0.15013333333333334</v>
      </c>
      <c r="AC48" s="7">
        <f t="shared" si="33"/>
        <v>-0.15975</v>
      </c>
      <c r="AF48" s="7">
        <v>0.85</v>
      </c>
      <c r="AG48" s="7">
        <f t="shared" si="34"/>
        <v>6.7276240814189477E-3</v>
      </c>
      <c r="AH48" s="7" t="str">
        <f t="shared" si="35"/>
        <v xml:space="preserve"> </v>
      </c>
      <c r="AI48" s="7">
        <f t="shared" si="19"/>
        <v>6.7276240814189477E-3</v>
      </c>
      <c r="AJ48" s="7">
        <f t="shared" si="36"/>
        <v>-2.7607033225743562E-2</v>
      </c>
      <c r="AK48" s="3" t="str">
        <f t="shared" si="37"/>
        <v xml:space="preserve"> </v>
      </c>
      <c r="AL48" s="7">
        <f t="shared" si="20"/>
        <v>-2.7607033225743562E-2</v>
      </c>
      <c r="AM48" s="7" cm="1">
        <f t="array" ref="AM48">_xlfn.IFS($A$14=$A$15, $A$8*W48, $A$14=$A$16, $A$8*X48, $A$14=$A$17, $A$8*Y48, $A$14=$A$18, $A$8*Z48, $A$14=$A$19, $A$8*AA48, $A$14=$A$20, $A$8*AB48, $A$14=$A$21, $A$8*AC48)</f>
        <v>-2.076434435668488E-2</v>
      </c>
      <c r="AN48" s="7">
        <f t="shared" si="21"/>
        <v>-2.7600022880222699E-2</v>
      </c>
      <c r="AO48" s="7">
        <f t="shared" si="38"/>
        <v>0.85057302362167164</v>
      </c>
      <c r="AP48" s="7">
        <f t="shared" si="22"/>
        <v>-1.4028812040709474E-2</v>
      </c>
      <c r="AV48" s="7">
        <f t="shared" si="39"/>
        <v>0.85057302362167164</v>
      </c>
      <c r="AW48" s="7">
        <f t="shared" si="40"/>
        <v>-1.4028812040709474E-2</v>
      </c>
    </row>
    <row r="49" spans="2:49" x14ac:dyDescent="0.3">
      <c r="B49" s="7">
        <v>0.89970000000000006</v>
      </c>
      <c r="C49" s="7">
        <v>-3.3400000000000001E-3</v>
      </c>
      <c r="D49" s="7">
        <v>0.9</v>
      </c>
      <c r="E49" s="7">
        <v>-9.4999999999999998E-3</v>
      </c>
      <c r="F49" s="7">
        <v>0.89971999999999996</v>
      </c>
      <c r="G49" s="7">
        <v>-2.9299999999999999E-3</v>
      </c>
      <c r="H49" s="7">
        <v>0.9</v>
      </c>
      <c r="I49" s="7">
        <v>-1.924E-2</v>
      </c>
      <c r="J49" s="7">
        <v>0.89929000000000003</v>
      </c>
      <c r="K49" s="7">
        <v>-1.503E-2</v>
      </c>
      <c r="L49" s="7">
        <v>0.9</v>
      </c>
      <c r="M49" s="7">
        <v>-1.512E-2</v>
      </c>
      <c r="N49" s="7">
        <v>0.9</v>
      </c>
      <c r="O49" s="7">
        <v>-8.5800000000000008E-3</v>
      </c>
      <c r="P49" s="7">
        <v>0.89971999999999996</v>
      </c>
      <c r="Q49" s="7">
        <v>-2.9299999999999999E-3</v>
      </c>
      <c r="S49" s="7">
        <f t="shared" si="16"/>
        <v>5.1738562130260067E-3</v>
      </c>
      <c r="T49" s="7">
        <f t="shared" si="17"/>
        <v>-3.4969915256605984E-2</v>
      </c>
      <c r="U49" s="7">
        <f t="shared" si="18"/>
        <v>-3.495567086225998E-2</v>
      </c>
      <c r="W49" s="7">
        <f t="shared" si="27"/>
        <v>-5.679373598967459E-2</v>
      </c>
      <c r="X49" s="7">
        <f t="shared" si="28"/>
        <v>-6.3333333333333339E-2</v>
      </c>
      <c r="Y49" s="7">
        <f t="shared" si="29"/>
        <v>-8.1088097815778304E-2</v>
      </c>
      <c r="Z49" s="7">
        <f t="shared" si="30"/>
        <v>-9.1619047619047614E-2</v>
      </c>
      <c r="AA49" s="7">
        <f t="shared" si="31"/>
        <v>-0.13477470690430141</v>
      </c>
      <c r="AB49" s="7">
        <f t="shared" si="32"/>
        <v>-0.1008</v>
      </c>
      <c r="AC49" s="7">
        <f t="shared" si="33"/>
        <v>-0.10725000000000001</v>
      </c>
      <c r="AF49" s="7">
        <v>0.9</v>
      </c>
      <c r="AG49" s="7">
        <f t="shared" si="34"/>
        <v>5.1738562130260067E-3</v>
      </c>
      <c r="AH49" s="7" t="str">
        <f t="shared" si="35"/>
        <v xml:space="preserve"> </v>
      </c>
      <c r="AI49" s="7">
        <f t="shared" si="19"/>
        <v>5.1738562130260067E-3</v>
      </c>
      <c r="AJ49" s="7">
        <f t="shared" si="36"/>
        <v>-3.4969915256605984E-2</v>
      </c>
      <c r="AK49" s="3" t="str">
        <f t="shared" si="37"/>
        <v xml:space="preserve"> </v>
      </c>
      <c r="AL49" s="7">
        <f t="shared" si="20"/>
        <v>-3.4969915256605984E-2</v>
      </c>
      <c r="AM49" s="7" cm="1">
        <f t="array" ref="AM49">_xlfn.IFS($A$14=$A$15, $A$8*W49, $A$14=$A$16, $A$8*X49, $A$14=$A$17, $A$8*Y49, $A$14=$A$18, $A$8*Z49, $A$14=$A$19, $A$8*AA49, $A$14=$A$20, $A$8*AB49, $A$14=$A$21, $A$8*AC49)</f>
        <v>-1.2163214672366746E-2</v>
      </c>
      <c r="AN49" s="7">
        <f t="shared" si="21"/>
        <v>-3.495567086225998E-2</v>
      </c>
      <c r="AO49" s="7">
        <f t="shared" si="38"/>
        <v>0.90042508674753186</v>
      </c>
      <c r="AP49" s="7">
        <f t="shared" si="22"/>
        <v>-6.9819281065130042E-3</v>
      </c>
      <c r="AV49" s="7">
        <f t="shared" si="39"/>
        <v>0.90042508674753186</v>
      </c>
      <c r="AW49" s="7">
        <f t="shared" si="40"/>
        <v>-6.9819281065130042E-3</v>
      </c>
    </row>
    <row r="50" spans="2:49" x14ac:dyDescent="0.3">
      <c r="B50" s="7">
        <v>0.94986000000000004</v>
      </c>
      <c r="C50" s="7">
        <v>1.6000000000000001E-4</v>
      </c>
      <c r="D50" s="7">
        <v>0.95</v>
      </c>
      <c r="E50" s="7">
        <v>-3.46E-3</v>
      </c>
      <c r="F50" s="7">
        <v>0.94986000000000004</v>
      </c>
      <c r="G50" s="7">
        <v>1E-4</v>
      </c>
      <c r="H50" s="7">
        <v>0.95</v>
      </c>
      <c r="I50" s="7">
        <v>-7.1700000000000002E-3</v>
      </c>
      <c r="J50" s="7">
        <v>0.94962999999999997</v>
      </c>
      <c r="K50" s="7">
        <v>-4.7099999999999998E-3</v>
      </c>
      <c r="L50" s="7">
        <v>0.95</v>
      </c>
      <c r="M50" s="7">
        <v>-7.7200000000000003E-3</v>
      </c>
      <c r="N50" s="7">
        <v>0.95</v>
      </c>
      <c r="O50" s="7">
        <v>-4.3800000000000002E-3</v>
      </c>
      <c r="P50" s="7">
        <v>0.94986000000000004</v>
      </c>
      <c r="Q50" s="7">
        <v>1E-4</v>
      </c>
      <c r="S50" s="7">
        <f t="shared" si="16"/>
        <v>3.1594682257586118E-3</v>
      </c>
      <c r="T50" s="7">
        <f t="shared" si="17"/>
        <v>-4.6862201816679307E-2</v>
      </c>
      <c r="U50" s="7">
        <f t="shared" si="18"/>
        <v>-4.682794278435988E-2</v>
      </c>
      <c r="W50" s="7">
        <f t="shared" si="27"/>
        <v>-2.0018399563868611E-2</v>
      </c>
      <c r="X50" s="7">
        <f t="shared" si="28"/>
        <v>-2.3066666666666666E-2</v>
      </c>
      <c r="Y50" s="7">
        <f t="shared" si="29"/>
        <v>-3.062825780428434E-2</v>
      </c>
      <c r="Z50" s="7">
        <f t="shared" si="30"/>
        <v>-3.4142857142857141E-2</v>
      </c>
      <c r="AA50" s="7">
        <f t="shared" si="31"/>
        <v>-5.252069615058557E-2</v>
      </c>
      <c r="AB50" s="7">
        <f t="shared" si="32"/>
        <v>-5.1466666666666668E-2</v>
      </c>
      <c r="AC50" s="7">
        <f t="shared" si="33"/>
        <v>-5.475E-2</v>
      </c>
      <c r="AF50" s="7">
        <v>0.95</v>
      </c>
      <c r="AG50" s="7">
        <f t="shared" si="34"/>
        <v>3.1594682257586118E-3</v>
      </c>
      <c r="AH50" s="7" t="str">
        <f t="shared" si="35"/>
        <v xml:space="preserve"> </v>
      </c>
      <c r="AI50" s="7">
        <f t="shared" si="19"/>
        <v>3.1594682257586118E-3</v>
      </c>
      <c r="AJ50" s="7">
        <f t="shared" si="36"/>
        <v>-4.6862201816679307E-2</v>
      </c>
      <c r="AK50" s="3" t="str">
        <f t="shared" si="37"/>
        <v xml:space="preserve"> </v>
      </c>
      <c r="AL50" s="7">
        <f t="shared" si="20"/>
        <v>-4.6862201816679307E-2</v>
      </c>
      <c r="AM50" s="7" cm="1">
        <f t="array" ref="AM50">_xlfn.IFS($A$14=$A$15, $A$8*W50, $A$14=$A$16, $A$8*X50, $A$14=$A$17, $A$8*Y50, $A$14=$A$18, $A$8*Z50, $A$14=$A$19, $A$8*AA50, $A$14=$A$20, $A$8*AB50, $A$14=$A$21, $A$8*AC50)</f>
        <v>-4.5942386706426504E-3</v>
      </c>
      <c r="AN50" s="7">
        <f t="shared" si="21"/>
        <v>-4.682794278435988E-2</v>
      </c>
      <c r="AO50" s="7">
        <f t="shared" si="38"/>
        <v>0.95021506012617074</v>
      </c>
      <c r="AP50" s="7">
        <f t="shared" si="22"/>
        <v>-1.4297341128793059E-3</v>
      </c>
      <c r="AV50" s="7">
        <f t="shared" si="39"/>
        <v>0.95021506012617074</v>
      </c>
      <c r="AW50" s="7">
        <f t="shared" si="40"/>
        <v>-1.4297341128793059E-3</v>
      </c>
    </row>
    <row r="51" spans="2:49" x14ac:dyDescent="0.3">
      <c r="B51" s="7">
        <v>1</v>
      </c>
      <c r="C51" s="7">
        <v>0</v>
      </c>
      <c r="D51" s="7">
        <v>1</v>
      </c>
      <c r="E51" s="7">
        <v>0</v>
      </c>
      <c r="F51" s="7">
        <v>1</v>
      </c>
      <c r="G51" s="7">
        <v>0</v>
      </c>
      <c r="H51" s="7">
        <v>1</v>
      </c>
      <c r="I51" s="7">
        <v>0</v>
      </c>
      <c r="J51" s="7">
        <v>1</v>
      </c>
      <c r="K51" s="7">
        <v>0</v>
      </c>
      <c r="L51" s="7">
        <v>1</v>
      </c>
      <c r="M51" s="7">
        <v>-3.2000000000000003E-4</v>
      </c>
      <c r="N51" s="7">
        <v>1</v>
      </c>
      <c r="O51" s="7">
        <v>-1.8000000000000001E-4</v>
      </c>
      <c r="P51" s="7">
        <v>1</v>
      </c>
      <c r="Q51" s="7">
        <v>0</v>
      </c>
      <c r="S51" s="7">
        <f t="shared" si="16"/>
        <v>0</v>
      </c>
      <c r="T51" s="7">
        <f t="shared" si="17"/>
        <v>0</v>
      </c>
      <c r="U51" s="7">
        <f t="shared" si="18"/>
        <v>0</v>
      </c>
      <c r="W51" s="7">
        <f t="shared" si="27"/>
        <v>0</v>
      </c>
      <c r="X51" s="7">
        <f t="shared" si="28"/>
        <v>0</v>
      </c>
      <c r="Y51" s="7">
        <f t="shared" si="29"/>
        <v>0</v>
      </c>
      <c r="Z51" s="7">
        <f t="shared" si="30"/>
        <v>0</v>
      </c>
      <c r="AA51" s="7">
        <f t="shared" si="31"/>
        <v>0</v>
      </c>
      <c r="AB51" s="7">
        <f t="shared" si="32"/>
        <v>-2.1333333333333334E-3</v>
      </c>
      <c r="AC51" s="7">
        <f t="shared" si="33"/>
        <v>-2.2500000000000003E-3</v>
      </c>
      <c r="AF51" s="7">
        <v>1</v>
      </c>
      <c r="AG51" s="7">
        <f t="shared" si="34"/>
        <v>0</v>
      </c>
      <c r="AH51" s="7" t="str">
        <f t="shared" si="35"/>
        <v xml:space="preserve"> </v>
      </c>
      <c r="AI51" s="7">
        <f t="shared" si="19"/>
        <v>0</v>
      </c>
      <c r="AJ51" s="7">
        <f t="shared" si="36"/>
        <v>0</v>
      </c>
      <c r="AK51" s="3" t="str">
        <f t="shared" si="37"/>
        <v xml:space="preserve"> </v>
      </c>
      <c r="AL51" s="7">
        <f t="shared" si="20"/>
        <v>0</v>
      </c>
      <c r="AM51" s="7" cm="1">
        <f t="array" ref="AM51">_xlfn.IFS($A$14=$A$15, $A$8*W51, $A$14=$A$16, $A$8*X51, $A$14=$A$17, $A$8*Y51, $A$14=$A$18, $A$8*Z51, $A$14=$A$19, $A$8*AA51, $A$14=$A$20, $A$8*AB51, $A$14=$A$21, $A$8*AC51)</f>
        <v>0</v>
      </c>
      <c r="AN51" s="7">
        <f t="shared" si="21"/>
        <v>0</v>
      </c>
      <c r="AO51" s="7">
        <f t="shared" si="38"/>
        <v>1</v>
      </c>
      <c r="AP51" s="7">
        <f t="shared" si="22"/>
        <v>0</v>
      </c>
      <c r="AV51" s="7">
        <f t="shared" si="39"/>
        <v>1</v>
      </c>
      <c r="AW51" s="7">
        <f t="shared" si="40"/>
        <v>0</v>
      </c>
    </row>
  </sheetData>
  <sheetProtection algorithmName="SHA-512" hashValue="ke43YqOQpjqWVi5sWe5fixuLNfiX0sLOUpI2beweGn39zBTMHqKgfMEl5jNkAVYDaSqdziMpCo6X6J1RK3cpcQ==" saltValue="TrUnUpvbPO9X1ZLWZRev9g==" spinCount="100000" sheet="1" objects="1" scenarios="1"/>
  <sortState xmlns:xlrd2="http://schemas.microsoft.com/office/spreadsheetml/2017/richdata2" ref="N1:O25">
    <sortCondition descending="1" ref="N1:N25"/>
  </sortState>
  <pageMargins left="0.7" right="0.7" top="0.75" bottom="0.75" header="0.3" footer="0.3"/>
  <pageSetup paperSize="9" orientation="portrait" r:id="rId1"/>
  <ignoredErrors>
    <ignoredError sqref="A8" formula="1"/>
  </ignoredErrors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92DE5-592B-4AA6-B040-A12846BD3A3E}">
  <sheetPr codeName="Sheet18">
    <tabColor theme="6" tint="0.79998168889431442"/>
    <pageSetUpPr fitToPage="1"/>
  </sheetPr>
  <dimension ref="C1:O12"/>
  <sheetViews>
    <sheetView showGridLines="0" showRowColHeaders="0" zoomScale="120" zoomScaleNormal="120" workbookViewId="0">
      <selection activeCell="E2" sqref="E2"/>
    </sheetView>
  </sheetViews>
  <sheetFormatPr defaultRowHeight="14.4" x14ac:dyDescent="0.3"/>
  <cols>
    <col min="1" max="2" width="5.77734375" customWidth="1"/>
    <col min="3" max="3" width="0.88671875" customWidth="1"/>
    <col min="4" max="4" width="15.77734375" customWidth="1"/>
    <col min="5" max="5" width="6.77734375" customWidth="1"/>
    <col min="6" max="6" width="5.77734375" customWidth="1"/>
    <col min="7" max="7" width="22.77734375" customWidth="1"/>
    <col min="8" max="8" width="14.77734375" customWidth="1"/>
    <col min="9" max="9" width="7.77734375" customWidth="1"/>
    <col min="10" max="10" width="6.77734375" customWidth="1"/>
    <col min="11" max="11" width="22.77734375" customWidth="1"/>
    <col min="12" max="12" width="18.77734375" customWidth="1"/>
    <col min="13" max="13" width="5.77734375" customWidth="1"/>
    <col min="14" max="14" width="18.77734375" customWidth="1"/>
    <col min="15" max="15" width="0.88671875" customWidth="1"/>
  </cols>
  <sheetData>
    <row r="1" spans="3:15" ht="4.95" customHeight="1" x14ac:dyDescent="0.3">
      <c r="C1" s="86"/>
      <c r="D1" s="86"/>
      <c r="E1" s="86"/>
      <c r="F1" s="86"/>
      <c r="G1" s="86"/>
      <c r="H1" s="86"/>
      <c r="I1" s="152"/>
      <c r="J1" s="86"/>
      <c r="K1" s="86"/>
      <c r="L1" s="86"/>
      <c r="M1" s="86"/>
      <c r="N1" s="86"/>
      <c r="O1" s="86"/>
    </row>
    <row r="2" spans="3:15" ht="19.95" customHeight="1" x14ac:dyDescent="0.3">
      <c r="C2" s="86"/>
      <c r="D2" s="201" t="s">
        <v>19</v>
      </c>
      <c r="E2" s="202">
        <v>65</v>
      </c>
      <c r="F2" s="86"/>
      <c r="G2" s="201" t="s">
        <v>1</v>
      </c>
      <c r="H2" s="203" t="str">
        <f>IF(LEN(Data6!A14)=2, "NACA 6"&amp;TEXT(Data6!A1, "0")&amp;"-"&amp;TEXT(Data6!A2, "0")&amp;TEXT(Data6!A3, "00"), "NACA 6"&amp;TEXT(Data6!A1, "0")&amp;"A-"&amp;TEXT(Data6!A2, "0")&amp;TEXT(Data6!A3, "00"))</f>
        <v>NACA 65-215</v>
      </c>
      <c r="I2" s="204" t="str">
        <f>"a = "&amp;TEXT(Data6!A9, "0.0")</f>
        <v>a = 1.0</v>
      </c>
      <c r="J2" s="153"/>
      <c r="K2" s="86"/>
      <c r="L2" s="86"/>
      <c r="M2" s="86"/>
      <c r="N2" s="162"/>
      <c r="O2" s="86"/>
    </row>
    <row r="3" spans="3:15" ht="7.05" customHeight="1" x14ac:dyDescent="0.3">
      <c r="C3" s="86"/>
      <c r="D3" s="173"/>
      <c r="E3" s="174"/>
      <c r="F3" s="86"/>
      <c r="G3" s="289"/>
      <c r="H3" s="175"/>
      <c r="I3" s="163"/>
      <c r="J3" s="86"/>
      <c r="K3" s="133"/>
      <c r="L3" s="133"/>
      <c r="M3" s="86"/>
      <c r="N3" s="133"/>
      <c r="O3" s="86"/>
    </row>
    <row r="4" spans="3:15" ht="22.8" customHeight="1" x14ac:dyDescent="0.3">
      <c r="C4" s="86"/>
      <c r="D4" s="197" t="s">
        <v>22</v>
      </c>
      <c r="E4" s="196">
        <v>0</v>
      </c>
      <c r="F4" s="86"/>
      <c r="G4" s="198" t="s">
        <v>13</v>
      </c>
      <c r="H4" s="312">
        <f>Data6!A7</f>
        <v>0.2</v>
      </c>
      <c r="I4" s="313"/>
      <c r="J4" s="86"/>
      <c r="K4" s="199" t="s">
        <v>18</v>
      </c>
      <c r="L4" s="291">
        <f>Data6!A6</f>
        <v>0.5</v>
      </c>
      <c r="M4" s="164"/>
      <c r="N4" s="149"/>
      <c r="O4" s="142"/>
    </row>
    <row r="5" spans="3:15" ht="4.95" customHeight="1" x14ac:dyDescent="0.3">
      <c r="C5" s="86"/>
      <c r="D5" s="165"/>
      <c r="E5" s="165"/>
      <c r="F5" s="86"/>
      <c r="G5" s="140"/>
      <c r="H5" s="140"/>
      <c r="I5" s="140"/>
      <c r="J5" s="86"/>
      <c r="K5" s="166"/>
      <c r="L5" s="166"/>
      <c r="M5" s="167"/>
      <c r="N5" s="171"/>
      <c r="O5" s="86"/>
    </row>
    <row r="6" spans="3:15" ht="22.8" customHeight="1" x14ac:dyDescent="0.3">
      <c r="C6" s="86"/>
      <c r="D6" s="198" t="s">
        <v>16</v>
      </c>
      <c r="E6" s="196">
        <v>1</v>
      </c>
      <c r="F6" s="167"/>
      <c r="G6" s="290" t="s">
        <v>7</v>
      </c>
      <c r="H6" s="310">
        <f>Data6!A8</f>
        <v>0.15</v>
      </c>
      <c r="I6" s="311"/>
      <c r="J6" s="142"/>
      <c r="K6" s="198" t="s">
        <v>26</v>
      </c>
      <c r="L6" s="200">
        <f>DEGREES(Data6!BB1)</f>
        <v>0</v>
      </c>
      <c r="M6" s="167"/>
      <c r="N6" s="172"/>
      <c r="O6" s="86"/>
    </row>
    <row r="7" spans="3:15" ht="4.95" customHeight="1" x14ac:dyDescent="0.3">
      <c r="C7" s="86"/>
      <c r="D7" s="86"/>
      <c r="E7" s="168"/>
      <c r="F7" s="86"/>
      <c r="G7" s="86"/>
      <c r="H7" s="165"/>
      <c r="I7" s="140"/>
      <c r="J7" s="86"/>
      <c r="K7" s="86"/>
      <c r="L7" s="86"/>
      <c r="M7" s="86"/>
      <c r="N7" s="86"/>
      <c r="O7" s="86"/>
    </row>
    <row r="8" spans="3:15" ht="22.8" customHeight="1" x14ac:dyDescent="0.3">
      <c r="C8" s="167"/>
      <c r="D8" s="149"/>
      <c r="F8" s="136"/>
      <c r="G8" s="198" t="s">
        <v>31</v>
      </c>
      <c r="H8" s="312">
        <f>Data6!A9</f>
        <v>1</v>
      </c>
      <c r="I8" s="313"/>
      <c r="J8" s="142"/>
      <c r="K8" s="307" t="s">
        <v>14</v>
      </c>
      <c r="L8" s="307"/>
      <c r="M8" s="169"/>
      <c r="N8" s="86"/>
      <c r="O8" s="86"/>
    </row>
    <row r="9" spans="3:15" ht="19.95" customHeight="1" x14ac:dyDescent="0.3">
      <c r="C9" s="86"/>
      <c r="D9" s="170"/>
      <c r="E9" s="170"/>
      <c r="F9" s="86"/>
      <c r="G9" s="86"/>
      <c r="H9" s="166"/>
      <c r="I9" s="86"/>
      <c r="J9" s="86"/>
      <c r="K9" s="140"/>
      <c r="L9" s="86"/>
      <c r="M9" s="86"/>
      <c r="N9" s="86"/>
      <c r="O9" s="86"/>
    </row>
    <row r="10" spans="3:15" ht="4.95" customHeight="1" x14ac:dyDescent="0.3"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86"/>
    </row>
    <row r="11" spans="3:15" ht="16.2" customHeight="1" x14ac:dyDescent="0.3"/>
    <row r="12" spans="3:15" ht="22.8" customHeight="1" x14ac:dyDescent="0.3">
      <c r="G12" s="27"/>
    </row>
  </sheetData>
  <sheetProtection algorithmName="SHA-512" hashValue="KwFMvjK5dIYKw2MfzC9/K0V/q4cOrXyPtRNcp+YFSFPQRMRbhTlia+evN9VT21hNe8rvfX2Z8+1GHkQjBhZfqw==" saltValue="nhqd0C5T3gtGxx1+zxOyxA==" spinCount="100000" sheet="1" objects="1" scenarios="1" selectLockedCells="1"/>
  <mergeCells count="4">
    <mergeCell ref="H6:I6"/>
    <mergeCell ref="H8:I8"/>
    <mergeCell ref="K8:L8"/>
    <mergeCell ref="H4:I4"/>
  </mergeCells>
  <pageMargins left="0.7" right="0.7" top="0.75" bottom="0.75" header="0.3" footer="0.3"/>
  <pageSetup paperSize="9" scale="7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30" r:id="rId4" name="Check Box 6">
              <controlPr defaultSize="0" autoFill="0" autoLine="0" autoPict="0">
                <anchor moveWithCells="1">
                  <from>
                    <xdr:col>13</xdr:col>
                    <xdr:colOff>129540</xdr:colOff>
                    <xdr:row>3</xdr:row>
                    <xdr:rowOff>99060</xdr:rowOff>
                  </from>
                  <to>
                    <xdr:col>13</xdr:col>
                    <xdr:colOff>1165860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5" name="Check Box 7">
              <controlPr defaultSize="0" autoFill="0" autoLine="0" autoPict="0">
                <anchor moveWithCells="1">
                  <from>
                    <xdr:col>13</xdr:col>
                    <xdr:colOff>129540</xdr:colOff>
                    <xdr:row>4</xdr:row>
                    <xdr:rowOff>45720</xdr:rowOff>
                  </from>
                  <to>
                    <xdr:col>13</xdr:col>
                    <xdr:colOff>1173480</xdr:colOff>
                    <xdr:row>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6" name="Spinner 13">
              <controlPr defaultSize="0" autoPict="0">
                <anchor moveWithCells="1" sizeWithCells="1">
                  <from>
                    <xdr:col>8</xdr:col>
                    <xdr:colOff>533400</xdr:colOff>
                    <xdr:row>3</xdr:row>
                    <xdr:rowOff>0</xdr:rowOff>
                  </from>
                  <to>
                    <xdr:col>9</xdr:col>
                    <xdr:colOff>144780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7" name="Spinner 14">
              <controlPr defaultSize="0" autoPict="0">
                <anchor moveWithCells="1" sizeWithCells="1">
                  <from>
                    <xdr:col>8</xdr:col>
                    <xdr:colOff>533400</xdr:colOff>
                    <xdr:row>5</xdr:row>
                    <xdr:rowOff>0</xdr:rowOff>
                  </from>
                  <to>
                    <xdr:col>9</xdr:col>
                    <xdr:colOff>144780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8" name="Spinner 16">
              <controlPr defaultSize="0" autoPict="0">
                <anchor moveWithCells="1" sizeWithCells="1">
                  <from>
                    <xdr:col>8</xdr:col>
                    <xdr:colOff>533400</xdr:colOff>
                    <xdr:row>7</xdr:row>
                    <xdr:rowOff>0</xdr:rowOff>
                  </from>
                  <to>
                    <xdr:col>9</xdr:col>
                    <xdr:colOff>144780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9" name="Check Box 17">
              <controlPr defaultSize="0" autoFill="0" autoLine="0" autoPict="0" macro="[0]!n6_axes.ToggleAxesAndGridlinesKeepingFormat">
                <anchor moveWithCells="1">
                  <from>
                    <xdr:col>3</xdr:col>
                    <xdr:colOff>91440</xdr:colOff>
                    <xdr:row>7</xdr:row>
                    <xdr:rowOff>38100</xdr:rowOff>
                  </from>
                  <to>
                    <xdr:col>4</xdr:col>
                    <xdr:colOff>373380</xdr:colOff>
                    <xdr:row>7</xdr:row>
                    <xdr:rowOff>251460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668FDE1-771C-4AED-8ADF-7BA7C0A06094}">
          <x14:formula1>
            <xm:f>Data6!$A$15:$A$21</xm:f>
          </x14:formula1>
          <xm:sqref>E2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C75D-C6C0-4412-9B20-ECCCD73849E1}">
  <sheetPr codeName="Sheet19">
    <tabColor theme="6" tint="0.79998168889431442"/>
  </sheetPr>
  <dimension ref="A1:B52"/>
  <sheetViews>
    <sheetView showGridLines="0" showRowColHeaders="0" workbookViewId="0">
      <selection activeCell="F18" sqref="F18"/>
    </sheetView>
  </sheetViews>
  <sheetFormatPr defaultRowHeight="14.4" x14ac:dyDescent="0.3"/>
  <cols>
    <col min="1" max="1" width="11.77734375" style="54" customWidth="1"/>
    <col min="2" max="2" width="11.77734375" style="53" customWidth="1"/>
  </cols>
  <sheetData>
    <row r="1" spans="1:2" s="28" customFormat="1" ht="18" customHeight="1" x14ac:dyDescent="0.3">
      <c r="A1" s="314" t="str">
        <f>'naca_6-series_plot'!H2</f>
        <v>NACA 65-215</v>
      </c>
      <c r="B1" s="314"/>
    </row>
    <row r="2" spans="1:2" ht="15" x14ac:dyDescent="0.35">
      <c r="A2" s="195">
        <f>IFERROR(ROUND(Data6!AV1*Data6!$A$12, 5-INT(LOG10(ABS(Data6!AV1*Data6!$A$12)))),0)</f>
        <v>1</v>
      </c>
      <c r="B2" s="195">
        <f>IFERROR(ROUND(Data6!AW1*Data6!$A$12, 5-INT(LOG10(ABS(Data6!AW1*Data6!$A$12)))), 0)</f>
        <v>0</v>
      </c>
    </row>
    <row r="3" spans="1:2" ht="15" x14ac:dyDescent="0.35">
      <c r="A3" s="195">
        <f>IFERROR(ROUND(Data6!AV2*Data6!$A$12, 5-INT(LOG10(ABS(Data6!AV2*Data6!$A$12)))),0)</f>
        <v>0.94978499999999999</v>
      </c>
      <c r="B3" s="195">
        <f>IFERROR(ROUND(Data6!AW2*Data6!$A$12, 5-INT(LOG10(ABS(Data6!AW2*Data6!$A$12)))), 0)</f>
        <v>7.7502700000000001E-3</v>
      </c>
    </row>
    <row r="4" spans="1:2" ht="15" x14ac:dyDescent="0.35">
      <c r="A4" s="195">
        <f>IFERROR(ROUND(Data6!AV3*Data6!$A$12, 5-INT(LOG10(ABS(Data6!AV3*Data6!$A$12)))),0)</f>
        <v>0.89957500000000001</v>
      </c>
      <c r="B4" s="195">
        <f>IFERROR(ROUND(Data6!AW3*Data6!$A$12, 5-INT(LOG10(ABS(Data6!AW3*Data6!$A$12)))), 0)</f>
        <v>1.7318099999999999E-2</v>
      </c>
    </row>
    <row r="5" spans="1:2" ht="15" x14ac:dyDescent="0.35">
      <c r="A5" s="195">
        <f>IFERROR(ROUND(Data6!AV4*Data6!$A$12, 5-INT(LOG10(ABS(Data6!AV4*Data6!$A$12)))),0)</f>
        <v>0.84942700000000004</v>
      </c>
      <c r="B5" s="195">
        <f>IFERROR(ROUND(Data6!AW4*Data6!$A$12, 5-INT(LOG10(ABS(Data6!AW4*Data6!$A$12)))), 0)</f>
        <v>2.74912E-2</v>
      </c>
    </row>
    <row r="6" spans="1:2" ht="15" x14ac:dyDescent="0.35">
      <c r="A6" s="195">
        <f>IFERROR(ROUND(Data6!AV5*Data6!$A$12, 5-INT(LOG10(ABS(Data6!AV5*Data6!$A$12)))),0)</f>
        <v>0.79934300000000003</v>
      </c>
      <c r="B6" s="195">
        <f>IFERROR(ROUND(Data6!AW5*Data6!$A$12, 5-INT(LOG10(ABS(Data6!AW5*Data6!$A$12)))), 0)</f>
        <v>3.7762900000000002E-2</v>
      </c>
    </row>
    <row r="7" spans="1:2" ht="15" x14ac:dyDescent="0.35">
      <c r="A7" s="195">
        <f>IFERROR(ROUND(Data6!AV6*Data6!$A$12, 5-INT(LOG10(ABS(Data6!AV6*Data6!$A$12)))),0)</f>
        <v>0.74932200000000004</v>
      </c>
      <c r="B7" s="195">
        <f>IFERROR(ROUND(Data6!AW6*Data6!$A$12, 5-INT(LOG10(ABS(Data6!AW6*Data6!$A$12)))), 0)</f>
        <v>4.7710099999999998E-2</v>
      </c>
    </row>
    <row r="8" spans="1:2" ht="15" x14ac:dyDescent="0.35">
      <c r="A8" s="195">
        <f>IFERROR(ROUND(Data6!AV7*Data6!$A$12, 5-INT(LOG10(ABS(Data6!AV7*Data6!$A$12)))),0)</f>
        <v>0.69936200000000004</v>
      </c>
      <c r="B8" s="195">
        <f>IFERROR(ROUND(Data6!AW7*Data6!$A$12, 5-INT(LOG10(ABS(Data6!AW7*Data6!$A$12)))), 0)</f>
        <v>5.7058900000000003E-2</v>
      </c>
    </row>
    <row r="9" spans="1:2" ht="15" x14ac:dyDescent="0.35">
      <c r="A9" s="195">
        <f>IFERROR(ROUND(Data6!AV8*Data6!$A$12, 5-INT(LOG10(ABS(Data6!AV8*Data6!$A$12)))),0)</f>
        <v>0.64945600000000003</v>
      </c>
      <c r="B9" s="195">
        <f>IFERROR(ROUND(Data6!AW8*Data6!$A$12, 5-INT(LOG10(ABS(Data6!AW8*Data6!$A$12)))), 0)</f>
        <v>6.5527799999999997E-2</v>
      </c>
    </row>
    <row r="10" spans="1:2" ht="15" x14ac:dyDescent="0.35">
      <c r="A10" s="195">
        <f>IFERROR(ROUND(Data6!AV9*Data6!$A$12, 5-INT(LOG10(ABS(Data6!AV9*Data6!$A$12)))),0)</f>
        <v>0.59959899999999999</v>
      </c>
      <c r="B10" s="195">
        <f>IFERROR(ROUND(Data6!AW9*Data6!$A$12, 5-INT(LOG10(ABS(Data6!AW9*Data6!$A$12)))), 0)</f>
        <v>7.28993E-2</v>
      </c>
    </row>
    <row r="11" spans="1:2" ht="15" x14ac:dyDescent="0.35">
      <c r="A11" s="195">
        <f>IFERROR(ROUND(Data6!AV10*Data6!$A$12, 5-INT(LOG10(ABS(Data6!AV10*Data6!$A$12)))),0)</f>
        <v>0.54978300000000002</v>
      </c>
      <c r="B11" s="195">
        <f>IFERROR(ROUND(Data6!AW10*Data6!$A$12, 5-INT(LOG10(ABS(Data6!AW10*Data6!$A$12)))), 0)</f>
        <v>7.8898999999999997E-2</v>
      </c>
    </row>
    <row r="12" spans="1:2" ht="15" x14ac:dyDescent="0.35">
      <c r="A12" s="195">
        <f>IFERROR(ROUND(Data6!AV11*Data6!$A$12, 5-INT(LOG10(ABS(Data6!AV11*Data6!$A$12)))),0)</f>
        <v>0.5</v>
      </c>
      <c r="B12" s="195">
        <f>IFERROR(ROUND(Data6!AW11*Data6!$A$12, 5-INT(LOG10(ABS(Data6!AW11*Data6!$A$12)))), 0)</f>
        <v>8.3209099999999994E-2</v>
      </c>
    </row>
    <row r="13" spans="1:2" ht="15" x14ac:dyDescent="0.35">
      <c r="A13" s="195">
        <f>IFERROR(ROUND(Data6!AV12*Data6!$A$12, 5-INT(LOG10(ABS(Data6!AV12*Data6!$A$12)))),0)</f>
        <v>0.45023800000000003</v>
      </c>
      <c r="B13" s="195">
        <f>IFERROR(ROUND(Data6!AW12*Data6!$A$12, 5-INT(LOG10(ABS(Data6!AW12*Data6!$A$12)))), 0)</f>
        <v>8.5393999999999998E-2</v>
      </c>
    </row>
    <row r="14" spans="1:2" ht="15" x14ac:dyDescent="0.35">
      <c r="A14" s="195">
        <f>IFERROR(ROUND(Data6!AV13*Data6!$A$12, 5-INT(LOG10(ABS(Data6!AV13*Data6!$A$12)))),0)</f>
        <v>0.40048400000000001</v>
      </c>
      <c r="B14" s="195">
        <f>IFERROR(ROUND(Data6!AW13*Data6!$A$12, 5-INT(LOG10(ABS(Data6!AW13*Data6!$A$12)))), 0)</f>
        <v>8.5649299999999998E-2</v>
      </c>
    </row>
    <row r="15" spans="1:2" ht="15" x14ac:dyDescent="0.35">
      <c r="A15" s="195">
        <f>IFERROR(ROUND(Data6!AV14*Data6!$A$12, 5-INT(LOG10(ABS(Data6!AV14*Data6!$A$12)))),0)</f>
        <v>0.35072799999999998</v>
      </c>
      <c r="B15" s="195">
        <f>IFERROR(ROUND(Data6!AW14*Data6!$A$12, 5-INT(LOG10(ABS(Data6!AW14*Data6!$A$12)))), 0)</f>
        <v>8.4157800000000005E-2</v>
      </c>
    </row>
    <row r="16" spans="1:2" ht="15" x14ac:dyDescent="0.35">
      <c r="A16" s="195">
        <f>IFERROR(ROUND(Data6!AV15*Data6!$A$12, 5-INT(LOG10(ABS(Data6!AV15*Data6!$A$12)))),0)</f>
        <v>0.30096299999999998</v>
      </c>
      <c r="B16" s="195">
        <f>IFERROR(ROUND(Data6!AW15*Data6!$A$12, 5-INT(LOG10(ABS(Data6!AW15*Data6!$A$12)))), 0)</f>
        <v>8.1118899999999994E-2</v>
      </c>
    </row>
    <row r="17" spans="1:2" ht="15" x14ac:dyDescent="0.35">
      <c r="A17" s="195">
        <f>IFERROR(ROUND(Data6!AV16*Data6!$A$12, 5-INT(LOG10(ABS(Data6!AV16*Data6!$A$12)))),0)</f>
        <v>0.25118099999999999</v>
      </c>
      <c r="B17" s="195">
        <f>IFERROR(ROUND(Data6!AW16*Data6!$A$12, 5-INT(LOG10(ABS(Data6!AW16*Data6!$A$12)))), 0)</f>
        <v>7.6480099999999995E-2</v>
      </c>
    </row>
    <row r="18" spans="1:2" ht="15" x14ac:dyDescent="0.35">
      <c r="A18" s="195">
        <f>IFERROR(ROUND(Data6!AV17*Data6!$A$12, 5-INT(LOG10(ABS(Data6!AV17*Data6!$A$12)))),0)</f>
        <v>0.20137099999999999</v>
      </c>
      <c r="B18" s="195">
        <f>IFERROR(ROUND(Data6!AW17*Data6!$A$12, 5-INT(LOG10(ABS(Data6!AW17*Data6!$A$12)))), 0)</f>
        <v>7.0087899999999995E-2</v>
      </c>
    </row>
    <row r="19" spans="1:2" ht="15" x14ac:dyDescent="0.35">
      <c r="A19" s="195">
        <f>IFERROR(ROUND(Data6!AV18*Data6!$A$12, 5-INT(LOG10(ABS(Data6!AV18*Data6!$A$12)))),0)</f>
        <v>0.15151800000000001</v>
      </c>
      <c r="B19" s="195">
        <f>IFERROR(ROUND(Data6!AW18*Data6!$A$12, 5-INT(LOG10(ABS(Data6!AW18*Data6!$A$12)))), 0)</f>
        <v>6.1706200000000003E-2</v>
      </c>
    </row>
    <row r="20" spans="1:2" ht="15" x14ac:dyDescent="0.35">
      <c r="A20" s="195">
        <f>IFERROR(ROUND(Data6!AV19*Data6!$A$12, 5-INT(LOG10(ABS(Data6!AV19*Data6!$A$12)))),0)</f>
        <v>0.101593</v>
      </c>
      <c r="B20" s="195">
        <f>IFERROR(ROUND(Data6!AW19*Data6!$A$12, 5-INT(LOG10(ABS(Data6!AW19*Data6!$A$12)))), 0)</f>
        <v>5.0738100000000001E-2</v>
      </c>
    </row>
    <row r="21" spans="1:2" ht="15" x14ac:dyDescent="0.35">
      <c r="A21" s="195">
        <f>IFERROR(ROUND(Data6!AV20*Data6!$A$12, 5-INT(LOG10(ABS(Data6!AV20*Data6!$A$12)))),0)</f>
        <v>7.6586399999999999E-2</v>
      </c>
      <c r="B21" s="195">
        <f>IFERROR(ROUND(Data6!AW20*Data6!$A$12, 5-INT(LOG10(ABS(Data6!AW20*Data6!$A$12)))), 0)</f>
        <v>4.3915200000000001E-2</v>
      </c>
    </row>
    <row r="22" spans="1:2" ht="15" x14ac:dyDescent="0.35">
      <c r="A22" s="195">
        <f>IFERROR(ROUND(Data6!AV21*Data6!$A$12, 5-INT(LOG10(ABS(Data6!AV21*Data6!$A$12)))),0)</f>
        <v>5.1528900000000002E-2</v>
      </c>
      <c r="B22" s="195">
        <f>IFERROR(ROUND(Data6!AW21*Data6!$A$12, 5-INT(LOG10(ABS(Data6!AW21*Data6!$A$12)))), 0)</f>
        <v>3.5785299999999999E-2</v>
      </c>
    </row>
    <row r="23" spans="1:2" ht="15" x14ac:dyDescent="0.35">
      <c r="A23" s="195">
        <f>IFERROR(ROUND(Data6!AV22*Data6!$A$12, 5-INT(LOG10(ABS(Data6!AV22*Data6!$A$12)))),0)</f>
        <v>2.6374000000000002E-2</v>
      </c>
      <c r="B23" s="195">
        <f>IFERROR(ROUND(Data6!AW22*Data6!$A$12, 5-INT(LOG10(ABS(Data6!AW22*Data6!$A$12)))), 0)</f>
        <v>2.5424700000000001E-2</v>
      </c>
    </row>
    <row r="24" spans="1:2" ht="15" x14ac:dyDescent="0.35">
      <c r="A24" s="195">
        <f>IFERROR(ROUND(Data6!AV23*Data6!$A$12, 5-INT(LOG10(ABS(Data6!AV23*Data6!$A$12)))),0)</f>
        <v>1.3716300000000001E-2</v>
      </c>
      <c r="B24" s="195">
        <f>IFERROR(ROUND(Data6!AW23*Data6!$A$12, 5-INT(LOG10(ABS(Data6!AW23*Data6!$A$12)))), 0)</f>
        <v>1.8560299999999998E-2</v>
      </c>
    </row>
    <row r="25" spans="1:2" ht="15" x14ac:dyDescent="0.35">
      <c r="A25" s="195">
        <f>IFERROR(ROUND(Data6!AV24*Data6!$A$12, 5-INT(LOG10(ABS(Data6!AV24*Data6!$A$12)))),0)</f>
        <v>8.5831299999999996E-3</v>
      </c>
      <c r="B25" s="195">
        <f>IFERROR(ROUND(Data6!AW24*Data6!$A$12, 5-INT(LOG10(ABS(Data6!AW24*Data6!$A$12)))), 0)</f>
        <v>1.4633500000000001E-2</v>
      </c>
    </row>
    <row r="26" spans="1:2" ht="15" x14ac:dyDescent="0.35">
      <c r="A26" s="195">
        <f>IFERROR(ROUND(Data6!AV25*Data6!$A$12, 5-INT(LOG10(ABS(Data6!AV25*Data6!$A$12)))),0)</f>
        <v>5.9716500000000002E-3</v>
      </c>
      <c r="B26" s="195">
        <f>IFERROR(ROUND(Data6!AW25*Data6!$A$12, 5-INT(LOG10(ABS(Data6!AW25*Data6!$A$12)))), 0)</f>
        <v>1.20345E-2</v>
      </c>
    </row>
    <row r="27" spans="1:2" ht="15" x14ac:dyDescent="0.35">
      <c r="A27" s="195">
        <f>IFERROR(ROUND(Data6!AV26*Data6!$A$12, 5-INT(LOG10(ABS(Data6!AV26*Data6!$A$12)))),0)</f>
        <v>0</v>
      </c>
      <c r="B27" s="195">
        <f>IFERROR(ROUND(Data6!AW26*Data6!$A$12, 5-INT(LOG10(ABS(Data6!AW26*Data6!$A$12)))), 0)</f>
        <v>0</v>
      </c>
    </row>
    <row r="28" spans="1:2" ht="15" x14ac:dyDescent="0.35">
      <c r="A28" s="195">
        <f>IFERROR(ROUND(Data6!AV27*Data6!$A$12, 5-INT(LOG10(ABS(Data6!AV27*Data6!$A$12)))),0)</f>
        <v>4.0280999999999997E-3</v>
      </c>
      <c r="B28" s="195">
        <f>IFERROR(ROUND(Data6!AW27*Data6!$A$12, 5-INT(LOG10(ABS(Data6!AW27*Data6!$A$12)))), 0)</f>
        <v>-1.10355E-2</v>
      </c>
    </row>
    <row r="29" spans="1:2" ht="15" x14ac:dyDescent="0.35">
      <c r="A29" s="195">
        <f>IFERROR(ROUND(Data6!AV28*Data6!$A$12, 5-INT(LOG10(ABS(Data6!AV28*Data6!$A$12)))),0)</f>
        <v>6.4161799999999996E-3</v>
      </c>
      <c r="B29" s="195">
        <f>IFERROR(ROUND(Data6!AW28*Data6!$A$12, 5-INT(LOG10(ABS(Data6!AW28*Data6!$A$12)))), 0)</f>
        <v>-1.32365E-2</v>
      </c>
    </row>
    <row r="30" spans="1:2" ht="15" x14ac:dyDescent="0.35">
      <c r="A30" s="195">
        <f>IFERROR(ROUND(Data6!AV29*Data6!$A$12, 5-INT(LOG10(ABS(Data6!AV29*Data6!$A$12)))),0)</f>
        <v>1.12838E-2</v>
      </c>
      <c r="B30" s="195">
        <f>IFERROR(ROUND(Data6!AW29*Data6!$A$12, 5-INT(LOG10(ABS(Data6!AW29*Data6!$A$12)))), 0)</f>
        <v>-1.6419699999999999E-2</v>
      </c>
    </row>
    <row r="31" spans="1:2" ht="15" x14ac:dyDescent="0.35">
      <c r="A31" s="195">
        <f>IFERROR(ROUND(Data6!AV30*Data6!$A$12, 5-INT(LOG10(ABS(Data6!AV30*Data6!$A$12)))),0)</f>
        <v>2.3625899999999998E-2</v>
      </c>
      <c r="B31" s="195">
        <f>IFERROR(ROUND(Data6!AW30*Data6!$A$12, 5-INT(LOG10(ABS(Data6!AW30*Data6!$A$12)))), 0)</f>
        <v>-2.17053E-2</v>
      </c>
    </row>
    <row r="32" spans="1:2" ht="15" x14ac:dyDescent="0.35">
      <c r="A32" s="195">
        <f>IFERROR(ROUND(Data6!AV31*Data6!$A$12, 5-INT(LOG10(ABS(Data6!AV31*Data6!$A$12)))),0)</f>
        <v>4.8471199999999999E-2</v>
      </c>
      <c r="B32" s="195">
        <f>IFERROR(ROUND(Data6!AW31*Data6!$A$12, 5-INT(LOG10(ABS(Data6!AW31*Data6!$A$12)))), 0)</f>
        <v>-2.94647E-2</v>
      </c>
    </row>
    <row r="33" spans="1:2" ht="15" x14ac:dyDescent="0.35">
      <c r="A33" s="195">
        <f>IFERROR(ROUND(Data6!AV32*Data6!$A$12, 5-INT(LOG10(ABS(Data6!AV32*Data6!$A$12)))),0)</f>
        <v>7.3413599999999996E-2</v>
      </c>
      <c r="B33" s="195">
        <f>IFERROR(ROUND(Data6!AW32*Data6!$A$12, 5-INT(LOG10(ABS(Data6!AW32*Data6!$A$12)))), 0)</f>
        <v>-3.5434800000000002E-2</v>
      </c>
    </row>
    <row r="34" spans="1:2" ht="15" x14ac:dyDescent="0.35">
      <c r="A34" s="195">
        <f>IFERROR(ROUND(Data6!AV33*Data6!$A$12, 5-INT(LOG10(ABS(Data6!AV33*Data6!$A$12)))),0)</f>
        <v>9.8406199999999999E-2</v>
      </c>
      <c r="B34" s="195">
        <f>IFERROR(ROUND(Data6!AW33*Data6!$A$12, 5-INT(LOG10(ABS(Data6!AW33*Data6!$A$12)))), 0)</f>
        <v>-4.0401899999999998E-2</v>
      </c>
    </row>
    <row r="35" spans="1:2" ht="15" x14ac:dyDescent="0.35">
      <c r="A35" s="195">
        <f>IFERROR(ROUND(Data6!AV34*Data6!$A$12, 5-INT(LOG10(ABS(Data6!AV34*Data6!$A$12)))),0)</f>
        <v>0.148482</v>
      </c>
      <c r="B35" s="195">
        <f>IFERROR(ROUND(Data6!AW34*Data6!$A$12, 5-INT(LOG10(ABS(Data6!AW34*Data6!$A$12)))), 0)</f>
        <v>-4.8243800000000003E-2</v>
      </c>
    </row>
    <row r="36" spans="1:2" ht="15" x14ac:dyDescent="0.35">
      <c r="A36" s="195">
        <f>IFERROR(ROUND(Data6!AV35*Data6!$A$12, 5-INT(LOG10(ABS(Data6!AV35*Data6!$A$12)))),0)</f>
        <v>0.198629</v>
      </c>
      <c r="B36" s="195">
        <f>IFERROR(ROUND(Data6!AW35*Data6!$A$12, 5-INT(LOG10(ABS(Data6!AW35*Data6!$A$12)))), 0)</f>
        <v>-5.4172100000000001E-2</v>
      </c>
    </row>
    <row r="37" spans="1:2" ht="15" x14ac:dyDescent="0.35">
      <c r="A37" s="195">
        <f>IFERROR(ROUND(Data6!AV36*Data6!$A$12, 5-INT(LOG10(ABS(Data6!AV36*Data6!$A$12)))),0)</f>
        <v>0.24881900000000001</v>
      </c>
      <c r="B37" s="195">
        <f>IFERROR(ROUND(Data6!AW36*Data6!$A$12, 5-INT(LOG10(ABS(Data6!AW36*Data6!$A$12)))), 0)</f>
        <v>-5.8579899999999997E-2</v>
      </c>
    </row>
    <row r="38" spans="1:2" ht="15" x14ac:dyDescent="0.35">
      <c r="A38" s="195">
        <f>IFERROR(ROUND(Data6!AV37*Data6!$A$12, 5-INT(LOG10(ABS(Data6!AV37*Data6!$A$12)))),0)</f>
        <v>0.299037</v>
      </c>
      <c r="B38" s="195">
        <f>IFERROR(ROUND(Data6!AW37*Data6!$A$12, 5-INT(LOG10(ABS(Data6!AW37*Data6!$A$12)))), 0)</f>
        <v>-6.1681100000000003E-2</v>
      </c>
    </row>
    <row r="39" spans="1:2" ht="15" x14ac:dyDescent="0.35">
      <c r="A39" s="195">
        <f>IFERROR(ROUND(Data6!AV38*Data6!$A$12, 5-INT(LOG10(ABS(Data6!AV38*Data6!$A$12)))),0)</f>
        <v>0.34927200000000003</v>
      </c>
      <c r="B39" s="195">
        <f>IFERROR(ROUND(Data6!AW38*Data6!$A$12, 5-INT(LOG10(ABS(Data6!AW38*Data6!$A$12)))), 0)</f>
        <v>-6.3562199999999999E-2</v>
      </c>
    </row>
    <row r="40" spans="1:2" ht="15" x14ac:dyDescent="0.35">
      <c r="A40" s="195">
        <f>IFERROR(ROUND(Data6!AV39*Data6!$A$12, 5-INT(LOG10(ABS(Data6!AV39*Data6!$A$12)))),0)</f>
        <v>0.39951599999999998</v>
      </c>
      <c r="B40" s="195">
        <f>IFERROR(ROUND(Data6!AW39*Data6!$A$12, 5-INT(LOG10(ABS(Data6!AW39*Data6!$A$12)))), 0)</f>
        <v>-6.4230700000000002E-2</v>
      </c>
    </row>
    <row r="41" spans="1:2" ht="15" x14ac:dyDescent="0.35">
      <c r="A41" s="195">
        <f>IFERROR(ROUND(Data6!AV40*Data6!$A$12, 5-INT(LOG10(ABS(Data6!AV40*Data6!$A$12)))),0)</f>
        <v>0.449762</v>
      </c>
      <c r="B41" s="195">
        <f>IFERROR(ROUND(Data6!AW40*Data6!$A$12, 5-INT(LOG10(ABS(Data6!AW40*Data6!$A$12)))), 0)</f>
        <v>-6.3495999999999997E-2</v>
      </c>
    </row>
    <row r="42" spans="1:2" ht="15" x14ac:dyDescent="0.35">
      <c r="A42" s="195">
        <f>IFERROR(ROUND(Data6!AV41*Data6!$A$12, 5-INT(LOG10(ABS(Data6!AV41*Data6!$A$12)))),0)</f>
        <v>0.5</v>
      </c>
      <c r="B42" s="195">
        <f>IFERROR(ROUND(Data6!AW41*Data6!$A$12, 5-INT(LOG10(ABS(Data6!AW41*Data6!$A$12)))), 0)</f>
        <v>-6.1150900000000001E-2</v>
      </c>
    </row>
    <row r="43" spans="1:2" ht="15" x14ac:dyDescent="0.35">
      <c r="A43" s="195">
        <f>IFERROR(ROUND(Data6!AV42*Data6!$A$12, 5-INT(LOG10(ABS(Data6!AV42*Data6!$A$12)))),0)</f>
        <v>0.55021699999999996</v>
      </c>
      <c r="B43" s="195">
        <f>IFERROR(ROUND(Data6!AW42*Data6!$A$12, 5-INT(LOG10(ABS(Data6!AW42*Data6!$A$12)))), 0)</f>
        <v>-5.7001000000000003E-2</v>
      </c>
    </row>
    <row r="44" spans="1:2" ht="15" x14ac:dyDescent="0.35">
      <c r="A44" s="195">
        <f>IFERROR(ROUND(Data6!AV43*Data6!$A$12, 5-INT(LOG10(ABS(Data6!AV43*Data6!$A$12)))),0)</f>
        <v>0.60040099999999996</v>
      </c>
      <c r="B44" s="195">
        <f>IFERROR(ROUND(Data6!AW43*Data6!$A$12, 5-INT(LOG10(ABS(Data6!AW43*Data6!$A$12)))), 0)</f>
        <v>-5.1480699999999997E-2</v>
      </c>
    </row>
    <row r="45" spans="1:2" ht="15" x14ac:dyDescent="0.35">
      <c r="A45" s="195">
        <f>IFERROR(ROUND(Data6!AV44*Data6!$A$12, 5-INT(LOG10(ABS(Data6!AV44*Data6!$A$12)))),0)</f>
        <v>0.65054400000000001</v>
      </c>
      <c r="B45" s="195">
        <f>IFERROR(ROUND(Data6!AW44*Data6!$A$12, 5-INT(LOG10(ABS(Data6!AW44*Data6!$A$12)))), 0)</f>
        <v>-4.4932199999999999E-2</v>
      </c>
    </row>
    <row r="46" spans="1:2" ht="15" x14ac:dyDescent="0.35">
      <c r="A46" s="195">
        <f>IFERROR(ROUND(Data6!AV45*Data6!$A$12, 5-INT(LOG10(ABS(Data6!AV45*Data6!$A$12)))),0)</f>
        <v>0.70063799999999998</v>
      </c>
      <c r="B46" s="195">
        <f>IFERROR(ROUND(Data6!AW45*Data6!$A$12, 5-INT(LOG10(ABS(Data6!AW45*Data6!$A$12)))), 0)</f>
        <v>-3.7621099999999998E-2</v>
      </c>
    </row>
    <row r="47" spans="1:2" ht="15" x14ac:dyDescent="0.35">
      <c r="A47" s="195">
        <f>IFERROR(ROUND(Data6!AV46*Data6!$A$12, 5-INT(LOG10(ABS(Data6!AV46*Data6!$A$12)))),0)</f>
        <v>0.75067799999999996</v>
      </c>
      <c r="B47" s="195">
        <f>IFERROR(ROUND(Data6!AW46*Data6!$A$12, 5-INT(LOG10(ABS(Data6!AW46*Data6!$A$12)))), 0)</f>
        <v>-2.98099E-2</v>
      </c>
    </row>
    <row r="48" spans="1:2" ht="15" x14ac:dyDescent="0.35">
      <c r="A48" s="195">
        <f>IFERROR(ROUND(Data6!AV47*Data6!$A$12, 5-INT(LOG10(ABS(Data6!AV47*Data6!$A$12)))),0)</f>
        <v>0.80065799999999998</v>
      </c>
      <c r="B48" s="195">
        <f>IFERROR(ROUND(Data6!AW47*Data6!$A$12, 5-INT(LOG10(ABS(Data6!AW47*Data6!$A$12)))), 0)</f>
        <v>-2.1847100000000001E-2</v>
      </c>
    </row>
    <row r="49" spans="1:2" ht="15" x14ac:dyDescent="0.35">
      <c r="A49" s="195">
        <f>IFERROR(ROUND(Data6!AV48*Data6!$A$12, 5-INT(LOG10(ABS(Data6!AV48*Data6!$A$12)))),0)</f>
        <v>0.85057300000000002</v>
      </c>
      <c r="B49" s="195">
        <f>IFERROR(ROUND(Data6!AW48*Data6!$A$12, 5-INT(LOG10(ABS(Data6!AW48*Data6!$A$12)))), 0)</f>
        <v>-1.4028799999999999E-2</v>
      </c>
    </row>
    <row r="50" spans="1:2" ht="15" x14ac:dyDescent="0.35">
      <c r="A50" s="195">
        <f>IFERROR(ROUND(Data6!AV49*Data6!$A$12, 5-INT(LOG10(ABS(Data6!AV49*Data6!$A$12)))),0)</f>
        <v>0.90042500000000003</v>
      </c>
      <c r="B50" s="195">
        <f>IFERROR(ROUND(Data6!AW49*Data6!$A$12, 5-INT(LOG10(ABS(Data6!AW49*Data6!$A$12)))), 0)</f>
        <v>-6.9819299999999999E-3</v>
      </c>
    </row>
    <row r="51" spans="1:2" ht="15" x14ac:dyDescent="0.35">
      <c r="A51" s="195">
        <f>IFERROR(ROUND(Data6!AV50*Data6!$A$12, 5-INT(LOG10(ABS(Data6!AV50*Data6!$A$12)))),0)</f>
        <v>0.95021500000000003</v>
      </c>
      <c r="B51" s="195">
        <f>IFERROR(ROUND(Data6!AW50*Data6!$A$12, 5-INT(LOG10(ABS(Data6!AW50*Data6!$A$12)))), 0)</f>
        <v>-1.4297299999999999E-3</v>
      </c>
    </row>
    <row r="52" spans="1:2" ht="15" x14ac:dyDescent="0.35">
      <c r="A52" s="195">
        <f>IFERROR(ROUND(Data6!AV51*Data6!$A$12, 5-INT(LOG10(ABS(Data6!AV51*Data6!$A$12)))),0)</f>
        <v>1</v>
      </c>
      <c r="B52" s="195">
        <f>IFERROR(ROUND(Data6!AW51*Data6!$A$12, 5-INT(LOG10(ABS(Data6!AW51*Data6!$A$12)))), 0)</f>
        <v>0</v>
      </c>
    </row>
  </sheetData>
  <sheetProtection algorithmName="SHA-512" hashValue="kzFzwUXer6PITylp5osWoEhqwLokfkIziF+x7X7ZEoyen4hN+Samdgtq3FxZ8jFvMtxwBm19mD3j1pFji6kUVw==" saltValue="NPXmXboAj/DTSLxgSqvGTg==" spinCount="100000" sheet="1" objects="1" scenarios="1"/>
  <mergeCells count="1">
    <mergeCell ref="A1:B1"/>
  </mergeCells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CB705C0-46D3-4900-A5F1-723D03CE83E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</vt:i4>
      </vt:variant>
    </vt:vector>
  </HeadingPairs>
  <TitlesOfParts>
    <vt:vector size="20" baseType="lpstr">
      <vt:lpstr>Start_page</vt:lpstr>
      <vt:lpstr>Data1</vt:lpstr>
      <vt:lpstr>naca_4-digit_plot</vt:lpstr>
      <vt:lpstr>naca_4-digit_data</vt:lpstr>
      <vt:lpstr>Data2</vt:lpstr>
      <vt:lpstr>naca_5-digit_plot</vt:lpstr>
      <vt:lpstr>naca_5-digit_data</vt:lpstr>
      <vt:lpstr>Data3</vt:lpstr>
      <vt:lpstr>naca_4-digit_mod_plot</vt:lpstr>
      <vt:lpstr>naca_4-digit_mod_data</vt:lpstr>
      <vt:lpstr>Data4</vt:lpstr>
      <vt:lpstr>naca_5_mod_plot</vt:lpstr>
      <vt:lpstr>naca_5-digit_mod_data</vt:lpstr>
      <vt:lpstr>Data5</vt:lpstr>
      <vt:lpstr>naca_16-series_plot</vt:lpstr>
      <vt:lpstr>naca_16-series_data</vt:lpstr>
      <vt:lpstr>Data6</vt:lpstr>
      <vt:lpstr>naca_6-series_plot</vt:lpstr>
      <vt:lpstr>naca_6-series_data</vt:lpstr>
      <vt:lpstr>Start_page!Print_Area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Trung Nghĩa Trần</dc:creator>
  <cp:lastModifiedBy>Trung Nghĩa Trần</cp:lastModifiedBy>
  <cp:lastPrinted>2026-05-07T03:31:50Z</cp:lastPrinted>
  <dcterms:created xsi:type="dcterms:W3CDTF">2025-12-11T09:48:11Z</dcterms:created>
  <dcterms:modified xsi:type="dcterms:W3CDTF">2026-05-10T12:10:53Z</dcterms:modified>
</cp:coreProperties>
</file>