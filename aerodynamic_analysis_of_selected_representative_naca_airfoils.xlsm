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classical_naca_airfoil_geometry\final_result\"/>
    </mc:Choice>
  </mc:AlternateContent>
  <xr:revisionPtr revIDLastSave="0" documentId="13_ncr:1_{28584EA3-DB3B-4850-9AEB-15B181D0DDF5}" xr6:coauthVersionLast="47" xr6:coauthVersionMax="47" xr10:uidLastSave="{00000000-0000-0000-0000-000000000000}"/>
  <workbookProtection workbookAlgorithmName="SHA-512" workbookHashValue="0hDnQChb1nVYnHvMrb2ackJnccU3EE4d8QmbTTrK4iLaTQdDriumOU2HU4cesc/Hdtrsma4WE9a6h2mj4m7o8w==" workbookSaltValue="aw0ZU9vFaJmVtFnkqrhxsQ==" workbookSpinCount="100000" lockStructure="1"/>
  <bookViews>
    <workbookView showVerticalScroll="0" showSheetTabs="0" xWindow="-108" yWindow="-108" windowWidth="23256" windowHeight="12456" xr2:uid="{00000000-000D-0000-FFFF-FFFF00000000}"/>
  </bookViews>
  <sheets>
    <sheet name="Start_page" sheetId="4" r:id="rId1"/>
    <sheet name="cl_data" sheetId="1" state="hidden" r:id="rId2"/>
    <sheet name="cl_plot" sheetId="3" r:id="rId3"/>
    <sheet name="cm_data" sheetId="2" state="hidden" r:id="rId4"/>
    <sheet name="cm_plot" sheetId="5" r:id="rId5"/>
    <sheet name="dragpolar_data" sheetId="10" state="hidden" r:id="rId6"/>
    <sheet name="dragpolar_plot" sheetId="6" r:id="rId7"/>
    <sheet name="liftdragratio_data" sheetId="11" state="hidden" r:id="rId8"/>
    <sheet name="liftdragratio_plot" sheetId="7" r:id="rId9"/>
    <sheet name="cp_data" sheetId="12" state="hidden" r:id="rId10"/>
    <sheet name="cp_plot" sheetId="8" r:id="rId11"/>
  </sheets>
  <definedNames>
    <definedName name="_xlnm.Print_Area" localSheetId="0">Start_page!$A$1:$V$34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3" i="12" l="1"/>
  <c r="AH4" i="12"/>
  <c r="AH5" i="12"/>
  <c r="AH6" i="12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20" i="12"/>
  <c r="AH21" i="12"/>
  <c r="AH22" i="12"/>
  <c r="AH23" i="12"/>
  <c r="AH24" i="12"/>
  <c r="AH25" i="12"/>
  <c r="AH26" i="12"/>
  <c r="AH27" i="12"/>
  <c r="AH28" i="12"/>
  <c r="AH29" i="12"/>
  <c r="AH30" i="12"/>
  <c r="AH31" i="12"/>
  <c r="AH32" i="12"/>
  <c r="AH33" i="12"/>
  <c r="AH34" i="12"/>
  <c r="AH35" i="12"/>
  <c r="AH36" i="12"/>
  <c r="AH37" i="12"/>
  <c r="AH38" i="12"/>
  <c r="AH39" i="12"/>
  <c r="AH40" i="12"/>
  <c r="AH41" i="12"/>
  <c r="AH42" i="12"/>
  <c r="AH43" i="12"/>
  <c r="AH44" i="12"/>
  <c r="AH45" i="12"/>
  <c r="AH46" i="12"/>
  <c r="AH47" i="12"/>
  <c r="AH48" i="12"/>
  <c r="AH49" i="12"/>
  <c r="AH50" i="12"/>
  <c r="AH51" i="12"/>
  <c r="AH52" i="12"/>
  <c r="AH53" i="12"/>
  <c r="AH54" i="12"/>
  <c r="AH55" i="12"/>
  <c r="AH56" i="12"/>
  <c r="AH57" i="12"/>
  <c r="AH58" i="12"/>
  <c r="AH59" i="12"/>
  <c r="AH60" i="12"/>
  <c r="AH61" i="12"/>
  <c r="AH62" i="12"/>
  <c r="AH63" i="12"/>
  <c r="AH64" i="12"/>
  <c r="AH65" i="12"/>
  <c r="AH66" i="12"/>
  <c r="AH67" i="12"/>
  <c r="AH68" i="12"/>
  <c r="AH69" i="12"/>
  <c r="AH70" i="12"/>
  <c r="AH71" i="12"/>
  <c r="AH72" i="12"/>
  <c r="AH73" i="12"/>
  <c r="AH74" i="12"/>
  <c r="AH75" i="12"/>
  <c r="AH76" i="12"/>
  <c r="AH77" i="12"/>
  <c r="AH78" i="12"/>
  <c r="AH79" i="12"/>
  <c r="AH80" i="12"/>
  <c r="AH81" i="12"/>
  <c r="AH82" i="12"/>
  <c r="AH83" i="12"/>
  <c r="AH84" i="12"/>
  <c r="AH85" i="12"/>
  <c r="AH86" i="12"/>
  <c r="AH87" i="12"/>
  <c r="AH88" i="12"/>
  <c r="AH89" i="12"/>
  <c r="AH90" i="12"/>
  <c r="AH91" i="12"/>
  <c r="AH92" i="12"/>
  <c r="AH93" i="12"/>
  <c r="AH94" i="12"/>
  <c r="AH95" i="12"/>
  <c r="AH96" i="12"/>
  <c r="AH97" i="12"/>
  <c r="AH98" i="12"/>
  <c r="AH99" i="12"/>
  <c r="AH100" i="12"/>
  <c r="AH101" i="12"/>
  <c r="AH102" i="12"/>
  <c r="AD3" i="12"/>
  <c r="AD4" i="12"/>
  <c r="AD5" i="12"/>
  <c r="AD6" i="12"/>
  <c r="AD7" i="12"/>
  <c r="AD8" i="12"/>
  <c r="AD9" i="12"/>
  <c r="AD10" i="12"/>
  <c r="AD11" i="12"/>
  <c r="AD12" i="12"/>
  <c r="AD13" i="12"/>
  <c r="AD14" i="12"/>
  <c r="AD15" i="12"/>
  <c r="AD16" i="12"/>
  <c r="AD17" i="12"/>
  <c r="AD18" i="12"/>
  <c r="AD19" i="12"/>
  <c r="AD20" i="12"/>
  <c r="AD21" i="12"/>
  <c r="AD22" i="12"/>
  <c r="AD23" i="12"/>
  <c r="AD24" i="12"/>
  <c r="AD25" i="12"/>
  <c r="AD26" i="12"/>
  <c r="AD27" i="12"/>
  <c r="AD28" i="12"/>
  <c r="AD29" i="12"/>
  <c r="AD30" i="12"/>
  <c r="AD31" i="12"/>
  <c r="AD32" i="12"/>
  <c r="AD33" i="12"/>
  <c r="AD34" i="12"/>
  <c r="AD35" i="12"/>
  <c r="AD36" i="12"/>
  <c r="AD37" i="12"/>
  <c r="AD38" i="12"/>
  <c r="AD39" i="12"/>
  <c r="AD40" i="12"/>
  <c r="AD41" i="12"/>
  <c r="AD42" i="12"/>
  <c r="AD43" i="12"/>
  <c r="AD44" i="12"/>
  <c r="AD45" i="12"/>
  <c r="AD46" i="12"/>
  <c r="AD47" i="12"/>
  <c r="AD48" i="12"/>
  <c r="AD49" i="12"/>
  <c r="AD50" i="12"/>
  <c r="AD51" i="12"/>
  <c r="AD52" i="12"/>
  <c r="AD53" i="12"/>
  <c r="AD54" i="12"/>
  <c r="AD55" i="12"/>
  <c r="AD56" i="12"/>
  <c r="AD57" i="12"/>
  <c r="AD58" i="12"/>
  <c r="AD59" i="12"/>
  <c r="AD60" i="12"/>
  <c r="AD61" i="12"/>
  <c r="AD62" i="12"/>
  <c r="AD63" i="12"/>
  <c r="AD64" i="12"/>
  <c r="AD65" i="12"/>
  <c r="AD66" i="12"/>
  <c r="AD67" i="12"/>
  <c r="AD68" i="12"/>
  <c r="AD69" i="12"/>
  <c r="AD70" i="12"/>
  <c r="AD71" i="12"/>
  <c r="AD72" i="12"/>
  <c r="AD73" i="12"/>
  <c r="AD74" i="12"/>
  <c r="AD75" i="12"/>
  <c r="AD76" i="12"/>
  <c r="AD77" i="12"/>
  <c r="AD78" i="12"/>
  <c r="AD79" i="12"/>
  <c r="AD80" i="12"/>
  <c r="AD81" i="12"/>
  <c r="AD82" i="12"/>
  <c r="AD83" i="12"/>
  <c r="AD84" i="12"/>
  <c r="AD85" i="12"/>
  <c r="AD86" i="12"/>
  <c r="AD87" i="12"/>
  <c r="AD88" i="12"/>
  <c r="AD89" i="12"/>
  <c r="AD90" i="12"/>
  <c r="AD91" i="12"/>
  <c r="AD92" i="12"/>
  <c r="AD93" i="12"/>
  <c r="AD94" i="12"/>
  <c r="AD95" i="12"/>
  <c r="AD96" i="12"/>
  <c r="AD97" i="12"/>
  <c r="AD98" i="12"/>
  <c r="AD99" i="12"/>
  <c r="AD100" i="12"/>
  <c r="AD101" i="12"/>
  <c r="AD102" i="12"/>
  <c r="AH2" i="12"/>
  <c r="AD2" i="12"/>
  <c r="Y3" i="12"/>
  <c r="Y4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1" i="12"/>
  <c r="Y112" i="12"/>
  <c r="Y113" i="12"/>
  <c r="Y114" i="12"/>
  <c r="Y115" i="12"/>
  <c r="Y116" i="12"/>
  <c r="Y117" i="12"/>
  <c r="Y118" i="12"/>
  <c r="Y119" i="12"/>
  <c r="Y120" i="12"/>
  <c r="Y121" i="12"/>
  <c r="Y122" i="12"/>
  <c r="Y123" i="12"/>
  <c r="Y124" i="12"/>
  <c r="Y125" i="12"/>
  <c r="Y126" i="12"/>
  <c r="Y127" i="12"/>
  <c r="Y128" i="12"/>
  <c r="Y129" i="12"/>
  <c r="Y130" i="12"/>
  <c r="Y131" i="12"/>
  <c r="Y132" i="12"/>
  <c r="Y133" i="12"/>
  <c r="Y134" i="12"/>
  <c r="Y135" i="12"/>
  <c r="Y136" i="12"/>
  <c r="Y137" i="12"/>
  <c r="Y138" i="12"/>
  <c r="Y139" i="12"/>
  <c r="Y140" i="12"/>
  <c r="Y141" i="12"/>
  <c r="Y142" i="12"/>
  <c r="Y143" i="12"/>
  <c r="Y144" i="12"/>
  <c r="Y145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5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99" i="12"/>
  <c r="Y200" i="12"/>
  <c r="Y2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" i="12"/>
  <c r="P3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L3" i="12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P2" i="12"/>
  <c r="L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2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73" i="11"/>
  <c r="G74" i="11"/>
  <c r="G75" i="11"/>
  <c r="G76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2" i="11"/>
  <c r="K2" i="11"/>
  <c r="G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68" i="11"/>
  <c r="C69" i="11"/>
  <c r="C70" i="11"/>
  <c r="C71" i="11"/>
  <c r="C72" i="11"/>
  <c r="C73" i="11"/>
  <c r="C74" i="11"/>
  <c r="C75" i="11"/>
  <c r="C76" i="11"/>
  <c r="C2" i="11"/>
  <c r="O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2" i="10"/>
  <c r="O62" i="10"/>
  <c r="C58" i="10"/>
  <c r="C59" i="10"/>
  <c r="C60" i="10"/>
  <c r="C61" i="10"/>
  <c r="C62" i="10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2" i="2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2" i="1"/>
</calcChain>
</file>

<file path=xl/sharedStrings.xml><?xml version="1.0" encoding="utf-8"?>
<sst xmlns="http://schemas.openxmlformats.org/spreadsheetml/2006/main" count="1429" uniqueCount="18">
  <si>
    <t>Î±</t>
  </si>
  <si>
    <t>T1_Re3.000_M0.00_N9.0</t>
  </si>
  <si>
    <t xml:space="preserve"> </t>
  </si>
  <si>
    <t xml:space="preserve"> Î±</t>
  </si>
  <si>
    <t>Cd</t>
  </si>
  <si>
    <t xml:space="preserve"> Cd</t>
  </si>
  <si>
    <t>Alpha</t>
  </si>
  <si>
    <t xml:space="preserve"> Alpha</t>
  </si>
  <si>
    <t>X</t>
  </si>
  <si>
    <t>NACA 0012-Re=   3e+06-Alpha= 3.61-NCrit=  9.0-XTrTop=0.175-XtrBot=0.842</t>
  </si>
  <si>
    <t xml:space="preserve"> X</t>
  </si>
  <si>
    <t>NACA 0012-Re= 3000000-Alpha= 3.61_Inviscid</t>
  </si>
  <si>
    <t>NACA 2412-Re=   3e+06-Alpha= 1.41-NCrit=  9.0-XTrTop=0.451-XtrBot=0.648</t>
  </si>
  <si>
    <t>NACA 2412-Re= 3000000-Alpha= 1.41_Inviscid</t>
  </si>
  <si>
    <t>NACA 23012-Re=   3e+06-Alpha= 2.47-NCrit=  9.0-XTrTop=0.217-XtrBot=0.873</t>
  </si>
  <si>
    <t>NACA 23012-Re= 3000000-Alpha= 2.47_Inviscid</t>
  </si>
  <si>
    <t>NACA 63-215-Re=   3e+06-Alpha= 1.82-NCrit=  9.0-XTrTop=0.494-XtrBot=0.585</t>
  </si>
  <si>
    <t>NACA 63-215-Re= 3000000-Alpha= 1.82_Inviscid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</si>
</sst>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0.0000"/>
  </numFmts>
  <fonts count="22" x14ac:knownFonts="1">
    <font>
      <sz val="11"/>
      <color theme="1"/>
      <name val="Aptos Narrow"/>
      <family val="2"/>
      <charset val="163"/>
      <scheme val="minor"/>
    </font>
    <font>
      <sz val="11"/>
      <color theme="1"/>
      <name val="Aptos Narrow"/>
      <family val="2"/>
      <charset val="163"/>
      <scheme val="minor"/>
    </font>
    <font>
      <sz val="18"/>
      <color theme="3"/>
      <name val="Aptos Display"/>
      <family val="2"/>
      <charset val="163"/>
      <scheme val="major"/>
    </font>
    <font>
      <b/>
      <sz val="15"/>
      <color theme="3"/>
      <name val="Aptos Narrow"/>
      <family val="2"/>
      <charset val="163"/>
      <scheme val="minor"/>
    </font>
    <font>
      <b/>
      <sz val="13"/>
      <color theme="3"/>
      <name val="Aptos Narrow"/>
      <family val="2"/>
      <charset val="163"/>
      <scheme val="minor"/>
    </font>
    <font>
      <b/>
      <sz val="11"/>
      <color theme="3"/>
      <name val="Aptos Narrow"/>
      <family val="2"/>
      <charset val="163"/>
      <scheme val="minor"/>
    </font>
    <font>
      <sz val="11"/>
      <color rgb="FF006100"/>
      <name val="Aptos Narrow"/>
      <family val="2"/>
      <charset val="163"/>
      <scheme val="minor"/>
    </font>
    <font>
      <sz val="11"/>
      <color rgb="FF9C0006"/>
      <name val="Aptos Narrow"/>
      <family val="2"/>
      <charset val="163"/>
      <scheme val="minor"/>
    </font>
    <font>
      <sz val="11"/>
      <color rgb="FF9C5700"/>
      <name val="Aptos Narrow"/>
      <family val="2"/>
      <charset val="163"/>
      <scheme val="minor"/>
    </font>
    <font>
      <sz val="11"/>
      <color rgb="FF3F3F76"/>
      <name val="Aptos Narrow"/>
      <family val="2"/>
      <charset val="163"/>
      <scheme val="minor"/>
    </font>
    <font>
      <b/>
      <sz val="11"/>
      <color rgb="FF3F3F3F"/>
      <name val="Aptos Narrow"/>
      <family val="2"/>
      <charset val="163"/>
      <scheme val="minor"/>
    </font>
    <font>
      <b/>
      <sz val="11"/>
      <color rgb="FFFA7D00"/>
      <name val="Aptos Narrow"/>
      <family val="2"/>
      <charset val="163"/>
      <scheme val="minor"/>
    </font>
    <font>
      <sz val="11"/>
      <color rgb="FFFA7D00"/>
      <name val="Aptos Narrow"/>
      <family val="2"/>
      <charset val="163"/>
      <scheme val="minor"/>
    </font>
    <font>
      <b/>
      <sz val="11"/>
      <color theme="0"/>
      <name val="Aptos Narrow"/>
      <family val="2"/>
      <charset val="163"/>
      <scheme val="minor"/>
    </font>
    <font>
      <sz val="11"/>
      <color rgb="FFFF0000"/>
      <name val="Aptos Narrow"/>
      <family val="2"/>
      <charset val="163"/>
      <scheme val="minor"/>
    </font>
    <font>
      <i/>
      <sz val="11"/>
      <color rgb="FF7F7F7F"/>
      <name val="Aptos Narrow"/>
      <family val="2"/>
      <charset val="163"/>
      <scheme val="minor"/>
    </font>
    <font>
      <b/>
      <sz val="11"/>
      <color theme="1"/>
      <name val="Aptos Narrow"/>
      <family val="2"/>
      <charset val="163"/>
      <scheme val="minor"/>
    </font>
    <font>
      <sz val="11"/>
      <color theme="0"/>
      <name val="Aptos Narrow"/>
      <family val="2"/>
      <charset val="163"/>
      <scheme val="minor"/>
    </font>
    <font>
      <sz val="11"/>
      <color theme="1" tint="4.9989318521683403E-2"/>
      <name val="Aptos Narrow"/>
      <family val="2"/>
      <charset val="163"/>
      <scheme val="minor"/>
    </font>
    <font>
      <sz val="14"/>
      <color theme="1"/>
      <name val="Aptos Narrow"/>
      <family val="2"/>
      <charset val="163"/>
      <scheme val="minor"/>
    </font>
    <font>
      <vertAlign val="superscript"/>
      <sz val="11"/>
      <color theme="1"/>
      <name val="Aptos Narrow"/>
      <family val="2"/>
      <charset val="163"/>
      <scheme val="minor"/>
    </font>
    <font>
      <sz val="8"/>
      <color rgb="FF000000"/>
      <name val="Segoe U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D1B29"/>
        <bgColor indexed="64"/>
      </patternFill>
    </fill>
    <fill>
      <patternFill patternType="solid">
        <fgColor rgb="FFB4CDE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18" fillId="33" borderId="0" xfId="0" applyFont="1" applyFill="1"/>
    <xf numFmtId="0" fontId="18" fillId="34" borderId="0" xfId="0" applyFont="1" applyFill="1"/>
    <xf numFmtId="0" fontId="0" fillId="34" borderId="0" xfId="0" applyFill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0" fillId="0" borderId="0" xfId="0" applyFont="1"/>
    <xf numFmtId="0" fontId="0" fillId="0" borderId="0" xfId="0" applyProtection="1">
      <protection locked="0" hidden="1"/>
    </xf>
    <xf numFmtId="0" fontId="0" fillId="0" borderId="0" xfId="0" applyProtection="1">
      <protection hidden="1"/>
    </xf>
    <xf numFmtId="11" fontId="0" fillId="0" borderId="0" xfId="0" applyNumberFormat="1" applyProtection="1">
      <protection hidden="1"/>
    </xf>
    <xf numFmtId="0" fontId="19" fillId="0" borderId="0" xfId="0" applyFont="1" applyProtection="1">
      <protection hidden="1"/>
    </xf>
    <xf numFmtId="0" fontId="0" fillId="0" borderId="0" xfId="0" applyAlignment="1" applyProtection="1">
      <alignment horizontal="left" vertical="top"/>
      <protection hidden="1"/>
    </xf>
    <xf numFmtId="0" fontId="0" fillId="0" borderId="0" xfId="0" applyAlignment="1" applyProtection="1">
      <alignment horizontal="left" vertical="top" wrapText="1"/>
      <protection hidden="1"/>
    </xf>
    <xf numFmtId="0" fontId="0" fillId="0" borderId="0" xfId="0" applyAlignment="1" applyProtection="1">
      <alignment wrapText="1"/>
      <protection hidden="1"/>
    </xf>
    <xf numFmtId="165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C459"/>
      <color rgb="FFFF4F4F"/>
      <color rgb="FF00DE64"/>
      <color rgb="FF09FF78"/>
      <color rgb="FF6565FF"/>
      <color rgb="FFFFB265"/>
      <color rgb="FFFFA74F"/>
      <color rgb="FF0D1B29"/>
      <color rgb="FF3333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1200" b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Lift</a:t>
            </a:r>
            <a:r>
              <a:rPr lang="en-GB" sz="1200" b="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 coefficient curve 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900" b="0" baseline="0">
                <a:solidFill>
                  <a:schemeClr val="tx1"/>
                </a:solidFill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Re = 3 </a:t>
            </a:r>
            <a:r>
              <a:rPr lang="en-GB" sz="600" b="1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✕</a:t>
            </a:r>
            <a:r>
              <a:rPr lang="en-GB" sz="900" b="1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 </a:t>
            </a:r>
            <a:r>
              <a:rPr lang="en-GB" sz="900" b="0" baseline="0">
                <a:solidFill>
                  <a:schemeClr val="tx1"/>
                </a:solidFill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 </a:t>
            </a:r>
            <a:endParaRPr lang="en-GB" sz="900" b="0">
              <a:solidFill>
                <a:schemeClr val="tx1"/>
              </a:solidFill>
              <a:latin typeface="Cambria Math" panose="02040503050406030204" pitchFamily="18" charset="0"/>
              <a:ea typeface="Cambria Math" panose="020405030504060302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3640400444664791"/>
          <c:y val="2.25773195876288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504709936287297"/>
          <c:y val="0.15372189301079633"/>
          <c:w val="0.5964784026556712"/>
          <c:h val="0.70844102605730974"/>
        </c:manualLayout>
      </c:layout>
      <c:scatterChart>
        <c:scatterStyle val="smoothMarker"/>
        <c:varyColors val="0"/>
        <c:ser>
          <c:idx val="0"/>
          <c:order val="0"/>
          <c:tx>
            <c:v>NACA 0012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cl_data!$A$2:$A$57</c:f>
              <c:numCache>
                <c:formatCode>General</c:formatCode>
                <c:ptCount val="56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23.5</c:v>
                </c:pt>
              </c:numCache>
            </c:numRef>
          </c:xVal>
          <c:yVal>
            <c:numRef>
              <c:f>cl_data!$C$2:$C$57</c:f>
              <c:numCache>
                <c:formatCode>General</c:formatCode>
                <c:ptCount val="56"/>
                <c:pt idx="0">
                  <c:v>-0.54974520000000004</c:v>
                </c:pt>
                <c:pt idx="1">
                  <c:v>-0.49655060000000001</c:v>
                </c:pt>
                <c:pt idx="2">
                  <c:v>-0.44203900000000002</c:v>
                </c:pt>
                <c:pt idx="3">
                  <c:v>-0.38794210000000001</c:v>
                </c:pt>
                <c:pt idx="4">
                  <c:v>-0.33323700000000001</c:v>
                </c:pt>
                <c:pt idx="5">
                  <c:v>-0.27825909999999998</c:v>
                </c:pt>
                <c:pt idx="6">
                  <c:v>-0.22289639999999999</c:v>
                </c:pt>
                <c:pt idx="7">
                  <c:v>-0.16756960000000001</c:v>
                </c:pt>
                <c:pt idx="8">
                  <c:v>-0.1118429</c:v>
                </c:pt>
                <c:pt idx="9">
                  <c:v>-5.596595E-2</c:v>
                </c:pt>
                <c:pt idx="10">
                  <c:v>-1.56569E-10</c:v>
                </c:pt>
                <c:pt idx="11">
                  <c:v>5.5966340000000003E-2</c:v>
                </c:pt>
                <c:pt idx="12">
                  <c:v>0.1118445</c:v>
                </c:pt>
                <c:pt idx="13">
                  <c:v>0.16757320000000001</c:v>
                </c:pt>
                <c:pt idx="14">
                  <c:v>0.22290289999999999</c:v>
                </c:pt>
                <c:pt idx="15">
                  <c:v>0.2782694</c:v>
                </c:pt>
                <c:pt idx="16">
                  <c:v>0.33325199999999999</c:v>
                </c:pt>
                <c:pt idx="17">
                  <c:v>0.387963</c:v>
                </c:pt>
                <c:pt idx="18">
                  <c:v>0.44206659999999998</c:v>
                </c:pt>
                <c:pt idx="19">
                  <c:v>0.49658560000000002</c:v>
                </c:pt>
                <c:pt idx="20">
                  <c:v>0.54978930000000004</c:v>
                </c:pt>
                <c:pt idx="21">
                  <c:v>0.60300169999999997</c:v>
                </c:pt>
                <c:pt idx="22">
                  <c:v>0.65608860000000002</c:v>
                </c:pt>
                <c:pt idx="23">
                  <c:v>0.7098892</c:v>
                </c:pt>
                <c:pt idx="24">
                  <c:v>0.76951130000000001</c:v>
                </c:pt>
                <c:pt idx="25">
                  <c:v>0.83040460000000005</c:v>
                </c:pt>
                <c:pt idx="26">
                  <c:v>0.89541009999999999</c:v>
                </c:pt>
                <c:pt idx="27">
                  <c:v>0.95922600000000002</c:v>
                </c:pt>
                <c:pt idx="28">
                  <c:v>1.0212220000000001</c:v>
                </c:pt>
                <c:pt idx="29">
                  <c:v>1.075062</c:v>
                </c:pt>
                <c:pt idx="30">
                  <c:v>1.1187780000000001</c:v>
                </c:pt>
                <c:pt idx="31">
                  <c:v>1.1626030000000001</c:v>
                </c:pt>
                <c:pt idx="32">
                  <c:v>1.2069510000000001</c:v>
                </c:pt>
                <c:pt idx="33">
                  <c:v>1.252173</c:v>
                </c:pt>
                <c:pt idx="34">
                  <c:v>1.3003279999999999</c:v>
                </c:pt>
                <c:pt idx="35">
                  <c:v>1.348088</c:v>
                </c:pt>
                <c:pt idx="36">
                  <c:v>1.3948640000000001</c:v>
                </c:pt>
                <c:pt idx="37">
                  <c:v>1.4395500000000001</c:v>
                </c:pt>
                <c:pt idx="38">
                  <c:v>1.480086</c:v>
                </c:pt>
                <c:pt idx="39">
                  <c:v>1.5154190000000001</c:v>
                </c:pt>
                <c:pt idx="40">
                  <c:v>1.5447409999999999</c:v>
                </c:pt>
                <c:pt idx="41">
                  <c:v>1.563712</c:v>
                </c:pt>
                <c:pt idx="42">
                  <c:v>1.5777810000000001</c:v>
                </c:pt>
                <c:pt idx="43">
                  <c:v>1.585545</c:v>
                </c:pt>
                <c:pt idx="44">
                  <c:v>1.5852459999999999</c:v>
                </c:pt>
                <c:pt idx="45">
                  <c:v>1.5757589999999999</c:v>
                </c:pt>
                <c:pt idx="46">
                  <c:v>1.5534669999999999</c:v>
                </c:pt>
                <c:pt idx="47">
                  <c:v>1.518119</c:v>
                </c:pt>
                <c:pt idx="48">
                  <c:v>1.467603</c:v>
                </c:pt>
                <c:pt idx="49">
                  <c:v>1.4068320000000001</c:v>
                </c:pt>
                <c:pt idx="50">
                  <c:v>1.338066</c:v>
                </c:pt>
                <c:pt idx="51">
                  <c:v>1.2652680000000001</c:v>
                </c:pt>
                <c:pt idx="52">
                  <c:v>1.1986810000000001</c:v>
                </c:pt>
                <c:pt idx="53">
                  <c:v>1.1388039999999999</c:v>
                </c:pt>
                <c:pt idx="54">
                  <c:v>1.0899589999999999</c:v>
                </c:pt>
                <c:pt idx="55">
                  <c:v>0.95355749999999995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34-4F87-A70E-72346E0495C2}"/>
            </c:ext>
          </c:extLst>
        </c:ser>
        <c:ser>
          <c:idx val="2"/>
          <c:order val="1"/>
          <c:tx>
            <c:v>NACA 2412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cl_data!$E$2:$E$57</c:f>
              <c:numCache>
                <c:formatCode>General</c:formatCode>
                <c:ptCount val="56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5</c:v>
                </c:pt>
                <c:pt idx="20">
                  <c:v>5.5</c:v>
                </c:pt>
                <c:pt idx="21">
                  <c:v>6</c:v>
                </c:pt>
                <c:pt idx="22">
                  <c:v>6.5</c:v>
                </c:pt>
                <c:pt idx="23">
                  <c:v>7</c:v>
                </c:pt>
                <c:pt idx="24">
                  <c:v>7.5</c:v>
                </c:pt>
                <c:pt idx="25">
                  <c:v>8</c:v>
                </c:pt>
                <c:pt idx="26">
                  <c:v>8.5</c:v>
                </c:pt>
                <c:pt idx="27">
                  <c:v>9</c:v>
                </c:pt>
                <c:pt idx="28">
                  <c:v>9.5</c:v>
                </c:pt>
                <c:pt idx="29">
                  <c:v>10</c:v>
                </c:pt>
                <c:pt idx="30">
                  <c:v>10.5</c:v>
                </c:pt>
                <c:pt idx="31">
                  <c:v>11</c:v>
                </c:pt>
                <c:pt idx="32">
                  <c:v>11.5</c:v>
                </c:pt>
                <c:pt idx="33">
                  <c:v>12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  <c:pt idx="41">
                  <c:v>16.5</c:v>
                </c:pt>
                <c:pt idx="42">
                  <c:v>17</c:v>
                </c:pt>
                <c:pt idx="43">
                  <c:v>17.5</c:v>
                </c:pt>
                <c:pt idx="44">
                  <c:v>18</c:v>
                </c:pt>
                <c:pt idx="45">
                  <c:v>18.5</c:v>
                </c:pt>
                <c:pt idx="46">
                  <c:v>19</c:v>
                </c:pt>
                <c:pt idx="47">
                  <c:v>19.5</c:v>
                </c:pt>
                <c:pt idx="48">
                  <c:v>20</c:v>
                </c:pt>
                <c:pt idx="49">
                  <c:v>20.5</c:v>
                </c:pt>
                <c:pt idx="50">
                  <c:v>21</c:v>
                </c:pt>
                <c:pt idx="51">
                  <c:v>21.5</c:v>
                </c:pt>
                <c:pt idx="52">
                  <c:v>22</c:v>
                </c:pt>
                <c:pt idx="53">
                  <c:v>22.5</c:v>
                </c:pt>
                <c:pt idx="54">
                  <c:v>23</c:v>
                </c:pt>
                <c:pt idx="55">
                  <c:v>23.5</c:v>
                </c:pt>
              </c:numCache>
            </c:numRef>
          </c:xVal>
          <c:yVal>
            <c:numRef>
              <c:f>cl_data!$G$2:$G$57</c:f>
              <c:numCache>
                <c:formatCode>General</c:formatCode>
                <c:ptCount val="56"/>
                <c:pt idx="0">
                  <c:v>-0.31959549999999998</c:v>
                </c:pt>
                <c:pt idx="1">
                  <c:v>-0.26360339999999999</c:v>
                </c:pt>
                <c:pt idx="2">
                  <c:v>-0.20746000000000001</c:v>
                </c:pt>
                <c:pt idx="3">
                  <c:v>-0.15140239999999999</c:v>
                </c:pt>
                <c:pt idx="4">
                  <c:v>-9.5235710000000001E-2</c:v>
                </c:pt>
                <c:pt idx="5">
                  <c:v>-3.901168E-2</c:v>
                </c:pt>
                <c:pt idx="6">
                  <c:v>1.7355430000000002E-2</c:v>
                </c:pt>
                <c:pt idx="7">
                  <c:v>7.3790529999999993E-2</c:v>
                </c:pt>
                <c:pt idx="8">
                  <c:v>0.13009860000000001</c:v>
                </c:pt>
                <c:pt idx="9">
                  <c:v>0.1863378</c:v>
                </c:pt>
                <c:pt idx="10">
                  <c:v>0.24252889999999999</c:v>
                </c:pt>
                <c:pt idx="11">
                  <c:v>0.2982783</c:v>
                </c:pt>
                <c:pt idx="12">
                  <c:v>0.3540586</c:v>
                </c:pt>
                <c:pt idx="13">
                  <c:v>0.40986519999999999</c:v>
                </c:pt>
                <c:pt idx="14">
                  <c:v>0.4653043</c:v>
                </c:pt>
                <c:pt idx="15">
                  <c:v>0.52002649999999995</c:v>
                </c:pt>
                <c:pt idx="16">
                  <c:v>0.57336830000000005</c:v>
                </c:pt>
                <c:pt idx="17">
                  <c:v>0.6246834</c:v>
                </c:pt>
                <c:pt idx="18">
                  <c:v>0.67752520000000005</c:v>
                </c:pt>
                <c:pt idx="19">
                  <c:v>0.80566519999999997</c:v>
                </c:pt>
                <c:pt idx="20">
                  <c:v>0.86469050000000003</c:v>
                </c:pt>
                <c:pt idx="21">
                  <c:v>0.91058879999999998</c:v>
                </c:pt>
                <c:pt idx="22">
                  <c:v>0.95900099999999999</c:v>
                </c:pt>
                <c:pt idx="23">
                  <c:v>1.008297</c:v>
                </c:pt>
                <c:pt idx="24">
                  <c:v>1.0585629999999999</c:v>
                </c:pt>
                <c:pt idx="25">
                  <c:v>1.10903</c:v>
                </c:pt>
                <c:pt idx="26">
                  <c:v>1.159883</c:v>
                </c:pt>
                <c:pt idx="27">
                  <c:v>1.2093259999999999</c:v>
                </c:pt>
                <c:pt idx="28">
                  <c:v>1.2591870000000001</c:v>
                </c:pt>
                <c:pt idx="29">
                  <c:v>1.306419</c:v>
                </c:pt>
                <c:pt idx="30">
                  <c:v>1.354849</c:v>
                </c:pt>
                <c:pt idx="31">
                  <c:v>1.4014629999999999</c:v>
                </c:pt>
                <c:pt idx="32">
                  <c:v>1.444779</c:v>
                </c:pt>
                <c:pt idx="33">
                  <c:v>1.485209</c:v>
                </c:pt>
                <c:pt idx="34">
                  <c:v>1.5647610000000001</c:v>
                </c:pt>
                <c:pt idx="35">
                  <c:v>1.5982320000000001</c:v>
                </c:pt>
                <c:pt idx="36">
                  <c:v>1.6281920000000001</c:v>
                </c:pt>
                <c:pt idx="37">
                  <c:v>1.6526989999999999</c:v>
                </c:pt>
                <c:pt idx="38">
                  <c:v>1.672688</c:v>
                </c:pt>
                <c:pt idx="39">
                  <c:v>1.69014</c:v>
                </c:pt>
                <c:pt idx="40">
                  <c:v>1.702979</c:v>
                </c:pt>
                <c:pt idx="41">
                  <c:v>1.7108460000000001</c:v>
                </c:pt>
                <c:pt idx="42">
                  <c:v>1.7105790000000001</c:v>
                </c:pt>
                <c:pt idx="43">
                  <c:v>1.7043699999999999</c:v>
                </c:pt>
                <c:pt idx="44">
                  <c:v>1.706683</c:v>
                </c:pt>
                <c:pt idx="45">
                  <c:v>1.7033309999999999</c:v>
                </c:pt>
                <c:pt idx="46">
                  <c:v>1.694952</c:v>
                </c:pt>
                <c:pt idx="47">
                  <c:v>1.6834709999999999</c:v>
                </c:pt>
                <c:pt idx="48">
                  <c:v>1.6608259999999999</c:v>
                </c:pt>
                <c:pt idx="49">
                  <c:v>1.635554</c:v>
                </c:pt>
                <c:pt idx="50">
                  <c:v>1.6033269999999999</c:v>
                </c:pt>
                <c:pt idx="51">
                  <c:v>1.5616479999999999</c:v>
                </c:pt>
                <c:pt idx="52">
                  <c:v>1.524732</c:v>
                </c:pt>
                <c:pt idx="53">
                  <c:v>1.4785539999999999</c:v>
                </c:pt>
                <c:pt idx="54">
                  <c:v>1.4306559999999999</c:v>
                </c:pt>
                <c:pt idx="55">
                  <c:v>1.3957850000000001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34-4F87-A70E-72346E0495C2}"/>
            </c:ext>
          </c:extLst>
        </c:ser>
        <c:ser>
          <c:idx val="1"/>
          <c:order val="2"/>
          <c:tx>
            <c:v>NACA 23012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cl_data!$I$2:$I$59</c:f>
              <c:numCache>
                <c:formatCode>General</c:formatCode>
                <c:ptCount val="58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22.5</c:v>
                </c:pt>
                <c:pt idx="56">
                  <c:v>23</c:v>
                </c:pt>
                <c:pt idx="57">
                  <c:v>23.5</c:v>
                </c:pt>
              </c:numCache>
            </c:numRef>
          </c:xVal>
          <c:yVal>
            <c:numRef>
              <c:f>cl_data!$K$2:$K$59</c:f>
              <c:numCache>
                <c:formatCode>General</c:formatCode>
                <c:ptCount val="58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34-4F87-A70E-72346E0495C2}"/>
            </c:ext>
          </c:extLst>
        </c:ser>
        <c:ser>
          <c:idx val="3"/>
          <c:order val="3"/>
          <c:tx>
            <c:v>NACA 63-215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cl_data!$M$2:$M$57</c:f>
              <c:numCache>
                <c:formatCode>General</c:formatCode>
                <c:ptCount val="56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10</c:v>
                </c:pt>
                <c:pt idx="29">
                  <c:v>10.5</c:v>
                </c:pt>
                <c:pt idx="30">
                  <c:v>11</c:v>
                </c:pt>
                <c:pt idx="31">
                  <c:v>11.5</c:v>
                </c:pt>
                <c:pt idx="32">
                  <c:v>12</c:v>
                </c:pt>
                <c:pt idx="33">
                  <c:v>12.5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  <c:pt idx="41">
                  <c:v>16.5</c:v>
                </c:pt>
                <c:pt idx="42">
                  <c:v>17</c:v>
                </c:pt>
                <c:pt idx="43">
                  <c:v>17.5</c:v>
                </c:pt>
                <c:pt idx="44">
                  <c:v>18</c:v>
                </c:pt>
                <c:pt idx="45">
                  <c:v>18.5</c:v>
                </c:pt>
                <c:pt idx="46">
                  <c:v>19</c:v>
                </c:pt>
                <c:pt idx="47">
                  <c:v>19.5</c:v>
                </c:pt>
                <c:pt idx="48">
                  <c:v>20</c:v>
                </c:pt>
                <c:pt idx="49">
                  <c:v>20.5</c:v>
                </c:pt>
                <c:pt idx="50">
                  <c:v>21</c:v>
                </c:pt>
                <c:pt idx="51">
                  <c:v>21.5</c:v>
                </c:pt>
                <c:pt idx="52">
                  <c:v>22</c:v>
                </c:pt>
                <c:pt idx="53">
                  <c:v>22.5</c:v>
                </c:pt>
                <c:pt idx="54">
                  <c:v>23</c:v>
                </c:pt>
                <c:pt idx="55">
                  <c:v>23.5</c:v>
                </c:pt>
              </c:numCache>
            </c:numRef>
          </c:xVal>
          <c:yVal>
            <c:numRef>
              <c:f>cl_data!$O$2:$O$57</c:f>
              <c:numCache>
                <c:formatCode>General</c:formatCode>
                <c:ptCount val="56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34-4F87-A70E-72346E049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933103"/>
        <c:axId val="864936943"/>
      </c:scatterChart>
      <c:valAx>
        <c:axId val="864933103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Angle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of attack, </a:t>
                </a:r>
                <a:r>
                  <a:rPr lang="el-GR" sz="900" i="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α</a:t>
                </a:r>
                <a:r>
                  <a:rPr lang="en-US" sz="900" i="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(deg)</a:t>
                </a:r>
                <a:endParaRPr lang="en-GB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0.34153982121026422"/>
              <c:y val="0.914120058446302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864936943"/>
        <c:crosses val="autoZero"/>
        <c:crossBetween val="midCat"/>
      </c:valAx>
      <c:valAx>
        <c:axId val="864936943"/>
        <c:scaling>
          <c:orientation val="minMax"/>
          <c:max val="2"/>
          <c:min val="-1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Lift coefficient,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  <a:r>
                  <a:rPr lang="en-GB" sz="900" b="0" i="0" u="none" strike="noStrike" baseline="0"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l</a:t>
                </a:r>
                <a:r>
                  <a:rPr lang="en-GB" sz="900" b="0" i="0" u="none" strike="noStrike" baseline="0"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</a:t>
                </a:r>
                <a:endParaRPr lang="en-GB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6.1410702133097649E-2"/>
              <c:y val="0.396745068593229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low"/>
        <c:spPr>
          <a:noFill/>
          <a:ln w="3175" cap="flat" cmpd="sng" algn="ctr">
            <a:solidFill>
              <a:sysClr val="windowText" lastClr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864933103"/>
        <c:crosses val="autoZero"/>
        <c:crossBetween val="midCat"/>
      </c:valAx>
      <c:spPr>
        <a:noFill/>
        <a:ln w="3175">
          <a:noFill/>
        </a:ln>
        <a:effectLst/>
      </c:spPr>
    </c:plotArea>
    <c:legend>
      <c:legendPos val="r"/>
      <c:layout>
        <c:manualLayout>
          <c:xMode val="edge"/>
          <c:yMode val="edge"/>
          <c:x val="0.79240328386796777"/>
          <c:y val="0.15362935303190195"/>
          <c:w val="0.16377398464613119"/>
          <c:h val="0.22477575290202126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Pitching moment coefficient curve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Re = 3 </a:t>
            </a:r>
            <a:r>
              <a:rPr lang="en-GB" sz="6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✕</a:t>
            </a:r>
            <a:r>
              <a:rPr lang="en-GB" sz="8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endParaRPr lang="en-GB" sz="900">
              <a:solidFill>
                <a:schemeClr val="tx1"/>
              </a:solidFill>
              <a:latin typeface="Cambria Math" panose="02040503050406030204" pitchFamily="18" charset="0"/>
              <a:ea typeface="Cambria Math" panose="02040503050406030204" pitchFamily="18" charset="0"/>
              <a:cs typeface="Segoe UI Semibold" panose="020B0702040204020203" pitchFamily="34" charset="0"/>
            </a:endParaRPr>
          </a:p>
        </c:rich>
      </c:tx>
      <c:layout>
        <c:manualLayout>
          <c:xMode val="edge"/>
          <c:yMode val="edge"/>
          <c:x val="0.13816339738354624"/>
          <c:y val="1.70704796869716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libri" panose="020F0502020204030204" pitchFamily="34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552013190132054"/>
          <c:y val="0.14839147940260616"/>
          <c:w val="0.60594295576066681"/>
          <c:h val="0.72642075262064632"/>
        </c:manualLayout>
      </c:layout>
      <c:scatterChart>
        <c:scatterStyle val="smoothMarker"/>
        <c:varyColors val="0"/>
        <c:ser>
          <c:idx val="0"/>
          <c:order val="0"/>
          <c:tx>
            <c:v>NACA 0012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cm_data!$A$2:$A$46</c:f>
              <c:numCache>
                <c:formatCode>General</c:formatCode>
                <c:ptCount val="45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</c:numCache>
            </c:numRef>
          </c:xVal>
          <c:yVal>
            <c:numRef>
              <c:f>cm_data!$C$2:$C$46</c:f>
              <c:numCache>
                <c:formatCode>General</c:formatCode>
                <c:ptCount val="45"/>
                <c:pt idx="0">
                  <c:v>-2.397279E-3</c:v>
                </c:pt>
                <c:pt idx="1">
                  <c:v>-1.7502590000000001E-3</c:v>
                </c:pt>
                <c:pt idx="2">
                  <c:v>-1.3737160000000001E-3</c:v>
                </c:pt>
                <c:pt idx="3">
                  <c:v>-9.5123650000000001E-4</c:v>
                </c:pt>
                <c:pt idx="4">
                  <c:v>-6.5669549999999995E-4</c:v>
                </c:pt>
                <c:pt idx="5">
                  <c:v>-4.2154950000000002E-4</c:v>
                </c:pt>
                <c:pt idx="6">
                  <c:v>-2.7924040000000002E-4</c:v>
                </c:pt>
                <c:pt idx="7">
                  <c:v>-1.3938850000000001E-4</c:v>
                </c:pt>
                <c:pt idx="8">
                  <c:v>-7.0850719999999997E-5</c:v>
                </c:pt>
                <c:pt idx="9">
                  <c:v>-2.8733290000000001E-5</c:v>
                </c:pt>
                <c:pt idx="10">
                  <c:v>6.0242649999999995E-11</c:v>
                </c:pt>
                <c:pt idx="11">
                  <c:v>2.8642639999999999E-5</c:v>
                </c:pt>
                <c:pt idx="12">
                  <c:v>7.0489670000000002E-5</c:v>
                </c:pt>
                <c:pt idx="13">
                  <c:v>1.3856130000000001E-4</c:v>
                </c:pt>
                <c:pt idx="14">
                  <c:v>2.7773119999999999E-4</c:v>
                </c:pt>
                <c:pt idx="15">
                  <c:v>4.1916780000000002E-4</c:v>
                </c:pt>
                <c:pt idx="16">
                  <c:v>6.532075E-4</c:v>
                </c:pt>
                <c:pt idx="17">
                  <c:v>9.4638260000000005E-4</c:v>
                </c:pt>
                <c:pt idx="18">
                  <c:v>1.367304E-3</c:v>
                </c:pt>
                <c:pt idx="19">
                  <c:v>1.742188E-3</c:v>
                </c:pt>
                <c:pt idx="20">
                  <c:v>2.3871370000000001E-3</c:v>
                </c:pt>
                <c:pt idx="21">
                  <c:v>3.070279E-3</c:v>
                </c:pt>
                <c:pt idx="22">
                  <c:v>3.7603649999999999E-3</c:v>
                </c:pt>
                <c:pt idx="23">
                  <c:v>4.2482739999999998E-3</c:v>
                </c:pt>
                <c:pt idx="24">
                  <c:v>3.3222210000000002E-3</c:v>
                </c:pt>
                <c:pt idx="25">
                  <c:v>2.079567E-3</c:v>
                </c:pt>
                <c:pt idx="26">
                  <c:v>-1.388448E-4</c:v>
                </c:pt>
                <c:pt idx="27">
                  <c:v>-2.1360419999999999E-3</c:v>
                </c:pt>
                <c:pt idx="28">
                  <c:v>-3.8011569999999999E-3</c:v>
                </c:pt>
                <c:pt idx="29">
                  <c:v>-3.6605299999999999E-3</c:v>
                </c:pt>
                <c:pt idx="30">
                  <c:v>-1.3613939999999999E-3</c:v>
                </c:pt>
                <c:pt idx="31">
                  <c:v>7.9516540000000005E-4</c:v>
                </c:pt>
                <c:pt idx="32">
                  <c:v>2.7569420000000001E-3</c:v>
                </c:pt>
                <c:pt idx="33">
                  <c:v>4.4097499999999996E-3</c:v>
                </c:pt>
                <c:pt idx="34">
                  <c:v>5.4483719999999999E-3</c:v>
                </c:pt>
                <c:pt idx="35">
                  <c:v>6.4808019999999999E-3</c:v>
                </c:pt>
                <c:pt idx="36">
                  <c:v>7.6041859999999998E-3</c:v>
                </c:pt>
                <c:pt idx="37">
                  <c:v>8.9731350000000001E-3</c:v>
                </c:pt>
                <c:pt idx="38">
                  <c:v>1.0854549999999999E-2</c:v>
                </c:pt>
                <c:pt idx="39">
                  <c:v>1.342408E-2</c:v>
                </c:pt>
                <c:pt idx="40">
                  <c:v>1.6807989999999998E-2</c:v>
                </c:pt>
                <c:pt idx="41">
                  <c:v>2.1477400000000001E-2</c:v>
                </c:pt>
                <c:pt idx="42">
                  <c:v>2.570072E-2</c:v>
                </c:pt>
                <c:pt idx="43">
                  <c:v>2.9193340000000002E-2</c:v>
                </c:pt>
                <c:pt idx="44">
                  <c:v>3.1380480000000002E-2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B-4BB0-AE68-4C32DEE4B89C}"/>
            </c:ext>
          </c:extLst>
        </c:ser>
        <c:ser>
          <c:idx val="2"/>
          <c:order val="1"/>
          <c:tx>
            <c:v>NACA 2412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cm_data!$I$2:$I$44</c:f>
              <c:numCache>
                <c:formatCode>General</c:formatCode>
                <c:ptCount val="43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5</c:v>
                </c:pt>
                <c:pt idx="20">
                  <c:v>5.5</c:v>
                </c:pt>
                <c:pt idx="21">
                  <c:v>6</c:v>
                </c:pt>
                <c:pt idx="22">
                  <c:v>6.5</c:v>
                </c:pt>
                <c:pt idx="23">
                  <c:v>7</c:v>
                </c:pt>
                <c:pt idx="24">
                  <c:v>7.5</c:v>
                </c:pt>
                <c:pt idx="25">
                  <c:v>8</c:v>
                </c:pt>
                <c:pt idx="26">
                  <c:v>8.5</c:v>
                </c:pt>
                <c:pt idx="27">
                  <c:v>9</c:v>
                </c:pt>
                <c:pt idx="28">
                  <c:v>9.5</c:v>
                </c:pt>
                <c:pt idx="29">
                  <c:v>10</c:v>
                </c:pt>
                <c:pt idx="30">
                  <c:v>10.5</c:v>
                </c:pt>
                <c:pt idx="31">
                  <c:v>11</c:v>
                </c:pt>
                <c:pt idx="32">
                  <c:v>11.5</c:v>
                </c:pt>
                <c:pt idx="33">
                  <c:v>12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  <c:pt idx="41">
                  <c:v>16.5</c:v>
                </c:pt>
                <c:pt idx="42">
                  <c:v>17</c:v>
                </c:pt>
              </c:numCache>
            </c:numRef>
          </c:xVal>
          <c:yVal>
            <c:numRef>
              <c:f>cm_data!$K$2:$K$44</c:f>
              <c:numCache>
                <c:formatCode>General</c:formatCode>
                <c:ptCount val="43"/>
                <c:pt idx="0">
                  <c:v>-5.2700179999999999E-2</c:v>
                </c:pt>
                <c:pt idx="1">
                  <c:v>-5.2618020000000001E-2</c:v>
                </c:pt>
                <c:pt idx="2">
                  <c:v>-5.2570680000000002E-2</c:v>
                </c:pt>
                <c:pt idx="3">
                  <c:v>-5.2513650000000002E-2</c:v>
                </c:pt>
                <c:pt idx="4">
                  <c:v>-5.2496420000000002E-2</c:v>
                </c:pt>
                <c:pt idx="5">
                  <c:v>-5.2504500000000003E-2</c:v>
                </c:pt>
                <c:pt idx="6">
                  <c:v>-5.25447E-2</c:v>
                </c:pt>
                <c:pt idx="7">
                  <c:v>-5.2602780000000002E-2</c:v>
                </c:pt>
                <c:pt idx="8">
                  <c:v>-5.2660199999999997E-2</c:v>
                </c:pt>
                <c:pt idx="9">
                  <c:v>-5.2720599999999999E-2</c:v>
                </c:pt>
                <c:pt idx="10">
                  <c:v>-5.2783549999999999E-2</c:v>
                </c:pt>
                <c:pt idx="11">
                  <c:v>-5.2804900000000002E-2</c:v>
                </c:pt>
                <c:pt idx="12">
                  <c:v>-5.280435E-2</c:v>
                </c:pt>
                <c:pt idx="13">
                  <c:v>-5.2772649999999997E-2</c:v>
                </c:pt>
                <c:pt idx="14">
                  <c:v>-5.2642410000000001E-2</c:v>
                </c:pt>
                <c:pt idx="15">
                  <c:v>-5.2319989999999997E-2</c:v>
                </c:pt>
                <c:pt idx="16">
                  <c:v>-5.1632270000000001E-2</c:v>
                </c:pt>
                <c:pt idx="17">
                  <c:v>-5.0477059999999997E-2</c:v>
                </c:pt>
                <c:pt idx="18">
                  <c:v>-4.9721599999999998E-2</c:v>
                </c:pt>
                <c:pt idx="19">
                  <c:v>-5.3866900000000002E-2</c:v>
                </c:pt>
                <c:pt idx="20">
                  <c:v>-5.4895810000000003E-2</c:v>
                </c:pt>
                <c:pt idx="21">
                  <c:v>-5.2977150000000001E-2</c:v>
                </c:pt>
                <c:pt idx="22">
                  <c:v>-5.157548E-2</c:v>
                </c:pt>
                <c:pt idx="23">
                  <c:v>-5.0434979999999997E-2</c:v>
                </c:pt>
                <c:pt idx="24">
                  <c:v>-4.9520840000000003E-2</c:v>
                </c:pt>
                <c:pt idx="25">
                  <c:v>-4.8686699999999999E-2</c:v>
                </c:pt>
                <c:pt idx="26">
                  <c:v>-4.7946839999999998E-2</c:v>
                </c:pt>
                <c:pt idx="27">
                  <c:v>-4.7000130000000001E-2</c:v>
                </c:pt>
                <c:pt idx="28">
                  <c:v>-4.6169130000000003E-2</c:v>
                </c:pt>
                <c:pt idx="29">
                  <c:v>-4.4920170000000002E-2</c:v>
                </c:pt>
                <c:pt idx="30">
                  <c:v>-4.3919989999999999E-2</c:v>
                </c:pt>
                <c:pt idx="31">
                  <c:v>-4.2664010000000002E-2</c:v>
                </c:pt>
                <c:pt idx="32">
                  <c:v>-4.0903130000000003E-2</c:v>
                </c:pt>
                <c:pt idx="33">
                  <c:v>-3.8666840000000001E-2</c:v>
                </c:pt>
                <c:pt idx="34">
                  <c:v>-3.4136640000000003E-2</c:v>
                </c:pt>
                <c:pt idx="35">
                  <c:v>-3.093624E-2</c:v>
                </c:pt>
                <c:pt idx="36">
                  <c:v>-2.7519620000000002E-2</c:v>
                </c:pt>
                <c:pt idx="37">
                  <c:v>-2.37272E-2</c:v>
                </c:pt>
                <c:pt idx="38">
                  <c:v>-1.984329E-2</c:v>
                </c:pt>
                <c:pt idx="39">
                  <c:v>-1.6323379999999998E-2</c:v>
                </c:pt>
                <c:pt idx="40">
                  <c:v>-1.3071569999999999E-2</c:v>
                </c:pt>
                <c:pt idx="41">
                  <c:v>-1.0381639999999999E-2</c:v>
                </c:pt>
                <c:pt idx="42">
                  <c:v>-8.2758599999999995E-3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3B-4BB0-AE68-4C32DEE4B89C}"/>
            </c:ext>
          </c:extLst>
        </c:ser>
        <c:ser>
          <c:idx val="1"/>
          <c:order val="2"/>
          <c:tx>
            <c:v>NACA 23012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cm_data!$E$2:$E$46</c:f>
              <c:numCache>
                <c:formatCode>General</c:formatCode>
                <c:ptCount val="45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</c:numCache>
            </c:numRef>
          </c:xVal>
          <c:yVal>
            <c:numRef>
              <c:f>cm_data!$G$2:$G$46</c:f>
              <c:numCache>
                <c:formatCode>General</c:formatCode>
                <c:ptCount val="45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3B-4BB0-AE68-4C32DEE4B89C}"/>
            </c:ext>
          </c:extLst>
        </c:ser>
        <c:ser>
          <c:idx val="3"/>
          <c:order val="3"/>
          <c:tx>
            <c:v>NACA 63-215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cm_data!$M$2:$M$44</c:f>
              <c:numCache>
                <c:formatCode>General</c:formatCode>
                <c:ptCount val="43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10</c:v>
                </c:pt>
                <c:pt idx="29">
                  <c:v>10.5</c:v>
                </c:pt>
                <c:pt idx="30">
                  <c:v>11</c:v>
                </c:pt>
                <c:pt idx="31">
                  <c:v>11.5</c:v>
                </c:pt>
                <c:pt idx="32">
                  <c:v>12</c:v>
                </c:pt>
                <c:pt idx="33">
                  <c:v>12.5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  <c:pt idx="41">
                  <c:v>16.5</c:v>
                </c:pt>
                <c:pt idx="42">
                  <c:v>17</c:v>
                </c:pt>
              </c:numCache>
            </c:numRef>
          </c:xVal>
          <c:yVal>
            <c:numRef>
              <c:f>cm_data!$O$2:$O$44</c:f>
              <c:numCache>
                <c:formatCode>General</c:formatCode>
                <c:ptCount val="43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E3B-4BB0-AE68-4C32DEE4B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041055"/>
        <c:axId val="1889039615"/>
      </c:scatterChart>
      <c:valAx>
        <c:axId val="1889041055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Angle of attack, </a:t>
                </a:r>
                <a:r>
                  <a:rPr lang="el-GR" sz="900" b="0" i="0" u="none" strike="noStrike" kern="120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α</a:t>
                </a:r>
                <a:r>
                  <a:rPr lang="en-US" sz="900" b="0" i="0" u="none" strike="noStrike" kern="120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(deg)</a:t>
                </a:r>
                <a:endParaRPr lang="en-GB" sz="900" b="0" i="0" u="none" strike="noStrike" kern="1200" baseline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0.34293372575003467"/>
              <c:y val="0.923723105164001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1889039615"/>
        <c:crosses val="autoZero"/>
        <c:crossBetween val="midCat"/>
      </c:valAx>
      <c:valAx>
        <c:axId val="1889039615"/>
        <c:scaling>
          <c:orientation val="minMax"/>
          <c:max val="4.0000000000000008E-2"/>
          <c:min val="-8.0000000000000016E-2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l"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Pitching moment coefficient, </a:t>
                </a: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kern="1200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m</a:t>
                </a: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4.7479236328335672E-2"/>
              <c:y val="0.352351287377421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l"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1889041055"/>
        <c:crosses val="autoZero"/>
        <c:crossBetween val="midCat"/>
        <c:majorUnit val="2.0000000000000004E-2"/>
      </c:valAx>
      <c:spPr>
        <a:noFill/>
        <a:ln w="3175">
          <a:noFill/>
        </a:ln>
        <a:effectLst/>
      </c:spPr>
    </c:plotArea>
    <c:legend>
      <c:legendPos val="r"/>
      <c:layout>
        <c:manualLayout>
          <c:xMode val="edge"/>
          <c:yMode val="edge"/>
          <c:x val="0.79866234186480112"/>
          <c:y val="0.14686739287122788"/>
          <c:w val="0.16147710988181271"/>
          <c:h val="0.2109525143712864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Drag polar 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Re = 3 </a:t>
            </a:r>
            <a:r>
              <a:rPr lang="en-GB" sz="6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✕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endParaRPr lang="en-GB" sz="900">
              <a:solidFill>
                <a:schemeClr val="tx1"/>
              </a:solidFill>
              <a:latin typeface="Cambria Math" panose="02040503050406030204" pitchFamily="18" charset="0"/>
              <a:ea typeface="Cambria Math" panose="02040503050406030204" pitchFamily="18" charset="0"/>
              <a:cs typeface="Segoe UI Semibold" panose="020B0702040204020203" pitchFamily="34" charset="0"/>
            </a:endParaRPr>
          </a:p>
        </c:rich>
      </c:tx>
      <c:layout>
        <c:manualLayout>
          <c:xMode val="edge"/>
          <c:yMode val="edge"/>
          <c:x val="0.12731411884772681"/>
          <c:y val="1.9932778943714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libri" panose="020F0502020204030204" pitchFamily="34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684006980917188"/>
          <c:y val="0.14685710002682531"/>
          <c:w val="0.62150492777806743"/>
          <c:h val="0.71620694770628579"/>
        </c:manualLayout>
      </c:layout>
      <c:scatterChart>
        <c:scatterStyle val="smoothMarker"/>
        <c:varyColors val="0"/>
        <c:ser>
          <c:idx val="0"/>
          <c:order val="0"/>
          <c:tx>
            <c:v>NACA 0012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dragpolar_data!$A$2:$A$46</c:f>
              <c:numCache>
                <c:formatCode>General</c:formatCode>
                <c:ptCount val="45"/>
                <c:pt idx="0">
                  <c:v>6.8179080000000001E-3</c:v>
                </c:pt>
                <c:pt idx="1">
                  <c:v>6.4715780000000004E-3</c:v>
                </c:pt>
                <c:pt idx="2">
                  <c:v>6.1959490000000001E-3</c:v>
                </c:pt>
                <c:pt idx="3">
                  <c:v>5.9039230000000002E-3</c:v>
                </c:pt>
                <c:pt idx="4">
                  <c:v>5.6727629999999999E-3</c:v>
                </c:pt>
                <c:pt idx="5">
                  <c:v>5.4969499999999996E-3</c:v>
                </c:pt>
                <c:pt idx="6">
                  <c:v>5.3260670000000003E-3</c:v>
                </c:pt>
                <c:pt idx="7">
                  <c:v>5.2093469999999996E-3</c:v>
                </c:pt>
                <c:pt idx="8">
                  <c:v>5.1021959999999998E-3</c:v>
                </c:pt>
                <c:pt idx="9">
                  <c:v>5.0523449999999998E-3</c:v>
                </c:pt>
                <c:pt idx="10">
                  <c:v>5.0689539999999996E-3</c:v>
                </c:pt>
                <c:pt idx="11">
                  <c:v>5.0523410000000001E-3</c:v>
                </c:pt>
                <c:pt idx="12">
                  <c:v>5.1021840000000001E-3</c:v>
                </c:pt>
                <c:pt idx="13">
                  <c:v>5.2093319999999997E-3</c:v>
                </c:pt>
                <c:pt idx="14">
                  <c:v>5.3260549999999997E-3</c:v>
                </c:pt>
                <c:pt idx="15">
                  <c:v>5.4969509999999999E-3</c:v>
                </c:pt>
                <c:pt idx="16">
                  <c:v>5.6728000000000004E-3</c:v>
                </c:pt>
                <c:pt idx="17">
                  <c:v>5.9039749999999997E-3</c:v>
                </c:pt>
                <c:pt idx="18">
                  <c:v>6.1960410000000002E-3</c:v>
                </c:pt>
                <c:pt idx="19">
                  <c:v>6.4716499999999998E-3</c:v>
                </c:pt>
                <c:pt idx="20">
                  <c:v>6.8179920000000001E-3</c:v>
                </c:pt>
                <c:pt idx="21">
                  <c:v>7.1360010000000003E-3</c:v>
                </c:pt>
                <c:pt idx="22">
                  <c:v>7.4837460000000003E-3</c:v>
                </c:pt>
                <c:pt idx="23">
                  <c:v>7.8622499999999994E-3</c:v>
                </c:pt>
                <c:pt idx="24">
                  <c:v>8.3099049999999994E-3</c:v>
                </c:pt>
                <c:pt idx="25">
                  <c:v>8.7294039999999996E-3</c:v>
                </c:pt>
                <c:pt idx="26">
                  <c:v>9.2014769999999996E-3</c:v>
                </c:pt>
                <c:pt idx="27">
                  <c:v>9.6673130000000003E-3</c:v>
                </c:pt>
                <c:pt idx="28">
                  <c:v>1.031749E-2</c:v>
                </c:pt>
                <c:pt idx="29">
                  <c:v>1.071768E-2</c:v>
                </c:pt>
                <c:pt idx="30">
                  <c:v>1.1162979999999999E-2</c:v>
                </c:pt>
                <c:pt idx="31">
                  <c:v>1.176875E-2</c:v>
                </c:pt>
                <c:pt idx="32">
                  <c:v>1.251289E-2</c:v>
                </c:pt>
                <c:pt idx="33">
                  <c:v>1.333697E-2</c:v>
                </c:pt>
                <c:pt idx="34">
                  <c:v>1.3890649999999999E-2</c:v>
                </c:pt>
                <c:pt idx="35">
                  <c:v>1.44701E-2</c:v>
                </c:pt>
                <c:pt idx="36">
                  <c:v>1.5104579999999999E-2</c:v>
                </c:pt>
                <c:pt idx="37">
                  <c:v>1.5869939999999999E-2</c:v>
                </c:pt>
                <c:pt idx="38">
                  <c:v>1.6905719999999999E-2</c:v>
                </c:pt>
                <c:pt idx="39">
                  <c:v>1.8237090000000001E-2</c:v>
                </c:pt>
                <c:pt idx="40">
                  <c:v>1.968632E-2</c:v>
                </c:pt>
                <c:pt idx="41">
                  <c:v>2.1360980000000002E-2</c:v>
                </c:pt>
                <c:pt idx="42">
                  <c:v>2.3541260000000001E-2</c:v>
                </c:pt>
                <c:pt idx="43">
                  <c:v>2.649058E-2</c:v>
                </c:pt>
                <c:pt idx="44">
                  <c:v>3.0660799999999998E-2</c:v>
                </c:pt>
              </c:numCache>
            </c:numRef>
          </c:xVal>
          <c:yVal>
            <c:numRef>
              <c:f>dragpolar_data!$C$2:$C$46</c:f>
              <c:numCache>
                <c:formatCode>General</c:formatCode>
                <c:ptCount val="45"/>
                <c:pt idx="0">
                  <c:v>-0.54974520000000004</c:v>
                </c:pt>
                <c:pt idx="1">
                  <c:v>-0.49655060000000001</c:v>
                </c:pt>
                <c:pt idx="2">
                  <c:v>-0.44203900000000002</c:v>
                </c:pt>
                <c:pt idx="3">
                  <c:v>-0.38794210000000001</c:v>
                </c:pt>
                <c:pt idx="4">
                  <c:v>-0.33323700000000001</c:v>
                </c:pt>
                <c:pt idx="5">
                  <c:v>-0.27825909999999998</c:v>
                </c:pt>
                <c:pt idx="6">
                  <c:v>-0.22289639999999999</c:v>
                </c:pt>
                <c:pt idx="7">
                  <c:v>-0.16756960000000001</c:v>
                </c:pt>
                <c:pt idx="8">
                  <c:v>-0.1118429</c:v>
                </c:pt>
                <c:pt idx="9">
                  <c:v>-5.596595E-2</c:v>
                </c:pt>
                <c:pt idx="10">
                  <c:v>-1.56569E-10</c:v>
                </c:pt>
                <c:pt idx="11">
                  <c:v>5.5966340000000003E-2</c:v>
                </c:pt>
                <c:pt idx="12">
                  <c:v>0.1118445</c:v>
                </c:pt>
                <c:pt idx="13">
                  <c:v>0.16757320000000001</c:v>
                </c:pt>
                <c:pt idx="14">
                  <c:v>0.22290289999999999</c:v>
                </c:pt>
                <c:pt idx="15">
                  <c:v>0.2782694</c:v>
                </c:pt>
                <c:pt idx="16">
                  <c:v>0.33325199999999999</c:v>
                </c:pt>
                <c:pt idx="17">
                  <c:v>0.387963</c:v>
                </c:pt>
                <c:pt idx="18">
                  <c:v>0.44206659999999998</c:v>
                </c:pt>
                <c:pt idx="19">
                  <c:v>0.49658560000000002</c:v>
                </c:pt>
                <c:pt idx="20">
                  <c:v>0.54978930000000004</c:v>
                </c:pt>
                <c:pt idx="21">
                  <c:v>0.60300169999999997</c:v>
                </c:pt>
                <c:pt idx="22">
                  <c:v>0.65608860000000002</c:v>
                </c:pt>
                <c:pt idx="23">
                  <c:v>0.7098892</c:v>
                </c:pt>
                <c:pt idx="24">
                  <c:v>0.76951130000000001</c:v>
                </c:pt>
                <c:pt idx="25">
                  <c:v>0.83040460000000005</c:v>
                </c:pt>
                <c:pt idx="26">
                  <c:v>0.89541009999999999</c:v>
                </c:pt>
                <c:pt idx="27">
                  <c:v>0.95922600000000002</c:v>
                </c:pt>
                <c:pt idx="28">
                  <c:v>1.0212220000000001</c:v>
                </c:pt>
                <c:pt idx="29">
                  <c:v>1.075062</c:v>
                </c:pt>
                <c:pt idx="30">
                  <c:v>1.1187780000000001</c:v>
                </c:pt>
                <c:pt idx="31">
                  <c:v>1.1626030000000001</c:v>
                </c:pt>
                <c:pt idx="32">
                  <c:v>1.2069510000000001</c:v>
                </c:pt>
                <c:pt idx="33">
                  <c:v>1.252173</c:v>
                </c:pt>
                <c:pt idx="34">
                  <c:v>1.3003279999999999</c:v>
                </c:pt>
                <c:pt idx="35">
                  <c:v>1.348088</c:v>
                </c:pt>
                <c:pt idx="36">
                  <c:v>1.3948640000000001</c:v>
                </c:pt>
                <c:pt idx="37">
                  <c:v>1.4395500000000001</c:v>
                </c:pt>
                <c:pt idx="38">
                  <c:v>1.480086</c:v>
                </c:pt>
                <c:pt idx="39">
                  <c:v>1.5154190000000001</c:v>
                </c:pt>
                <c:pt idx="40">
                  <c:v>1.5447409999999999</c:v>
                </c:pt>
                <c:pt idx="41">
                  <c:v>1.563712</c:v>
                </c:pt>
                <c:pt idx="42">
                  <c:v>1.5777810000000001</c:v>
                </c:pt>
                <c:pt idx="43">
                  <c:v>1.585545</c:v>
                </c:pt>
                <c:pt idx="44">
                  <c:v>1.5852459999999999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9B-403D-8D0F-6C059672D5BB}"/>
            </c:ext>
          </c:extLst>
        </c:ser>
        <c:ser>
          <c:idx val="2"/>
          <c:order val="1"/>
          <c:tx>
            <c:v>NACA 2412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dragpolar_data!$I$2:$I$43</c:f>
              <c:numCache>
                <c:formatCode>General</c:formatCode>
                <c:ptCount val="42"/>
                <c:pt idx="0">
                  <c:v>6.7657309999999997E-3</c:v>
                </c:pt>
                <c:pt idx="1">
                  <c:v>6.5518110000000003E-3</c:v>
                </c:pt>
                <c:pt idx="2">
                  <c:v>6.3669809999999999E-3</c:v>
                </c:pt>
                <c:pt idx="3">
                  <c:v>6.2034619999999999E-3</c:v>
                </c:pt>
                <c:pt idx="4">
                  <c:v>6.0502450000000001E-3</c:v>
                </c:pt>
                <c:pt idx="5">
                  <c:v>5.9054709999999998E-3</c:v>
                </c:pt>
                <c:pt idx="6">
                  <c:v>5.7858579999999996E-3</c:v>
                </c:pt>
                <c:pt idx="7">
                  <c:v>5.6939010000000003E-3</c:v>
                </c:pt>
                <c:pt idx="8">
                  <c:v>5.5967329999999996E-3</c:v>
                </c:pt>
                <c:pt idx="9">
                  <c:v>5.5035329999999997E-3</c:v>
                </c:pt>
                <c:pt idx="10">
                  <c:v>5.411885E-3</c:v>
                </c:pt>
                <c:pt idx="11">
                  <c:v>5.2534690000000002E-3</c:v>
                </c:pt>
                <c:pt idx="12">
                  <c:v>5.1365660000000004E-3</c:v>
                </c:pt>
                <c:pt idx="13">
                  <c:v>5.0827049999999999E-3</c:v>
                </c:pt>
                <c:pt idx="14">
                  <c:v>5.0576969999999999E-3</c:v>
                </c:pt>
                <c:pt idx="15">
                  <c:v>5.050494E-3</c:v>
                </c:pt>
                <c:pt idx="16">
                  <c:v>5.1094720000000003E-3</c:v>
                </c:pt>
                <c:pt idx="17">
                  <c:v>5.3286180000000002E-3</c:v>
                </c:pt>
                <c:pt idx="18">
                  <c:v>5.6716800000000001E-3</c:v>
                </c:pt>
                <c:pt idx="19">
                  <c:v>6.7667430000000004E-3</c:v>
                </c:pt>
                <c:pt idx="20">
                  <c:v>7.3661059999999999E-3</c:v>
                </c:pt>
                <c:pt idx="21">
                  <c:v>7.9258139999999998E-3</c:v>
                </c:pt>
                <c:pt idx="22">
                  <c:v>8.4142569999999996E-3</c:v>
                </c:pt>
                <c:pt idx="23">
                  <c:v>8.9670689999999994E-3</c:v>
                </c:pt>
                <c:pt idx="24">
                  <c:v>9.49061E-3</c:v>
                </c:pt>
                <c:pt idx="25">
                  <c:v>1.000849E-2</c:v>
                </c:pt>
                <c:pt idx="26">
                  <c:v>1.048251E-2</c:v>
                </c:pt>
                <c:pt idx="27">
                  <c:v>1.1064579999999999E-2</c:v>
                </c:pt>
                <c:pt idx="28">
                  <c:v>1.1572280000000001E-2</c:v>
                </c:pt>
                <c:pt idx="29">
                  <c:v>1.227135E-2</c:v>
                </c:pt>
                <c:pt idx="30">
                  <c:v>1.2811019999999999E-2</c:v>
                </c:pt>
                <c:pt idx="31">
                  <c:v>1.344267E-2</c:v>
                </c:pt>
                <c:pt idx="32">
                  <c:v>1.426234E-2</c:v>
                </c:pt>
                <c:pt idx="33">
                  <c:v>1.521026E-2</c:v>
                </c:pt>
                <c:pt idx="34">
                  <c:v>1.6628770000000001E-2</c:v>
                </c:pt>
                <c:pt idx="35">
                  <c:v>1.7476060000000002E-2</c:v>
                </c:pt>
                <c:pt idx="36">
                  <c:v>1.857056E-2</c:v>
                </c:pt>
                <c:pt idx="37">
                  <c:v>2.0046729999999999E-2</c:v>
                </c:pt>
                <c:pt idx="38">
                  <c:v>2.191587E-2</c:v>
                </c:pt>
                <c:pt idx="39">
                  <c:v>2.4156489999999999E-2</c:v>
                </c:pt>
                <c:pt idx="40">
                  <c:v>2.6909120000000002E-2</c:v>
                </c:pt>
                <c:pt idx="41">
                  <c:v>3.0413530000000001E-2</c:v>
                </c:pt>
              </c:numCache>
            </c:numRef>
          </c:xVal>
          <c:yVal>
            <c:numRef>
              <c:f>dragpolar_data!$K$2:$K$43</c:f>
              <c:numCache>
                <c:formatCode>General</c:formatCode>
                <c:ptCount val="42"/>
                <c:pt idx="0">
                  <c:v>-0.31959549999999998</c:v>
                </c:pt>
                <c:pt idx="1">
                  <c:v>-0.26360339999999999</c:v>
                </c:pt>
                <c:pt idx="2">
                  <c:v>-0.20746000000000001</c:v>
                </c:pt>
                <c:pt idx="3">
                  <c:v>-0.15140239999999999</c:v>
                </c:pt>
                <c:pt idx="4">
                  <c:v>-9.5235710000000001E-2</c:v>
                </c:pt>
                <c:pt idx="5">
                  <c:v>-3.901168E-2</c:v>
                </c:pt>
                <c:pt idx="6">
                  <c:v>1.7355430000000002E-2</c:v>
                </c:pt>
                <c:pt idx="7">
                  <c:v>7.3790529999999993E-2</c:v>
                </c:pt>
                <c:pt idx="8">
                  <c:v>0.13009860000000001</c:v>
                </c:pt>
                <c:pt idx="9">
                  <c:v>0.1863378</c:v>
                </c:pt>
                <c:pt idx="10">
                  <c:v>0.24252889999999999</c:v>
                </c:pt>
                <c:pt idx="11">
                  <c:v>0.2982783</c:v>
                </c:pt>
                <c:pt idx="12">
                  <c:v>0.3540586</c:v>
                </c:pt>
                <c:pt idx="13">
                  <c:v>0.40986519999999999</c:v>
                </c:pt>
                <c:pt idx="14">
                  <c:v>0.4653043</c:v>
                </c:pt>
                <c:pt idx="15">
                  <c:v>0.52002649999999995</c:v>
                </c:pt>
                <c:pt idx="16">
                  <c:v>0.57336830000000005</c:v>
                </c:pt>
                <c:pt idx="17">
                  <c:v>0.6246834</c:v>
                </c:pt>
                <c:pt idx="18">
                  <c:v>0.67752520000000005</c:v>
                </c:pt>
                <c:pt idx="19">
                  <c:v>0.80566519999999997</c:v>
                </c:pt>
                <c:pt idx="20">
                  <c:v>0.86469050000000003</c:v>
                </c:pt>
                <c:pt idx="21">
                  <c:v>0.91058879999999998</c:v>
                </c:pt>
                <c:pt idx="22">
                  <c:v>0.95900099999999999</c:v>
                </c:pt>
                <c:pt idx="23">
                  <c:v>1.008297</c:v>
                </c:pt>
                <c:pt idx="24">
                  <c:v>1.0585629999999999</c:v>
                </c:pt>
                <c:pt idx="25">
                  <c:v>1.10903</c:v>
                </c:pt>
                <c:pt idx="26">
                  <c:v>1.159883</c:v>
                </c:pt>
                <c:pt idx="27">
                  <c:v>1.2093259999999999</c:v>
                </c:pt>
                <c:pt idx="28">
                  <c:v>1.2591870000000001</c:v>
                </c:pt>
                <c:pt idx="29">
                  <c:v>1.306419</c:v>
                </c:pt>
                <c:pt idx="30">
                  <c:v>1.354849</c:v>
                </c:pt>
                <c:pt idx="31">
                  <c:v>1.4014629999999999</c:v>
                </c:pt>
                <c:pt idx="32">
                  <c:v>1.444779</c:v>
                </c:pt>
                <c:pt idx="33">
                  <c:v>1.485209</c:v>
                </c:pt>
                <c:pt idx="34">
                  <c:v>1.5647610000000001</c:v>
                </c:pt>
                <c:pt idx="35">
                  <c:v>1.5982320000000001</c:v>
                </c:pt>
                <c:pt idx="36">
                  <c:v>1.6281920000000001</c:v>
                </c:pt>
                <c:pt idx="37">
                  <c:v>1.6526989999999999</c:v>
                </c:pt>
                <c:pt idx="38">
                  <c:v>1.672688</c:v>
                </c:pt>
                <c:pt idx="39">
                  <c:v>1.69014</c:v>
                </c:pt>
                <c:pt idx="40">
                  <c:v>1.702979</c:v>
                </c:pt>
                <c:pt idx="41">
                  <c:v>1.7108460000000001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9B-403D-8D0F-6C059672D5BB}"/>
            </c:ext>
          </c:extLst>
        </c:ser>
        <c:ser>
          <c:idx val="1"/>
          <c:order val="2"/>
          <c:tx>
            <c:v>NACA 23012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dragpolar_data!$E$2:$E$47</c:f>
              <c:numCache>
                <c:formatCode>General</c:formatCode>
                <c:ptCount val="46"/>
                <c:pt idx="0">
                  <c:v>7.7559209999999998E-3</c:v>
                </c:pt>
                <c:pt idx="1">
                  <c:v>7.5550540000000003E-3</c:v>
                </c:pt>
                <c:pt idx="2">
                  <c:v>7.4679120000000002E-3</c:v>
                </c:pt>
                <c:pt idx="3">
                  <c:v>7.3635130000000003E-3</c:v>
                </c:pt>
                <c:pt idx="4">
                  <c:v>7.2987989999999999E-3</c:v>
                </c:pt>
                <c:pt idx="5">
                  <c:v>7.2664649999999997E-3</c:v>
                </c:pt>
                <c:pt idx="6">
                  <c:v>7.2634070000000004E-3</c:v>
                </c:pt>
                <c:pt idx="7">
                  <c:v>7.2652790000000004E-3</c:v>
                </c:pt>
                <c:pt idx="8">
                  <c:v>7.2907450000000004E-3</c:v>
                </c:pt>
                <c:pt idx="9">
                  <c:v>7.191635E-3</c:v>
                </c:pt>
                <c:pt idx="10">
                  <c:v>6.1723999999999998E-3</c:v>
                </c:pt>
                <c:pt idx="11">
                  <c:v>5.9246100000000003E-3</c:v>
                </c:pt>
                <c:pt idx="12">
                  <c:v>5.8159830000000003E-3</c:v>
                </c:pt>
                <c:pt idx="13">
                  <c:v>5.7451220000000001E-3</c:v>
                </c:pt>
                <c:pt idx="14">
                  <c:v>5.6885740000000001E-3</c:v>
                </c:pt>
                <c:pt idx="15">
                  <c:v>5.7576609999999999E-3</c:v>
                </c:pt>
                <c:pt idx="16">
                  <c:v>5.8551970000000004E-3</c:v>
                </c:pt>
                <c:pt idx="17">
                  <c:v>5.965382E-3</c:v>
                </c:pt>
                <c:pt idx="18">
                  <c:v>6.1133339999999998E-3</c:v>
                </c:pt>
                <c:pt idx="19">
                  <c:v>6.2992619999999999E-3</c:v>
                </c:pt>
                <c:pt idx="20">
                  <c:v>6.4658010000000002E-3</c:v>
                </c:pt>
                <c:pt idx="21">
                  <c:v>6.679412E-3</c:v>
                </c:pt>
                <c:pt idx="22">
                  <c:v>6.9423610000000002E-3</c:v>
                </c:pt>
                <c:pt idx="23">
                  <c:v>7.1918010000000003E-3</c:v>
                </c:pt>
                <c:pt idx="24">
                  <c:v>7.4654370000000001E-3</c:v>
                </c:pt>
                <c:pt idx="25">
                  <c:v>7.7746819999999998E-3</c:v>
                </c:pt>
                <c:pt idx="26">
                  <c:v>8.1212630000000001E-3</c:v>
                </c:pt>
                <c:pt idx="27">
                  <c:v>8.4881030000000003E-3</c:v>
                </c:pt>
                <c:pt idx="28">
                  <c:v>8.8744340000000005E-3</c:v>
                </c:pt>
                <c:pt idx="29">
                  <c:v>9.3390230000000001E-3</c:v>
                </c:pt>
                <c:pt idx="30">
                  <c:v>9.8297720000000005E-3</c:v>
                </c:pt>
                <c:pt idx="31">
                  <c:v>1.0481519999999999E-2</c:v>
                </c:pt>
                <c:pt idx="32">
                  <c:v>1.122808E-2</c:v>
                </c:pt>
                <c:pt idx="33">
                  <c:v>1.210812E-2</c:v>
                </c:pt>
                <c:pt idx="34">
                  <c:v>1.303151E-2</c:v>
                </c:pt>
                <c:pt idx="35">
                  <c:v>1.4009509999999999E-2</c:v>
                </c:pt>
                <c:pt idx="36">
                  <c:v>1.497296E-2</c:v>
                </c:pt>
                <c:pt idx="37">
                  <c:v>1.5982980000000001E-2</c:v>
                </c:pt>
                <c:pt idx="38">
                  <c:v>1.7030099999999999E-2</c:v>
                </c:pt>
                <c:pt idx="39">
                  <c:v>1.8218749999999999E-2</c:v>
                </c:pt>
                <c:pt idx="40">
                  <c:v>1.9363910000000002E-2</c:v>
                </c:pt>
                <c:pt idx="41">
                  <c:v>2.0994160000000001E-2</c:v>
                </c:pt>
                <c:pt idx="42">
                  <c:v>2.2641379999999999E-2</c:v>
                </c:pt>
                <c:pt idx="43">
                  <c:v>2.497796E-2</c:v>
                </c:pt>
                <c:pt idx="44">
                  <c:v>2.8276059999999999E-2</c:v>
                </c:pt>
                <c:pt idx="45">
                  <c:v>3.1960080000000002E-2</c:v>
                </c:pt>
              </c:numCache>
            </c:numRef>
          </c:xVal>
          <c:yVal>
            <c:numRef>
              <c:f>dragpolar_data!$G$2:$G$47</c:f>
              <c:numCache>
                <c:formatCode>General</c:formatCode>
                <c:ptCount val="46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9B-403D-8D0F-6C059672D5BB}"/>
            </c:ext>
          </c:extLst>
        </c:ser>
        <c:ser>
          <c:idx val="3"/>
          <c:order val="3"/>
          <c:tx>
            <c:v>NACA 63-215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dragpolar_data!$M$2:$M$40</c:f>
              <c:numCache>
                <c:formatCode>General</c:formatCode>
                <c:ptCount val="39"/>
                <c:pt idx="0">
                  <c:v>7.5002089999999999E-3</c:v>
                </c:pt>
                <c:pt idx="1">
                  <c:v>6.9895460000000001E-3</c:v>
                </c:pt>
                <c:pt idx="2">
                  <c:v>6.3531250000000003E-3</c:v>
                </c:pt>
                <c:pt idx="3">
                  <c:v>5.689309E-3</c:v>
                </c:pt>
                <c:pt idx="4">
                  <c:v>5.2111329999999997E-3</c:v>
                </c:pt>
                <c:pt idx="5">
                  <c:v>4.9230940000000003E-3</c:v>
                </c:pt>
                <c:pt idx="6">
                  <c:v>4.8049900000000003E-3</c:v>
                </c:pt>
                <c:pt idx="7">
                  <c:v>4.7432009999999998E-3</c:v>
                </c:pt>
                <c:pt idx="8">
                  <c:v>4.6500710000000004E-3</c:v>
                </c:pt>
                <c:pt idx="9">
                  <c:v>4.6864890000000003E-3</c:v>
                </c:pt>
                <c:pt idx="10">
                  <c:v>4.6704679999999997E-3</c:v>
                </c:pt>
                <c:pt idx="11">
                  <c:v>4.7166370000000001E-3</c:v>
                </c:pt>
                <c:pt idx="12">
                  <c:v>4.7524960000000002E-3</c:v>
                </c:pt>
                <c:pt idx="13">
                  <c:v>4.7877149999999997E-3</c:v>
                </c:pt>
                <c:pt idx="14">
                  <c:v>4.9055030000000003E-3</c:v>
                </c:pt>
                <c:pt idx="15">
                  <c:v>5.0318009999999998E-3</c:v>
                </c:pt>
                <c:pt idx="16">
                  <c:v>5.2543609999999999E-3</c:v>
                </c:pt>
                <c:pt idx="17">
                  <c:v>5.4600730000000002E-3</c:v>
                </c:pt>
                <c:pt idx="18">
                  <c:v>6.0125990000000004E-3</c:v>
                </c:pt>
                <c:pt idx="19">
                  <c:v>6.8382820000000002E-3</c:v>
                </c:pt>
                <c:pt idx="20">
                  <c:v>7.6723370000000004E-3</c:v>
                </c:pt>
                <c:pt idx="21">
                  <c:v>8.4318039999999993E-3</c:v>
                </c:pt>
                <c:pt idx="22">
                  <c:v>9.0352599999999998E-3</c:v>
                </c:pt>
                <c:pt idx="23">
                  <c:v>9.6689619999999997E-3</c:v>
                </c:pt>
                <c:pt idx="24">
                  <c:v>1.0145899999999999E-2</c:v>
                </c:pt>
                <c:pt idx="25">
                  <c:v>1.0583169999999999E-2</c:v>
                </c:pt>
                <c:pt idx="26">
                  <c:v>1.1013510000000001E-2</c:v>
                </c:pt>
                <c:pt idx="27">
                  <c:v>1.176955E-2</c:v>
                </c:pt>
                <c:pt idx="28">
                  <c:v>1.334218E-2</c:v>
                </c:pt>
                <c:pt idx="29">
                  <c:v>1.385816E-2</c:v>
                </c:pt>
                <c:pt idx="30">
                  <c:v>1.444027E-2</c:v>
                </c:pt>
                <c:pt idx="31">
                  <c:v>1.5671770000000002E-2</c:v>
                </c:pt>
                <c:pt idx="32">
                  <c:v>1.6978650000000001E-2</c:v>
                </c:pt>
                <c:pt idx="33">
                  <c:v>1.8756180000000001E-2</c:v>
                </c:pt>
                <c:pt idx="34">
                  <c:v>2.0931020000000002E-2</c:v>
                </c:pt>
                <c:pt idx="35">
                  <c:v>2.3233940000000002E-2</c:v>
                </c:pt>
                <c:pt idx="36">
                  <c:v>2.5821259999999999E-2</c:v>
                </c:pt>
                <c:pt idx="37">
                  <c:v>2.8729979999999999E-2</c:v>
                </c:pt>
                <c:pt idx="38">
                  <c:v>3.1968379999999998E-2</c:v>
                </c:pt>
              </c:numCache>
            </c:numRef>
          </c:xVal>
          <c:yVal>
            <c:numRef>
              <c:f>dragpolar_data!$O$2:$O$40</c:f>
              <c:numCache>
                <c:formatCode>General</c:formatCode>
                <c:ptCount val="39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9B-403D-8D0F-6C059672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902496"/>
        <c:axId val="640898176"/>
      </c:scatterChart>
      <c:valAx>
        <c:axId val="640902496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Drag Coefficient,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d</a:t>
                </a:r>
                <a:endParaRPr lang="en-GB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0.37370019144957872"/>
              <c:y val="0.915456344198717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640898176"/>
        <c:crosses val="autoZero"/>
        <c:crossBetween val="midCat"/>
      </c:valAx>
      <c:valAx>
        <c:axId val="640898176"/>
        <c:scaling>
          <c:orientation val="minMax"/>
          <c:max val="2"/>
          <c:min val="-1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Lift Coefficient,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l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</a:t>
                </a:r>
                <a:r>
                  <a:rPr lang="en-GB" sz="900" i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5.6785732909214161E-2"/>
              <c:y val="0.414882409945881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low"/>
        <c:spPr>
          <a:noFill/>
          <a:ln w="317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640902496"/>
        <c:crosses val="autoZero"/>
        <c:crossBetween val="midCat"/>
      </c:valAx>
      <c:spPr>
        <a:noFill/>
        <a:ln w="3175">
          <a:noFill/>
        </a:ln>
        <a:effectLst/>
      </c:spPr>
    </c:plotArea>
    <c:legend>
      <c:legendPos val="r"/>
      <c:layout>
        <c:manualLayout>
          <c:xMode val="edge"/>
          <c:yMode val="edge"/>
          <c:x val="0.8037732700630964"/>
          <c:y val="0.14680358594974116"/>
          <c:w val="0.15608370145784756"/>
          <c:h val="0.21451308065327165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Lift-to-drag</a:t>
            </a:r>
            <a:r>
              <a:rPr lang="en-GB" sz="120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 ratio 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Re = 3 </a:t>
            </a:r>
            <a:r>
              <a:rPr lang="en-GB" sz="6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✕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endParaRPr lang="en-GB" sz="900">
              <a:solidFill>
                <a:schemeClr val="tx1"/>
              </a:solidFill>
              <a:latin typeface="Cambria Math" panose="02040503050406030204" pitchFamily="18" charset="0"/>
              <a:ea typeface="Cambria Math" panose="02040503050406030204" pitchFamily="18" charset="0"/>
              <a:cs typeface="Segoe UI Semibold" panose="020B0702040204020203" pitchFamily="34" charset="0"/>
            </a:endParaRPr>
          </a:p>
        </c:rich>
      </c:tx>
      <c:layout>
        <c:manualLayout>
          <c:xMode val="edge"/>
          <c:yMode val="edge"/>
          <c:x val="0.1229600648143076"/>
          <c:y val="1.81819425177311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libri" panose="020F0502020204030204" pitchFamily="34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06373107871286"/>
          <c:y val="0.1461028506672398"/>
          <c:w val="0.63696116619622478"/>
          <c:h val="0.72962955002833085"/>
        </c:manualLayout>
      </c:layout>
      <c:scatterChart>
        <c:scatterStyle val="smoothMarker"/>
        <c:varyColors val="0"/>
        <c:ser>
          <c:idx val="0"/>
          <c:order val="0"/>
          <c:tx>
            <c:v>NACA 0012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liftdragratio_data!$A$2:$A$58</c:f>
              <c:numCache>
                <c:formatCode>General</c:formatCode>
                <c:ptCount val="57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 formatCode="0.00E+00">
                  <c:v>9.7926590000000001E-10</c:v>
                </c:pt>
                <c:pt idx="11">
                  <c:v>0.5</c:v>
                </c:pt>
                <c:pt idx="12">
                  <c:v>0.89416569999999995</c:v>
                </c:pt>
                <c:pt idx="13">
                  <c:v>1</c:v>
                </c:pt>
                <c:pt idx="14">
                  <c:v>1.5</c:v>
                </c:pt>
                <c:pt idx="15">
                  <c:v>1.7915220000000001</c:v>
                </c:pt>
                <c:pt idx="16">
                  <c:v>2</c:v>
                </c:pt>
                <c:pt idx="17">
                  <c:v>2.5</c:v>
                </c:pt>
                <c:pt idx="18">
                  <c:v>2.6961930000000001</c:v>
                </c:pt>
                <c:pt idx="19">
                  <c:v>3</c:v>
                </c:pt>
                <c:pt idx="20">
                  <c:v>3.5</c:v>
                </c:pt>
                <c:pt idx="21">
                  <c:v>3.6107040000000001</c:v>
                </c:pt>
                <c:pt idx="22">
                  <c:v>4</c:v>
                </c:pt>
                <c:pt idx="23">
                  <c:v>4.5</c:v>
                </c:pt>
                <c:pt idx="24">
                  <c:v>4.5324150000000003</c:v>
                </c:pt>
                <c:pt idx="25">
                  <c:v>5</c:v>
                </c:pt>
                <c:pt idx="26">
                  <c:v>5.4716079999999998</c:v>
                </c:pt>
                <c:pt idx="27">
                  <c:v>5.5</c:v>
                </c:pt>
                <c:pt idx="28">
                  <c:v>6</c:v>
                </c:pt>
                <c:pt idx="29">
                  <c:v>6.4169499999999999</c:v>
                </c:pt>
                <c:pt idx="30">
                  <c:v>6.5</c:v>
                </c:pt>
                <c:pt idx="31">
                  <c:v>7</c:v>
                </c:pt>
                <c:pt idx="32">
                  <c:v>7.2629219999999997</c:v>
                </c:pt>
                <c:pt idx="33">
                  <c:v>7.5</c:v>
                </c:pt>
                <c:pt idx="34">
                  <c:v>8</c:v>
                </c:pt>
                <c:pt idx="35">
                  <c:v>8.0357610000000008</c:v>
                </c:pt>
                <c:pt idx="36">
                  <c:v>8.5</c:v>
                </c:pt>
                <c:pt idx="37">
                  <c:v>8.8278850000000002</c:v>
                </c:pt>
                <c:pt idx="38">
                  <c:v>9</c:v>
                </c:pt>
                <c:pt idx="39">
                  <c:v>9.5</c:v>
                </c:pt>
                <c:pt idx="40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</c:numCache>
            </c:numRef>
          </c:xVal>
          <c:yVal>
            <c:numRef>
              <c:f>liftdragratio_data!$C$2:$C$58</c:f>
              <c:numCache>
                <c:formatCode>General</c:formatCode>
                <c:ptCount val="57"/>
                <c:pt idx="0">
                  <c:v>-80.632530000000003</c:v>
                </c:pt>
                <c:pt idx="1">
                  <c:v>-76.727900000000005</c:v>
                </c:pt>
                <c:pt idx="2">
                  <c:v>-71.343220000000002</c:v>
                </c:pt>
                <c:pt idx="3">
                  <c:v>-65.709199999999996</c:v>
                </c:pt>
                <c:pt idx="4">
                  <c:v>-58.743340000000003</c:v>
                </c:pt>
                <c:pt idx="5">
                  <c:v>-50.620629999999998</c:v>
                </c:pt>
                <c:pt idx="6">
                  <c:v>-41.850090000000002</c:v>
                </c:pt>
                <c:pt idx="7">
                  <c:v>-32.167099999999998</c:v>
                </c:pt>
                <c:pt idx="8">
                  <c:v>-21.920549999999999</c:v>
                </c:pt>
                <c:pt idx="9">
                  <c:v>-11.077220000000001</c:v>
                </c:pt>
                <c:pt idx="10">
                  <c:v>2.152205E-14</c:v>
                </c:pt>
                <c:pt idx="11">
                  <c:v>11.077310000000001</c:v>
                </c:pt>
                <c:pt idx="12">
                  <c:v>19.527370000000001</c:v>
                </c:pt>
                <c:pt idx="13">
                  <c:v>21.920909999999999</c:v>
                </c:pt>
                <c:pt idx="14">
                  <c:v>32.167879999999997</c:v>
                </c:pt>
                <c:pt idx="15">
                  <c:v>37.993479999999998</c:v>
                </c:pt>
                <c:pt idx="16">
                  <c:v>41.851410000000001</c:v>
                </c:pt>
                <c:pt idx="17">
                  <c:v>50.622489999999999</c:v>
                </c:pt>
                <c:pt idx="18">
                  <c:v>54.179189999999998</c:v>
                </c:pt>
                <c:pt idx="19">
                  <c:v>58.745600000000003</c:v>
                </c:pt>
                <c:pt idx="20">
                  <c:v>65.71217</c:v>
                </c:pt>
                <c:pt idx="21">
                  <c:v>67.231359999999995</c:v>
                </c:pt>
                <c:pt idx="22">
                  <c:v>71.346630000000005</c:v>
                </c:pt>
                <c:pt idx="23">
                  <c:v>76.732460000000003</c:v>
                </c:pt>
                <c:pt idx="24">
                  <c:v>77.029970000000006</c:v>
                </c:pt>
                <c:pt idx="25">
                  <c:v>80.638009999999994</c:v>
                </c:pt>
                <c:pt idx="26">
                  <c:v>84.271919999999994</c:v>
                </c:pt>
                <c:pt idx="27">
                  <c:v>84.501339999999999</c:v>
                </c:pt>
                <c:pt idx="28">
                  <c:v>87.668480000000002</c:v>
                </c:pt>
                <c:pt idx="29">
                  <c:v>89.607410000000002</c:v>
                </c:pt>
                <c:pt idx="30">
                  <c:v>90.290850000000006</c:v>
                </c:pt>
                <c:pt idx="31">
                  <c:v>92.601699999999994</c:v>
                </c:pt>
                <c:pt idx="32">
                  <c:v>94.154629999999997</c:v>
                </c:pt>
                <c:pt idx="33">
                  <c:v>95.127300000000005</c:v>
                </c:pt>
                <c:pt idx="34">
                  <c:v>97.311549999999997</c:v>
                </c:pt>
                <c:pt idx="35">
                  <c:v>97.512730000000005</c:v>
                </c:pt>
                <c:pt idx="36">
                  <c:v>99.223650000000006</c:v>
                </c:pt>
                <c:pt idx="37">
                  <c:v>99.266940000000005</c:v>
                </c:pt>
                <c:pt idx="38">
                  <c:v>98.97972</c:v>
                </c:pt>
                <c:pt idx="39">
                  <c:v>100.3074</c:v>
                </c:pt>
                <c:pt idx="40">
                  <c:v>100.2222</c:v>
                </c:pt>
                <c:pt idx="41">
                  <c:v>98.787220000000005</c:v>
                </c:pt>
                <c:pt idx="42">
                  <c:v>96.456620000000001</c:v>
                </c:pt>
                <c:pt idx="43">
                  <c:v>93.887339999999995</c:v>
                </c:pt>
                <c:pt idx="44">
                  <c:v>93.611800000000002</c:v>
                </c:pt>
                <c:pt idx="45">
                  <c:v>93.163700000000006</c:v>
                </c:pt>
                <c:pt idx="46">
                  <c:v>92.347110000000001</c:v>
                </c:pt>
                <c:pt idx="47">
                  <c:v>90.70926</c:v>
                </c:pt>
                <c:pt idx="48">
                  <c:v>87.549430000000001</c:v>
                </c:pt>
                <c:pt idx="49">
                  <c:v>83.095479999999995</c:v>
                </c:pt>
                <c:pt idx="50">
                  <c:v>78.467759999999998</c:v>
                </c:pt>
                <c:pt idx="51">
                  <c:v>73.204120000000003</c:v>
                </c:pt>
                <c:pt idx="52">
                  <c:v>67.021929999999998</c:v>
                </c:pt>
                <c:pt idx="53">
                  <c:v>59.853160000000003</c:v>
                </c:pt>
                <c:pt idx="54">
                  <c:v>51.7027</c:v>
                </c:pt>
                <c:pt idx="55">
                  <c:v>42.968760000000003</c:v>
                </c:pt>
                <c:pt idx="56">
                  <c:v>34.340069999999997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CB-4144-B1D2-2DC01FA245B9}"/>
            </c:ext>
          </c:extLst>
        </c:ser>
        <c:ser>
          <c:idx val="2"/>
          <c:order val="1"/>
          <c:tx>
            <c:v>NACA 2412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liftdragratio_data!$I$2:$I$62</c:f>
              <c:numCache>
                <c:formatCode>General</c:formatCode>
                <c:ptCount val="6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-2.1535739999999999</c:v>
                </c:pt>
                <c:pt idx="7">
                  <c:v>-2</c:v>
                </c:pt>
                <c:pt idx="8">
                  <c:v>-1.5</c:v>
                </c:pt>
                <c:pt idx="9">
                  <c:v>-1.2655019999999999</c:v>
                </c:pt>
                <c:pt idx="10">
                  <c:v>-1</c:v>
                </c:pt>
                <c:pt idx="11">
                  <c:v>-0.5</c:v>
                </c:pt>
                <c:pt idx="12">
                  <c:v>-0.37825239999999999</c:v>
                </c:pt>
                <c:pt idx="13">
                  <c:v>0</c:v>
                </c:pt>
                <c:pt idx="14">
                  <c:v>0.5</c:v>
                </c:pt>
                <c:pt idx="15">
                  <c:v>0.51562010000000003</c:v>
                </c:pt>
                <c:pt idx="16">
                  <c:v>1</c:v>
                </c:pt>
                <c:pt idx="17">
                  <c:v>1.4132130000000001</c:v>
                </c:pt>
                <c:pt idx="18">
                  <c:v>1.5</c:v>
                </c:pt>
                <c:pt idx="19">
                  <c:v>2</c:v>
                </c:pt>
                <c:pt idx="20">
                  <c:v>2.3136779999999999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4.1842689999999996</c:v>
                </c:pt>
                <c:pt idx="26">
                  <c:v>4.9578860000000002</c:v>
                </c:pt>
                <c:pt idx="27">
                  <c:v>5</c:v>
                </c:pt>
                <c:pt idx="28">
                  <c:v>5.5</c:v>
                </c:pt>
                <c:pt idx="29">
                  <c:v>5.8843569999999996</c:v>
                </c:pt>
                <c:pt idx="30">
                  <c:v>6</c:v>
                </c:pt>
                <c:pt idx="31">
                  <c:v>6.5</c:v>
                </c:pt>
                <c:pt idx="32">
                  <c:v>6.9147040000000004</c:v>
                </c:pt>
                <c:pt idx="33">
                  <c:v>7</c:v>
                </c:pt>
                <c:pt idx="34">
                  <c:v>7.5</c:v>
                </c:pt>
                <c:pt idx="35">
                  <c:v>7.9098560000000004</c:v>
                </c:pt>
                <c:pt idx="36">
                  <c:v>8</c:v>
                </c:pt>
                <c:pt idx="37">
                  <c:v>8.5</c:v>
                </c:pt>
                <c:pt idx="38">
                  <c:v>8.9097709999999992</c:v>
                </c:pt>
                <c:pt idx="39">
                  <c:v>9</c:v>
                </c:pt>
                <c:pt idx="40">
                  <c:v>9.5</c:v>
                </c:pt>
                <c:pt idx="41">
                  <c:v>9.9331870000000002</c:v>
                </c:pt>
                <c:pt idx="42">
                  <c:v>10</c:v>
                </c:pt>
                <c:pt idx="43">
                  <c:v>10.5</c:v>
                </c:pt>
                <c:pt idx="44">
                  <c:v>10.98734</c:v>
                </c:pt>
                <c:pt idx="45">
                  <c:v>11</c:v>
                </c:pt>
                <c:pt idx="46">
                  <c:v>11.5</c:v>
                </c:pt>
                <c:pt idx="47">
                  <c:v>12</c:v>
                </c:pt>
                <c:pt idx="48">
                  <c:v>13</c:v>
                </c:pt>
                <c:pt idx="49">
                  <c:v>13.5</c:v>
                </c:pt>
                <c:pt idx="50">
                  <c:v>13.550409999999999</c:v>
                </c:pt>
                <c:pt idx="51">
                  <c:v>14</c:v>
                </c:pt>
                <c:pt idx="52">
                  <c:v>14.5</c:v>
                </c:pt>
                <c:pt idx="53">
                  <c:v>15</c:v>
                </c:pt>
                <c:pt idx="54">
                  <c:v>15.5</c:v>
                </c:pt>
                <c:pt idx="55">
                  <c:v>16</c:v>
                </c:pt>
                <c:pt idx="56">
                  <c:v>16.10952</c:v>
                </c:pt>
                <c:pt idx="57">
                  <c:v>16.5</c:v>
                </c:pt>
                <c:pt idx="58">
                  <c:v>17</c:v>
                </c:pt>
                <c:pt idx="59">
                  <c:v>17.5</c:v>
                </c:pt>
                <c:pt idx="60">
                  <c:v>18</c:v>
                </c:pt>
              </c:numCache>
            </c:numRef>
          </c:xVal>
          <c:yVal>
            <c:numRef>
              <c:f>liftdragratio_data!$K$2:$K$62</c:f>
              <c:numCache>
                <c:formatCode>General</c:formatCode>
                <c:ptCount val="61"/>
                <c:pt idx="0">
                  <c:v>-47.237389999999998</c:v>
                </c:pt>
                <c:pt idx="1">
                  <c:v>-40.233669999999996</c:v>
                </c:pt>
                <c:pt idx="2">
                  <c:v>-32.583730000000003</c:v>
                </c:pt>
                <c:pt idx="3">
                  <c:v>-24.406110000000002</c:v>
                </c:pt>
                <c:pt idx="4">
                  <c:v>-15.7408</c:v>
                </c:pt>
                <c:pt idx="5">
                  <c:v>-6.6060230000000004</c:v>
                </c:pt>
                <c:pt idx="6">
                  <c:v>-8.0190489999999997E-14</c:v>
                </c:pt>
                <c:pt idx="7">
                  <c:v>2.999628</c:v>
                </c:pt>
                <c:pt idx="8">
                  <c:v>12.959580000000001</c:v>
                </c:pt>
                <c:pt idx="9">
                  <c:v>17.692260000000001</c:v>
                </c:pt>
                <c:pt idx="10">
                  <c:v>23.245439999999999</c:v>
                </c:pt>
                <c:pt idx="11">
                  <c:v>33.857860000000002</c:v>
                </c:pt>
                <c:pt idx="12">
                  <c:v>36.382300000000001</c:v>
                </c:pt>
                <c:pt idx="13">
                  <c:v>44.814120000000003</c:v>
                </c:pt>
                <c:pt idx="14">
                  <c:v>56.7774</c:v>
                </c:pt>
                <c:pt idx="15">
                  <c:v>57.202669999999998</c:v>
                </c:pt>
                <c:pt idx="16">
                  <c:v>68.929050000000004</c:v>
                </c:pt>
                <c:pt idx="17">
                  <c:v>78.421850000000006</c:v>
                </c:pt>
                <c:pt idx="18">
                  <c:v>80.639189999999999</c:v>
                </c:pt>
                <c:pt idx="19">
                  <c:v>91.99924</c:v>
                </c:pt>
                <c:pt idx="20">
                  <c:v>99.710549999999998</c:v>
                </c:pt>
                <c:pt idx="21">
                  <c:v>102.96550000000001</c:v>
                </c:pt>
                <c:pt idx="22">
                  <c:v>112.2167</c:v>
                </c:pt>
                <c:pt idx="23">
                  <c:v>117.23180000000001</c:v>
                </c:pt>
                <c:pt idx="24">
                  <c:v>119.4576</c:v>
                </c:pt>
                <c:pt idx="25">
                  <c:v>119.3746</c:v>
                </c:pt>
                <c:pt idx="26">
                  <c:v>119.41160000000001</c:v>
                </c:pt>
                <c:pt idx="27">
                  <c:v>119.0625</c:v>
                </c:pt>
                <c:pt idx="28">
                  <c:v>117.3877</c:v>
                </c:pt>
                <c:pt idx="29">
                  <c:v>115.6073</c:v>
                </c:pt>
                <c:pt idx="30">
                  <c:v>114.889</c:v>
                </c:pt>
                <c:pt idx="31">
                  <c:v>113.97329999999999</c:v>
                </c:pt>
                <c:pt idx="32">
                  <c:v>112.9558</c:v>
                </c:pt>
                <c:pt idx="33">
                  <c:v>112.44450000000001</c:v>
                </c:pt>
                <c:pt idx="34">
                  <c:v>111.538</c:v>
                </c:pt>
                <c:pt idx="35">
                  <c:v>111.0883</c:v>
                </c:pt>
                <c:pt idx="36">
                  <c:v>110.80889999999999</c:v>
                </c:pt>
                <c:pt idx="37">
                  <c:v>110.6494</c:v>
                </c:pt>
                <c:pt idx="38">
                  <c:v>109.2047</c:v>
                </c:pt>
                <c:pt idx="39">
                  <c:v>109.297</c:v>
                </c:pt>
                <c:pt idx="40">
                  <c:v>108.81059999999999</c:v>
                </c:pt>
                <c:pt idx="41">
                  <c:v>106.7865</c:v>
                </c:pt>
                <c:pt idx="42">
                  <c:v>106.4609</c:v>
                </c:pt>
                <c:pt idx="43">
                  <c:v>105.7565</c:v>
                </c:pt>
                <c:pt idx="44">
                  <c:v>104.25839999999999</c:v>
                </c:pt>
                <c:pt idx="45">
                  <c:v>104.2548</c:v>
                </c:pt>
                <c:pt idx="46">
                  <c:v>101.30029999999999</c:v>
                </c:pt>
                <c:pt idx="47">
                  <c:v>97.645240000000001</c:v>
                </c:pt>
                <c:pt idx="48">
                  <c:v>94.099649999999997</c:v>
                </c:pt>
                <c:pt idx="49">
                  <c:v>91.452690000000004</c:v>
                </c:pt>
                <c:pt idx="50">
                  <c:v>90.96114</c:v>
                </c:pt>
                <c:pt idx="51">
                  <c:v>87.675970000000007</c:v>
                </c:pt>
                <c:pt idx="52">
                  <c:v>82.442329999999998</c:v>
                </c:pt>
                <c:pt idx="53">
                  <c:v>76.323130000000006</c:v>
                </c:pt>
                <c:pt idx="54">
                  <c:v>69.966290000000001</c:v>
                </c:pt>
                <c:pt idx="55">
                  <c:v>63.28633</c:v>
                </c:pt>
                <c:pt idx="56">
                  <c:v>61.301589999999997</c:v>
                </c:pt>
                <c:pt idx="57">
                  <c:v>56.252780000000001</c:v>
                </c:pt>
                <c:pt idx="58">
                  <c:v>48.922710000000002</c:v>
                </c:pt>
                <c:pt idx="59">
                  <c:v>41.922629999999998</c:v>
                </c:pt>
                <c:pt idx="60">
                  <c:v>37.218020000000003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CB-4144-B1D2-2DC01FA245B9}"/>
            </c:ext>
          </c:extLst>
        </c:ser>
        <c:ser>
          <c:idx val="1"/>
          <c:order val="2"/>
          <c:tx>
            <c:v>NACA 23012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liftdragratio_data!$E$2:$E$58</c:f>
              <c:numCache>
                <c:formatCode>General</c:formatCode>
                <c:ptCount val="57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-1.216853</c:v>
                </c:pt>
                <c:pt idx="9">
                  <c:v>-1</c:v>
                </c:pt>
                <c:pt idx="10">
                  <c:v>-0.5</c:v>
                </c:pt>
                <c:pt idx="11">
                  <c:v>0</c:v>
                </c:pt>
                <c:pt idx="12">
                  <c:v>0.5</c:v>
                </c:pt>
                <c:pt idx="13">
                  <c:v>0.65759310000000004</c:v>
                </c:pt>
                <c:pt idx="14">
                  <c:v>1</c:v>
                </c:pt>
                <c:pt idx="15">
                  <c:v>1.5</c:v>
                </c:pt>
                <c:pt idx="16">
                  <c:v>1.5665290000000001</c:v>
                </c:pt>
                <c:pt idx="17">
                  <c:v>2</c:v>
                </c:pt>
                <c:pt idx="18">
                  <c:v>2.473535</c:v>
                </c:pt>
                <c:pt idx="19">
                  <c:v>2.5</c:v>
                </c:pt>
                <c:pt idx="20">
                  <c:v>3</c:v>
                </c:pt>
                <c:pt idx="21">
                  <c:v>3.3690609999999999</c:v>
                </c:pt>
                <c:pt idx="22">
                  <c:v>3.5</c:v>
                </c:pt>
                <c:pt idx="23">
                  <c:v>4</c:v>
                </c:pt>
                <c:pt idx="24">
                  <c:v>4.2793409999999996</c:v>
                </c:pt>
                <c:pt idx="25">
                  <c:v>4.5</c:v>
                </c:pt>
                <c:pt idx="26">
                  <c:v>5</c:v>
                </c:pt>
                <c:pt idx="27">
                  <c:v>5.190804</c:v>
                </c:pt>
                <c:pt idx="28">
                  <c:v>5.5</c:v>
                </c:pt>
                <c:pt idx="29">
                  <c:v>6</c:v>
                </c:pt>
                <c:pt idx="30">
                  <c:v>6.0177829999999997</c:v>
                </c:pt>
                <c:pt idx="31">
                  <c:v>6.5</c:v>
                </c:pt>
                <c:pt idx="32">
                  <c:v>6.7816270000000003</c:v>
                </c:pt>
                <c:pt idx="33">
                  <c:v>7</c:v>
                </c:pt>
                <c:pt idx="34">
                  <c:v>7.5</c:v>
                </c:pt>
                <c:pt idx="35">
                  <c:v>7.55572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</c:numCache>
            </c:numRef>
          </c:xVal>
          <c:yVal>
            <c:numRef>
              <c:f>liftdragratio_data!$G$2:$G$58</c:f>
              <c:numCache>
                <c:formatCode>General</c:formatCode>
                <c:ptCount val="57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  <c:pt idx="23">
                  <c:v>-200</c:v>
                </c:pt>
                <c:pt idx="24">
                  <c:v>-200</c:v>
                </c:pt>
                <c:pt idx="25">
                  <c:v>-200</c:v>
                </c:pt>
                <c:pt idx="26">
                  <c:v>-200</c:v>
                </c:pt>
                <c:pt idx="27">
                  <c:v>-200</c:v>
                </c:pt>
                <c:pt idx="28">
                  <c:v>-200</c:v>
                </c:pt>
                <c:pt idx="29">
                  <c:v>-200</c:v>
                </c:pt>
                <c:pt idx="30">
                  <c:v>-200</c:v>
                </c:pt>
                <c:pt idx="31">
                  <c:v>-200</c:v>
                </c:pt>
                <c:pt idx="32">
                  <c:v>-200</c:v>
                </c:pt>
                <c:pt idx="33">
                  <c:v>-200</c:v>
                </c:pt>
                <c:pt idx="34">
                  <c:v>-200</c:v>
                </c:pt>
                <c:pt idx="35">
                  <c:v>-200</c:v>
                </c:pt>
                <c:pt idx="36">
                  <c:v>-200</c:v>
                </c:pt>
                <c:pt idx="37">
                  <c:v>-200</c:v>
                </c:pt>
                <c:pt idx="38">
                  <c:v>-200</c:v>
                </c:pt>
                <c:pt idx="39">
                  <c:v>-200</c:v>
                </c:pt>
                <c:pt idx="40">
                  <c:v>-200</c:v>
                </c:pt>
                <c:pt idx="41">
                  <c:v>-200</c:v>
                </c:pt>
                <c:pt idx="42">
                  <c:v>-200</c:v>
                </c:pt>
                <c:pt idx="43">
                  <c:v>-200</c:v>
                </c:pt>
                <c:pt idx="44">
                  <c:v>-200</c:v>
                </c:pt>
                <c:pt idx="45">
                  <c:v>-200</c:v>
                </c:pt>
                <c:pt idx="46">
                  <c:v>-200</c:v>
                </c:pt>
                <c:pt idx="47">
                  <c:v>-200</c:v>
                </c:pt>
                <c:pt idx="48">
                  <c:v>-200</c:v>
                </c:pt>
                <c:pt idx="49">
                  <c:v>-200</c:v>
                </c:pt>
                <c:pt idx="50">
                  <c:v>-200</c:v>
                </c:pt>
                <c:pt idx="51">
                  <c:v>-200</c:v>
                </c:pt>
                <c:pt idx="52">
                  <c:v>-200</c:v>
                </c:pt>
                <c:pt idx="53">
                  <c:v>-200</c:v>
                </c:pt>
                <c:pt idx="54">
                  <c:v>-200</c:v>
                </c:pt>
                <c:pt idx="55">
                  <c:v>-200</c:v>
                </c:pt>
                <c:pt idx="56">
                  <c:v>-200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CB-4144-B1D2-2DC01FA245B9}"/>
            </c:ext>
          </c:extLst>
        </c:ser>
        <c:ser>
          <c:idx val="3"/>
          <c:order val="3"/>
          <c:tx>
            <c:v>NACA 63-215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liftdragratio_data!$M$2:$M$60</c:f>
              <c:numCache>
                <c:formatCode>General</c:formatCode>
                <c:ptCount val="59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-1.557393</c:v>
                </c:pt>
                <c:pt idx="8">
                  <c:v>-1.5</c:v>
                </c:pt>
                <c:pt idx="9">
                  <c:v>-1</c:v>
                </c:pt>
                <c:pt idx="10">
                  <c:v>-0.71646410000000005</c:v>
                </c:pt>
                <c:pt idx="11">
                  <c:v>-0.5</c:v>
                </c:pt>
                <c:pt idx="12">
                  <c:v>0</c:v>
                </c:pt>
                <c:pt idx="13">
                  <c:v>0.12679319999999999</c:v>
                </c:pt>
                <c:pt idx="14">
                  <c:v>0.5</c:v>
                </c:pt>
                <c:pt idx="15">
                  <c:v>0.97304809999999997</c:v>
                </c:pt>
                <c:pt idx="16">
                  <c:v>1</c:v>
                </c:pt>
                <c:pt idx="17">
                  <c:v>1.5</c:v>
                </c:pt>
                <c:pt idx="18">
                  <c:v>1.8213539999999999</c:v>
                </c:pt>
                <c:pt idx="19">
                  <c:v>2</c:v>
                </c:pt>
                <c:pt idx="20">
                  <c:v>2.5</c:v>
                </c:pt>
                <c:pt idx="21">
                  <c:v>2.6740810000000002</c:v>
                </c:pt>
                <c:pt idx="22">
                  <c:v>3</c:v>
                </c:pt>
                <c:pt idx="23">
                  <c:v>3.5</c:v>
                </c:pt>
                <c:pt idx="24">
                  <c:v>3.5432869999999999</c:v>
                </c:pt>
                <c:pt idx="25">
                  <c:v>4</c:v>
                </c:pt>
                <c:pt idx="26">
                  <c:v>4.4770329999999996</c:v>
                </c:pt>
                <c:pt idx="27">
                  <c:v>4.5</c:v>
                </c:pt>
                <c:pt idx="28">
                  <c:v>5</c:v>
                </c:pt>
                <c:pt idx="29">
                  <c:v>5.4388930000000002</c:v>
                </c:pt>
                <c:pt idx="30">
                  <c:v>5.5</c:v>
                </c:pt>
                <c:pt idx="31">
                  <c:v>6</c:v>
                </c:pt>
                <c:pt idx="32">
                  <c:v>6.3819189999999999</c:v>
                </c:pt>
                <c:pt idx="33">
                  <c:v>6.5</c:v>
                </c:pt>
                <c:pt idx="34">
                  <c:v>7</c:v>
                </c:pt>
                <c:pt idx="35">
                  <c:v>7.3215000000000003</c:v>
                </c:pt>
                <c:pt idx="36">
                  <c:v>7.5</c:v>
                </c:pt>
                <c:pt idx="37">
                  <c:v>8</c:v>
                </c:pt>
                <c:pt idx="38">
                  <c:v>8.2800619999999991</c:v>
                </c:pt>
                <c:pt idx="39">
                  <c:v>8.5</c:v>
                </c:pt>
                <c:pt idx="40">
                  <c:v>10</c:v>
                </c:pt>
                <c:pt idx="41">
                  <c:v>10.295249999999999</c:v>
                </c:pt>
                <c:pt idx="42">
                  <c:v>10.5</c:v>
                </c:pt>
                <c:pt idx="43">
                  <c:v>11</c:v>
                </c:pt>
                <c:pt idx="44">
                  <c:v>11.5</c:v>
                </c:pt>
                <c:pt idx="45">
                  <c:v>12</c:v>
                </c:pt>
                <c:pt idx="46">
                  <c:v>12.5</c:v>
                </c:pt>
                <c:pt idx="47">
                  <c:v>13</c:v>
                </c:pt>
                <c:pt idx="48">
                  <c:v>13.5</c:v>
                </c:pt>
                <c:pt idx="49">
                  <c:v>14</c:v>
                </c:pt>
                <c:pt idx="50">
                  <c:v>14.5</c:v>
                </c:pt>
                <c:pt idx="51">
                  <c:v>14.94078</c:v>
                </c:pt>
                <c:pt idx="52">
                  <c:v>15</c:v>
                </c:pt>
                <c:pt idx="53">
                  <c:v>15.5</c:v>
                </c:pt>
                <c:pt idx="54">
                  <c:v>16</c:v>
                </c:pt>
                <c:pt idx="55">
                  <c:v>16.5</c:v>
                </c:pt>
                <c:pt idx="56">
                  <c:v>17</c:v>
                </c:pt>
                <c:pt idx="57">
                  <c:v>17.5</c:v>
                </c:pt>
                <c:pt idx="58">
                  <c:v>18</c:v>
                </c:pt>
              </c:numCache>
            </c:numRef>
          </c:xVal>
          <c:yVal>
            <c:numRef>
              <c:f>liftdragratio_data!$O$2:$O$60</c:f>
              <c:numCache>
                <c:formatCode>General</c:formatCode>
                <c:ptCount val="59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  <c:pt idx="23">
                  <c:v>-200</c:v>
                </c:pt>
                <c:pt idx="24">
                  <c:v>-200</c:v>
                </c:pt>
                <c:pt idx="25">
                  <c:v>-200</c:v>
                </c:pt>
                <c:pt idx="26">
                  <c:v>-200</c:v>
                </c:pt>
                <c:pt idx="27">
                  <c:v>-200</c:v>
                </c:pt>
                <c:pt idx="28">
                  <c:v>-200</c:v>
                </c:pt>
                <c:pt idx="29">
                  <c:v>-200</c:v>
                </c:pt>
                <c:pt idx="30">
                  <c:v>-200</c:v>
                </c:pt>
                <c:pt idx="31">
                  <c:v>-200</c:v>
                </c:pt>
                <c:pt idx="32">
                  <c:v>-200</c:v>
                </c:pt>
                <c:pt idx="33">
                  <c:v>-200</c:v>
                </c:pt>
                <c:pt idx="34">
                  <c:v>-200</c:v>
                </c:pt>
                <c:pt idx="35">
                  <c:v>-200</c:v>
                </c:pt>
                <c:pt idx="36">
                  <c:v>-200</c:v>
                </c:pt>
                <c:pt idx="37">
                  <c:v>-200</c:v>
                </c:pt>
                <c:pt idx="38">
                  <c:v>-200</c:v>
                </c:pt>
                <c:pt idx="39">
                  <c:v>-200</c:v>
                </c:pt>
                <c:pt idx="40">
                  <c:v>-200</c:v>
                </c:pt>
                <c:pt idx="41">
                  <c:v>-200</c:v>
                </c:pt>
                <c:pt idx="42">
                  <c:v>-200</c:v>
                </c:pt>
                <c:pt idx="43">
                  <c:v>-200</c:v>
                </c:pt>
                <c:pt idx="44">
                  <c:v>-200</c:v>
                </c:pt>
                <c:pt idx="45">
                  <c:v>-200</c:v>
                </c:pt>
                <c:pt idx="46">
                  <c:v>-200</c:v>
                </c:pt>
                <c:pt idx="47">
                  <c:v>-200</c:v>
                </c:pt>
                <c:pt idx="48">
                  <c:v>-200</c:v>
                </c:pt>
                <c:pt idx="49">
                  <c:v>-200</c:v>
                </c:pt>
                <c:pt idx="50">
                  <c:v>-200</c:v>
                </c:pt>
                <c:pt idx="51">
                  <c:v>-200</c:v>
                </c:pt>
                <c:pt idx="52">
                  <c:v>-200</c:v>
                </c:pt>
                <c:pt idx="53">
                  <c:v>-200</c:v>
                </c:pt>
                <c:pt idx="54">
                  <c:v>-200</c:v>
                </c:pt>
                <c:pt idx="55">
                  <c:v>-200</c:v>
                </c:pt>
                <c:pt idx="56">
                  <c:v>-200</c:v>
                </c:pt>
                <c:pt idx="57">
                  <c:v>-200</c:v>
                </c:pt>
                <c:pt idx="58">
                  <c:v>-200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CB-4144-B1D2-2DC01FA24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16384"/>
        <c:axId val="91620224"/>
      </c:scatterChart>
      <c:valAx>
        <c:axId val="91616384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Angle of attack, </a:t>
                </a:r>
                <a:r>
                  <a:rPr lang="el-GR" sz="900" b="0" i="0" u="none" strike="noStrike" kern="120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α</a:t>
                </a:r>
                <a:r>
                  <a:rPr lang="en-US" sz="900" b="0" i="0" u="none" strike="noStrike" kern="120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(deg)</a:t>
                </a:r>
                <a:endParaRPr lang="en-GB" sz="900" b="0" i="0" u="none" strike="noStrike" kern="1200" baseline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0.35411172971741767"/>
              <c:y val="0.92844470146963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91620224"/>
        <c:crosses val="autoZero"/>
        <c:crossBetween val="midCat"/>
        <c:majorUnit val="5"/>
      </c:valAx>
      <c:valAx>
        <c:axId val="91620224"/>
        <c:scaling>
          <c:orientation val="minMax"/>
          <c:max val="150"/>
          <c:min val="-100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Lift-to-drag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ratio,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l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/C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d</a:t>
                </a:r>
                <a:r>
                  <a:rPr lang="en-GB" sz="900" i="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</a:t>
                </a:r>
                <a:endParaRPr lang="en-GB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4.9728979318815467E-2"/>
              <c:y val="0.394868370281773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91616384"/>
        <c:crosses val="autoZero"/>
        <c:crossBetween val="midCat"/>
      </c:valAx>
      <c:spPr>
        <a:noFill/>
        <a:ln w="3175">
          <a:noFill/>
        </a:ln>
        <a:effectLst/>
      </c:spPr>
    </c:plotArea>
    <c:legend>
      <c:legendPos val="r"/>
      <c:layout>
        <c:manualLayout>
          <c:xMode val="edge"/>
          <c:yMode val="edge"/>
          <c:x val="0.81018691777405516"/>
          <c:y val="0.14518659531331038"/>
          <c:w val="0.15280621732975433"/>
          <c:h val="0.21109328827480825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120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rPr>
              <a:t>Pressure coefficient distribution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Re = 3 </a:t>
            </a:r>
            <a:r>
              <a:rPr lang="en-GB" sz="6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✕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C</a:t>
            </a:r>
            <a:r>
              <a:rPr lang="en-GB" sz="900" b="0" i="0" u="none" strike="noStrike" baseline="-25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l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= 0.4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r>
              <a:rPr lang="en-GB" sz="900">
                <a:solidFill>
                  <a:schemeClr val="tx1"/>
                </a:solidFill>
                <a:latin typeface="Cambria Math" panose="02040503050406030204" pitchFamily="18" charset="0"/>
                <a:ea typeface="Cambria Math" panose="02040503050406030204" pitchFamily="18" charset="0"/>
                <a:cs typeface="Segoe UI Semibold" panose="020B0702040204020203" pitchFamily="34" charset="0"/>
              </a:rPr>
              <a:t> </a:t>
            </a:r>
          </a:p>
        </c:rich>
      </c:tx>
      <c:layout>
        <c:manualLayout>
          <c:xMode val="edge"/>
          <c:yMode val="edge"/>
          <c:x val="8.0318862169255864E-2"/>
          <c:y val="2.36097784573599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79823803250937E-2"/>
          <c:y val="0.17093855576452166"/>
          <c:w val="0.67581240649233754"/>
          <c:h val="0.70680610263248767"/>
        </c:manualLayout>
      </c:layout>
      <c:scatterChart>
        <c:scatterStyle val="smoothMarker"/>
        <c:varyColors val="0"/>
        <c:ser>
          <c:idx val="0"/>
          <c:order val="0"/>
          <c:tx>
            <c:v>NACA 0012 (Viscous)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cp_data!$A$2:$A$100</c:f>
              <c:numCache>
                <c:formatCode>0.0000</c:formatCode>
                <c:ptCount val="99"/>
                <c:pt idx="0">
                  <c:v>1</c:v>
                </c:pt>
                <c:pt idx="1">
                  <c:v>0.99280060000000003</c:v>
                </c:pt>
                <c:pt idx="2">
                  <c:v>0.97988949999999997</c:v>
                </c:pt>
                <c:pt idx="3">
                  <c:v>0.9635184</c:v>
                </c:pt>
                <c:pt idx="4">
                  <c:v>0.94454689999999997</c:v>
                </c:pt>
                <c:pt idx="5">
                  <c:v>0.92349979999999998</c:v>
                </c:pt>
                <c:pt idx="6">
                  <c:v>0.90074949999999998</c:v>
                </c:pt>
                <c:pt idx="7">
                  <c:v>0.876583</c:v>
                </c:pt>
                <c:pt idx="8">
                  <c:v>0.85123280000000001</c:v>
                </c:pt>
                <c:pt idx="9">
                  <c:v>0.82489440000000003</c:v>
                </c:pt>
                <c:pt idx="10">
                  <c:v>0.79773620000000001</c:v>
                </c:pt>
                <c:pt idx="11">
                  <c:v>0.76990630000000004</c:v>
                </c:pt>
                <c:pt idx="12">
                  <c:v>0.74153729999999995</c:v>
                </c:pt>
                <c:pt idx="13">
                  <c:v>0.71274870000000001</c:v>
                </c:pt>
                <c:pt idx="14">
                  <c:v>0.68364999999999998</c:v>
                </c:pt>
                <c:pt idx="15">
                  <c:v>0.65434190000000003</c:v>
                </c:pt>
                <c:pt idx="16">
                  <c:v>0.62491819999999998</c:v>
                </c:pt>
                <c:pt idx="17">
                  <c:v>0.5954661</c:v>
                </c:pt>
                <c:pt idx="18">
                  <c:v>0.56606769999999995</c:v>
                </c:pt>
                <c:pt idx="19">
                  <c:v>0.53680050000000001</c:v>
                </c:pt>
                <c:pt idx="20">
                  <c:v>0.50773780000000002</c:v>
                </c:pt>
                <c:pt idx="21">
                  <c:v>0.47894910000000002</c:v>
                </c:pt>
                <c:pt idx="22">
                  <c:v>0.45050109999999999</c:v>
                </c:pt>
                <c:pt idx="23">
                  <c:v>0.42245709999999997</c:v>
                </c:pt>
                <c:pt idx="24">
                  <c:v>0.39487820000000001</c:v>
                </c:pt>
                <c:pt idx="25">
                  <c:v>0.36782290000000001</c:v>
                </c:pt>
                <c:pt idx="26">
                  <c:v>0.34134759999999997</c:v>
                </c:pt>
                <c:pt idx="27">
                  <c:v>0.31550650000000002</c:v>
                </c:pt>
                <c:pt idx="28">
                  <c:v>0.29035240000000001</c:v>
                </c:pt>
                <c:pt idx="29">
                  <c:v>0.26593610000000001</c:v>
                </c:pt>
                <c:pt idx="30">
                  <c:v>0.24230679999999999</c:v>
                </c:pt>
                <c:pt idx="31">
                  <c:v>0.2195125</c:v>
                </c:pt>
                <c:pt idx="32">
                  <c:v>0.19759979999999999</c:v>
                </c:pt>
                <c:pt idx="33">
                  <c:v>0.17661379999999999</c:v>
                </c:pt>
                <c:pt idx="34">
                  <c:v>0.15659880000000001</c:v>
                </c:pt>
                <c:pt idx="35">
                  <c:v>0.13759769999999999</c:v>
                </c:pt>
                <c:pt idx="36">
                  <c:v>0.11965249999999999</c:v>
                </c:pt>
                <c:pt idx="37">
                  <c:v>0.1028043</c:v>
                </c:pt>
                <c:pt idx="38">
                  <c:v>8.7093089999999998E-2</c:v>
                </c:pt>
                <c:pt idx="39">
                  <c:v>7.2558159999999997E-2</c:v>
                </c:pt>
                <c:pt idx="40">
                  <c:v>5.9237919999999999E-2</c:v>
                </c:pt>
                <c:pt idx="41">
                  <c:v>4.7170009999999998E-2</c:v>
                </c:pt>
                <c:pt idx="42">
                  <c:v>3.6391319999999998E-2</c:v>
                </c:pt>
                <c:pt idx="43">
                  <c:v>2.693808E-2</c:v>
                </c:pt>
                <c:pt idx="44">
                  <c:v>1.8845810000000001E-2</c:v>
                </c:pt>
                <c:pt idx="45">
                  <c:v>1.2149419999999999E-2</c:v>
                </c:pt>
                <c:pt idx="46">
                  <c:v>6.8831980000000001E-3</c:v>
                </c:pt>
                <c:pt idx="47">
                  <c:v>3.0808680000000001E-3</c:v>
                </c:pt>
                <c:pt idx="48">
                  <c:v>7.7559169999999998E-4</c:v>
                </c:pt>
                <c:pt idx="49">
                  <c:v>0</c:v>
                </c:pt>
                <c:pt idx="50">
                  <c:v>7.7559169999999998E-4</c:v>
                </c:pt>
                <c:pt idx="51">
                  <c:v>3.0808680000000001E-3</c:v>
                </c:pt>
                <c:pt idx="52">
                  <c:v>6.8831980000000001E-3</c:v>
                </c:pt>
                <c:pt idx="53">
                  <c:v>1.2149419999999999E-2</c:v>
                </c:pt>
                <c:pt idx="54">
                  <c:v>1.8845810000000001E-2</c:v>
                </c:pt>
                <c:pt idx="55">
                  <c:v>2.693808E-2</c:v>
                </c:pt>
                <c:pt idx="56">
                  <c:v>3.6391319999999998E-2</c:v>
                </c:pt>
                <c:pt idx="57">
                  <c:v>4.7170009999999998E-2</c:v>
                </c:pt>
                <c:pt idx="58">
                  <c:v>5.9237919999999999E-2</c:v>
                </c:pt>
                <c:pt idx="59">
                  <c:v>7.2558159999999997E-2</c:v>
                </c:pt>
                <c:pt idx="60">
                  <c:v>8.7093089999999998E-2</c:v>
                </c:pt>
                <c:pt idx="61">
                  <c:v>0.1028043</c:v>
                </c:pt>
                <c:pt idx="62">
                  <c:v>0.11965249999999999</c:v>
                </c:pt>
                <c:pt idx="63">
                  <c:v>0.13759769999999999</c:v>
                </c:pt>
                <c:pt idx="64">
                  <c:v>0.15659880000000001</c:v>
                </c:pt>
                <c:pt idx="65">
                  <c:v>0.17661379999999999</c:v>
                </c:pt>
                <c:pt idx="66">
                  <c:v>0.19759979999999999</c:v>
                </c:pt>
                <c:pt idx="67">
                  <c:v>0.2195125</c:v>
                </c:pt>
                <c:pt idx="68">
                  <c:v>0.24230679999999999</c:v>
                </c:pt>
                <c:pt idx="69">
                  <c:v>0.26593610000000001</c:v>
                </c:pt>
                <c:pt idx="70">
                  <c:v>0.29035240000000001</c:v>
                </c:pt>
                <c:pt idx="71">
                  <c:v>0.31550650000000002</c:v>
                </c:pt>
                <c:pt idx="72">
                  <c:v>0.34134759999999997</c:v>
                </c:pt>
                <c:pt idx="73">
                  <c:v>0.36782290000000001</c:v>
                </c:pt>
                <c:pt idx="74">
                  <c:v>0.39487820000000001</c:v>
                </c:pt>
                <c:pt idx="75">
                  <c:v>0.42245709999999997</c:v>
                </c:pt>
                <c:pt idx="76">
                  <c:v>0.45050109999999999</c:v>
                </c:pt>
                <c:pt idx="77">
                  <c:v>0.47894910000000002</c:v>
                </c:pt>
                <c:pt idx="78">
                  <c:v>0.50773780000000002</c:v>
                </c:pt>
                <c:pt idx="79">
                  <c:v>0.53680050000000001</c:v>
                </c:pt>
                <c:pt idx="80">
                  <c:v>0.56606769999999995</c:v>
                </c:pt>
                <c:pt idx="81">
                  <c:v>0.5954661</c:v>
                </c:pt>
                <c:pt idx="82">
                  <c:v>0.62491819999999998</c:v>
                </c:pt>
                <c:pt idx="83">
                  <c:v>0.65434190000000003</c:v>
                </c:pt>
                <c:pt idx="84">
                  <c:v>0.68364999999999998</c:v>
                </c:pt>
                <c:pt idx="85">
                  <c:v>0.71274870000000001</c:v>
                </c:pt>
                <c:pt idx="86">
                  <c:v>0.74153729999999995</c:v>
                </c:pt>
                <c:pt idx="87">
                  <c:v>0.76990630000000004</c:v>
                </c:pt>
                <c:pt idx="88">
                  <c:v>0.79773620000000001</c:v>
                </c:pt>
                <c:pt idx="89">
                  <c:v>0.82489440000000003</c:v>
                </c:pt>
                <c:pt idx="90">
                  <c:v>0.85123280000000001</c:v>
                </c:pt>
                <c:pt idx="91">
                  <c:v>0.876583</c:v>
                </c:pt>
                <c:pt idx="92">
                  <c:v>0.90074949999999998</c:v>
                </c:pt>
                <c:pt idx="93">
                  <c:v>0.92349979999999998</c:v>
                </c:pt>
                <c:pt idx="94">
                  <c:v>0.94454689999999997</c:v>
                </c:pt>
                <c:pt idx="95">
                  <c:v>0.9635184</c:v>
                </c:pt>
                <c:pt idx="96">
                  <c:v>0.97988949999999997</c:v>
                </c:pt>
                <c:pt idx="97">
                  <c:v>0.99280060000000003</c:v>
                </c:pt>
                <c:pt idx="98">
                  <c:v>1</c:v>
                </c:pt>
              </c:numCache>
            </c:numRef>
          </c:xVal>
          <c:yVal>
            <c:numRef>
              <c:f>cp_data!$C$2:$C$100</c:f>
              <c:numCache>
                <c:formatCode>0.0000</c:formatCode>
                <c:ptCount val="99"/>
                <c:pt idx="0">
                  <c:v>0.21402270000000001</c:v>
                </c:pt>
                <c:pt idx="1">
                  <c:v>0.19479260000000001</c:v>
                </c:pt>
                <c:pt idx="2">
                  <c:v>0.1586717</c:v>
                </c:pt>
                <c:pt idx="3">
                  <c:v>0.1200647</c:v>
                </c:pt>
                <c:pt idx="4">
                  <c:v>8.2495789999999999E-2</c:v>
                </c:pt>
                <c:pt idx="5">
                  <c:v>4.7398330000000002E-2</c:v>
                </c:pt>
                <c:pt idx="6">
                  <c:v>1.490523E-2</c:v>
                </c:pt>
                <c:pt idx="7">
                  <c:v>-1.5276420000000001E-2</c:v>
                </c:pt>
                <c:pt idx="8">
                  <c:v>-4.3569530000000002E-2</c:v>
                </c:pt>
                <c:pt idx="9">
                  <c:v>-7.0427039999999996E-2</c:v>
                </c:pt>
                <c:pt idx="10">
                  <c:v>-9.6202739999999995E-2</c:v>
                </c:pt>
                <c:pt idx="11">
                  <c:v>-0.12120209999999999</c:v>
                </c:pt>
                <c:pt idx="12">
                  <c:v>-0.14569660000000001</c:v>
                </c:pt>
                <c:pt idx="13">
                  <c:v>-0.1699175</c:v>
                </c:pt>
                <c:pt idx="14">
                  <c:v>-0.19406000000000001</c:v>
                </c:pt>
                <c:pt idx="15">
                  <c:v>-0.21828919999999999</c:v>
                </c:pt>
                <c:pt idx="16">
                  <c:v>-0.24274370000000001</c:v>
                </c:pt>
                <c:pt idx="17">
                  <c:v>-0.26753850000000001</c:v>
                </c:pt>
                <c:pt idx="18">
                  <c:v>-0.2927669</c:v>
                </c:pt>
                <c:pt idx="19">
                  <c:v>-0.31850289999999998</c:v>
                </c:pt>
                <c:pt idx="20">
                  <c:v>-0.3448022</c:v>
                </c:pt>
                <c:pt idx="21">
                  <c:v>-0.37170449999999999</c:v>
                </c:pt>
                <c:pt idx="22">
                  <c:v>-0.39923429999999999</c:v>
                </c:pt>
                <c:pt idx="23">
                  <c:v>-0.42740250000000002</c:v>
                </c:pt>
                <c:pt idx="24">
                  <c:v>-0.45620630000000001</c:v>
                </c:pt>
                <c:pt idx="25">
                  <c:v>-0.4856279</c:v>
                </c:pt>
                <c:pt idx="26">
                  <c:v>-0.51562680000000005</c:v>
                </c:pt>
                <c:pt idx="27">
                  <c:v>-0.54612110000000003</c:v>
                </c:pt>
                <c:pt idx="28">
                  <c:v>-0.5769398</c:v>
                </c:pt>
                <c:pt idx="29">
                  <c:v>-0.60770489999999999</c:v>
                </c:pt>
                <c:pt idx="30">
                  <c:v>-0.6376676</c:v>
                </c:pt>
                <c:pt idx="31">
                  <c:v>-0.66655070000000005</c:v>
                </c:pt>
                <c:pt idx="32">
                  <c:v>-0.69809080000000001</c:v>
                </c:pt>
                <c:pt idx="33">
                  <c:v>-0.76598259999999996</c:v>
                </c:pt>
                <c:pt idx="34">
                  <c:v>-0.79879920000000004</c:v>
                </c:pt>
                <c:pt idx="35">
                  <c:v>-0.83450519999999995</c:v>
                </c:pt>
                <c:pt idx="36">
                  <c:v>-0.87432670000000001</c:v>
                </c:pt>
                <c:pt idx="37">
                  <c:v>-0.91722559999999997</c:v>
                </c:pt>
                <c:pt idx="38">
                  <c:v>-0.96324390000000004</c:v>
                </c:pt>
                <c:pt idx="39">
                  <c:v>-1.0126520000000001</c:v>
                </c:pt>
                <c:pt idx="40">
                  <c:v>-1.065669</c:v>
                </c:pt>
                <c:pt idx="41">
                  <c:v>-1.122106</c:v>
                </c:pt>
                <c:pt idx="42">
                  <c:v>-1.1806620000000001</c:v>
                </c:pt>
                <c:pt idx="43">
                  <c:v>-1.237357</c:v>
                </c:pt>
                <c:pt idx="44">
                  <c:v>-1.2824089999999999</c:v>
                </c:pt>
                <c:pt idx="45">
                  <c:v>-1.2908949999999999</c:v>
                </c:pt>
                <c:pt idx="46">
                  <c:v>-1.213897</c:v>
                </c:pt>
                <c:pt idx="47">
                  <c:v>-0.94921259999999996</c:v>
                </c:pt>
                <c:pt idx="48">
                  <c:v>-0.39850020000000003</c:v>
                </c:pt>
                <c:pt idx="49">
                  <c:v>0.33323979999999997</c:v>
                </c:pt>
                <c:pt idx="50">
                  <c:v>0.85223269999999995</c:v>
                </c:pt>
                <c:pt idx="51">
                  <c:v>0.99995509999999999</c:v>
                </c:pt>
                <c:pt idx="52">
                  <c:v>0.9111515</c:v>
                </c:pt>
                <c:pt idx="53">
                  <c:v>0.74953530000000002</c:v>
                </c:pt>
                <c:pt idx="54">
                  <c:v>0.58939799999999998</c:v>
                </c:pt>
                <c:pt idx="55">
                  <c:v>0.45187519999999998</c:v>
                </c:pt>
                <c:pt idx="56">
                  <c:v>0.33917249999999999</c:v>
                </c:pt>
                <c:pt idx="57">
                  <c:v>0.24764340000000001</c:v>
                </c:pt>
                <c:pt idx="58">
                  <c:v>0.1734416</c:v>
                </c:pt>
                <c:pt idx="59">
                  <c:v>0.11296100000000001</c:v>
                </c:pt>
                <c:pt idx="60">
                  <c:v>6.351598E-2</c:v>
                </c:pt>
                <c:pt idx="61">
                  <c:v>2.2998919999999999E-2</c:v>
                </c:pt>
                <c:pt idx="62">
                  <c:v>-1.0173750000000001E-2</c:v>
                </c:pt>
                <c:pt idx="63">
                  <c:v>-3.722089E-2</c:v>
                </c:pt>
                <c:pt idx="64">
                  <c:v>-5.9091490000000003E-2</c:v>
                </c:pt>
                <c:pt idx="65">
                  <c:v>-7.6539540000000003E-2</c:v>
                </c:pt>
                <c:pt idx="66">
                  <c:v>-9.0177069999999998E-2</c:v>
                </c:pt>
                <c:pt idx="67">
                  <c:v>-0.100512</c:v>
                </c:pt>
                <c:pt idx="68">
                  <c:v>-0.10797470000000001</c:v>
                </c:pt>
                <c:pt idx="69">
                  <c:v>-0.112937</c:v>
                </c:pt>
                <c:pt idx="70">
                  <c:v>-0.1157248</c:v>
                </c:pt>
                <c:pt idx="71">
                  <c:v>-0.1166268</c:v>
                </c:pt>
                <c:pt idx="72">
                  <c:v>-0.1159009</c:v>
                </c:pt>
                <c:pt idx="73">
                  <c:v>-0.1137777</c:v>
                </c:pt>
                <c:pt idx="74">
                  <c:v>-0.11046350000000001</c:v>
                </c:pt>
                <c:pt idx="75">
                  <c:v>-0.106142</c:v>
                </c:pt>
                <c:pt idx="76">
                  <c:v>-0.10097490000000001</c:v>
                </c:pt>
                <c:pt idx="77">
                  <c:v>-9.5102359999999997E-2</c:v>
                </c:pt>
                <c:pt idx="78">
                  <c:v>-8.8643799999999995E-2</c:v>
                </c:pt>
                <c:pt idx="79">
                  <c:v>-8.1697729999999996E-2</c:v>
                </c:pt>
                <c:pt idx="80">
                  <c:v>-7.4342240000000004E-2</c:v>
                </c:pt>
                <c:pt idx="81">
                  <c:v>-6.6635769999999997E-2</c:v>
                </c:pt>
                <c:pt idx="82">
                  <c:v>-5.8618620000000003E-2</c:v>
                </c:pt>
                <c:pt idx="83">
                  <c:v>-5.0316199999999998E-2</c:v>
                </c:pt>
                <c:pt idx="84">
                  <c:v>-4.1745690000000002E-2</c:v>
                </c:pt>
                <c:pt idx="85">
                  <c:v>-3.2929880000000002E-2</c:v>
                </c:pt>
                <c:pt idx="86">
                  <c:v>-2.3926900000000001E-2</c:v>
                </c:pt>
                <c:pt idx="87">
                  <c:v>-1.489131E-2</c:v>
                </c:pt>
                <c:pt idx="88">
                  <c:v>-6.2407920000000002E-3</c:v>
                </c:pt>
                <c:pt idx="89">
                  <c:v>8.4862610000000004E-4</c:v>
                </c:pt>
                <c:pt idx="90">
                  <c:v>1.5931310000000001E-2</c:v>
                </c:pt>
                <c:pt idx="91">
                  <c:v>5.0404329999999997E-2</c:v>
                </c:pt>
                <c:pt idx="92">
                  <c:v>6.6858189999999998E-2</c:v>
                </c:pt>
                <c:pt idx="93">
                  <c:v>8.2682179999999994E-2</c:v>
                </c:pt>
                <c:pt idx="94">
                  <c:v>0.10197730000000001</c:v>
                </c:pt>
                <c:pt idx="95">
                  <c:v>0.1260734</c:v>
                </c:pt>
                <c:pt idx="96">
                  <c:v>0.15576010000000001</c:v>
                </c:pt>
                <c:pt idx="97">
                  <c:v>0.1947344</c:v>
                </c:pt>
                <c:pt idx="98">
                  <c:v>0.21402270000000001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03-40A8-BDF6-E8F854991EF5}"/>
            </c:ext>
          </c:extLst>
        </c:ser>
        <c:ser>
          <c:idx val="1"/>
          <c:order val="1"/>
          <c:tx>
            <c:v>NACA 0012 (Inviscid)</c:v>
          </c:tx>
          <c:spPr>
            <a:ln w="12700" cap="rnd">
              <a:solidFill>
                <a:srgbClr val="FFB26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cp_data!$E$2:$E$100</c:f>
              <c:numCache>
                <c:formatCode>0.0000</c:formatCode>
                <c:ptCount val="99"/>
                <c:pt idx="0">
                  <c:v>1</c:v>
                </c:pt>
                <c:pt idx="1">
                  <c:v>0.99280060000000003</c:v>
                </c:pt>
                <c:pt idx="2">
                  <c:v>0.97988949999999997</c:v>
                </c:pt>
                <c:pt idx="3">
                  <c:v>0.9635184</c:v>
                </c:pt>
                <c:pt idx="4">
                  <c:v>0.94454689999999997</c:v>
                </c:pt>
                <c:pt idx="5">
                  <c:v>0.92349979999999998</c:v>
                </c:pt>
                <c:pt idx="6">
                  <c:v>0.90074949999999998</c:v>
                </c:pt>
                <c:pt idx="7">
                  <c:v>0.876583</c:v>
                </c:pt>
                <c:pt idx="8">
                  <c:v>0.85123280000000001</c:v>
                </c:pt>
                <c:pt idx="9">
                  <c:v>0.82489440000000003</c:v>
                </c:pt>
                <c:pt idx="10">
                  <c:v>0.79773620000000001</c:v>
                </c:pt>
                <c:pt idx="11">
                  <c:v>0.76990630000000004</c:v>
                </c:pt>
                <c:pt idx="12">
                  <c:v>0.74153729999999995</c:v>
                </c:pt>
                <c:pt idx="13">
                  <c:v>0.71274870000000001</c:v>
                </c:pt>
                <c:pt idx="14">
                  <c:v>0.68364999999999998</c:v>
                </c:pt>
                <c:pt idx="15">
                  <c:v>0.65434190000000003</c:v>
                </c:pt>
                <c:pt idx="16">
                  <c:v>0.62491819999999998</c:v>
                </c:pt>
                <c:pt idx="17">
                  <c:v>0.5954661</c:v>
                </c:pt>
                <c:pt idx="18">
                  <c:v>0.56606769999999995</c:v>
                </c:pt>
                <c:pt idx="19">
                  <c:v>0.53680050000000001</c:v>
                </c:pt>
                <c:pt idx="20">
                  <c:v>0.50773780000000002</c:v>
                </c:pt>
                <c:pt idx="21">
                  <c:v>0.47894910000000002</c:v>
                </c:pt>
                <c:pt idx="22">
                  <c:v>0.45050109999999999</c:v>
                </c:pt>
                <c:pt idx="23">
                  <c:v>0.42245709999999997</c:v>
                </c:pt>
                <c:pt idx="24">
                  <c:v>0.39487820000000001</c:v>
                </c:pt>
                <c:pt idx="25">
                  <c:v>0.36782290000000001</c:v>
                </c:pt>
                <c:pt idx="26">
                  <c:v>0.34134759999999997</c:v>
                </c:pt>
                <c:pt idx="27">
                  <c:v>0.31550650000000002</c:v>
                </c:pt>
                <c:pt idx="28">
                  <c:v>0.29035240000000001</c:v>
                </c:pt>
                <c:pt idx="29">
                  <c:v>0.26593610000000001</c:v>
                </c:pt>
                <c:pt idx="30">
                  <c:v>0.24230679999999999</c:v>
                </c:pt>
                <c:pt idx="31">
                  <c:v>0.2195125</c:v>
                </c:pt>
                <c:pt idx="32">
                  <c:v>0.19759979999999999</c:v>
                </c:pt>
                <c:pt idx="33">
                  <c:v>0.17661379999999999</c:v>
                </c:pt>
                <c:pt idx="34">
                  <c:v>0.15659880000000001</c:v>
                </c:pt>
                <c:pt idx="35">
                  <c:v>0.13759769999999999</c:v>
                </c:pt>
                <c:pt idx="36">
                  <c:v>0.11965249999999999</c:v>
                </c:pt>
                <c:pt idx="37">
                  <c:v>0.1028043</c:v>
                </c:pt>
                <c:pt idx="38">
                  <c:v>8.7093089999999998E-2</c:v>
                </c:pt>
                <c:pt idx="39">
                  <c:v>7.2558159999999997E-2</c:v>
                </c:pt>
                <c:pt idx="40">
                  <c:v>5.9237919999999999E-2</c:v>
                </c:pt>
                <c:pt idx="41">
                  <c:v>4.7170009999999998E-2</c:v>
                </c:pt>
                <c:pt idx="42">
                  <c:v>3.6391319999999998E-2</c:v>
                </c:pt>
                <c:pt idx="43">
                  <c:v>2.693808E-2</c:v>
                </c:pt>
                <c:pt idx="44">
                  <c:v>1.8845810000000001E-2</c:v>
                </c:pt>
                <c:pt idx="45">
                  <c:v>1.2149419999999999E-2</c:v>
                </c:pt>
                <c:pt idx="46">
                  <c:v>6.8831980000000001E-3</c:v>
                </c:pt>
                <c:pt idx="47">
                  <c:v>3.0808680000000001E-3</c:v>
                </c:pt>
                <c:pt idx="48">
                  <c:v>7.7559169999999998E-4</c:v>
                </c:pt>
                <c:pt idx="49">
                  <c:v>0</c:v>
                </c:pt>
                <c:pt idx="50">
                  <c:v>7.7559169999999998E-4</c:v>
                </c:pt>
                <c:pt idx="51">
                  <c:v>3.0808680000000001E-3</c:v>
                </c:pt>
                <c:pt idx="52">
                  <c:v>6.8831980000000001E-3</c:v>
                </c:pt>
                <c:pt idx="53">
                  <c:v>1.2149419999999999E-2</c:v>
                </c:pt>
                <c:pt idx="54">
                  <c:v>1.8845810000000001E-2</c:v>
                </c:pt>
                <c:pt idx="55">
                  <c:v>2.693808E-2</c:v>
                </c:pt>
                <c:pt idx="56">
                  <c:v>3.6391319999999998E-2</c:v>
                </c:pt>
                <c:pt idx="57">
                  <c:v>4.7170009999999998E-2</c:v>
                </c:pt>
                <c:pt idx="58">
                  <c:v>5.9237919999999999E-2</c:v>
                </c:pt>
                <c:pt idx="59">
                  <c:v>7.2558159999999997E-2</c:v>
                </c:pt>
                <c:pt idx="60">
                  <c:v>8.7093089999999998E-2</c:v>
                </c:pt>
                <c:pt idx="61">
                  <c:v>0.1028043</c:v>
                </c:pt>
                <c:pt idx="62">
                  <c:v>0.11965249999999999</c:v>
                </c:pt>
                <c:pt idx="63">
                  <c:v>0.13759769999999999</c:v>
                </c:pt>
                <c:pt idx="64">
                  <c:v>0.15659880000000001</c:v>
                </c:pt>
                <c:pt idx="65">
                  <c:v>0.17661379999999999</c:v>
                </c:pt>
                <c:pt idx="66">
                  <c:v>0.19759979999999999</c:v>
                </c:pt>
                <c:pt idx="67">
                  <c:v>0.2195125</c:v>
                </c:pt>
                <c:pt idx="68">
                  <c:v>0.24230679999999999</c:v>
                </c:pt>
                <c:pt idx="69">
                  <c:v>0.26593610000000001</c:v>
                </c:pt>
                <c:pt idx="70">
                  <c:v>0.29035240000000001</c:v>
                </c:pt>
                <c:pt idx="71">
                  <c:v>0.31550650000000002</c:v>
                </c:pt>
                <c:pt idx="72">
                  <c:v>0.34134759999999997</c:v>
                </c:pt>
                <c:pt idx="73">
                  <c:v>0.36782290000000001</c:v>
                </c:pt>
                <c:pt idx="74">
                  <c:v>0.39487820000000001</c:v>
                </c:pt>
                <c:pt idx="75">
                  <c:v>0.42245709999999997</c:v>
                </c:pt>
                <c:pt idx="76">
                  <c:v>0.45050109999999999</c:v>
                </c:pt>
                <c:pt idx="77">
                  <c:v>0.47894910000000002</c:v>
                </c:pt>
                <c:pt idx="78">
                  <c:v>0.50773780000000002</c:v>
                </c:pt>
                <c:pt idx="79">
                  <c:v>0.53680050000000001</c:v>
                </c:pt>
                <c:pt idx="80">
                  <c:v>0.56606769999999995</c:v>
                </c:pt>
                <c:pt idx="81">
                  <c:v>0.5954661</c:v>
                </c:pt>
                <c:pt idx="82">
                  <c:v>0.62491819999999998</c:v>
                </c:pt>
                <c:pt idx="83">
                  <c:v>0.65434190000000003</c:v>
                </c:pt>
                <c:pt idx="84">
                  <c:v>0.68364999999999998</c:v>
                </c:pt>
                <c:pt idx="85">
                  <c:v>0.71274870000000001</c:v>
                </c:pt>
                <c:pt idx="86">
                  <c:v>0.74153729999999995</c:v>
                </c:pt>
                <c:pt idx="87">
                  <c:v>0.76990630000000004</c:v>
                </c:pt>
                <c:pt idx="88">
                  <c:v>0.79773620000000001</c:v>
                </c:pt>
                <c:pt idx="89">
                  <c:v>0.82489440000000003</c:v>
                </c:pt>
                <c:pt idx="90">
                  <c:v>0.85123280000000001</c:v>
                </c:pt>
                <c:pt idx="91">
                  <c:v>0.876583</c:v>
                </c:pt>
                <c:pt idx="92">
                  <c:v>0.90074949999999998</c:v>
                </c:pt>
                <c:pt idx="93">
                  <c:v>0.92349979999999998</c:v>
                </c:pt>
                <c:pt idx="94">
                  <c:v>0.94454689999999997</c:v>
                </c:pt>
                <c:pt idx="95">
                  <c:v>0.9635184</c:v>
                </c:pt>
                <c:pt idx="96">
                  <c:v>0.97988949999999997</c:v>
                </c:pt>
                <c:pt idx="97">
                  <c:v>0.99280060000000003</c:v>
                </c:pt>
                <c:pt idx="98">
                  <c:v>1</c:v>
                </c:pt>
              </c:numCache>
            </c:numRef>
          </c:xVal>
          <c:yVal>
            <c:numRef>
              <c:f>cp_data!$G$2:$G$100</c:f>
              <c:numCache>
                <c:formatCode>0.0000</c:formatCode>
                <c:ptCount val="99"/>
                <c:pt idx="0">
                  <c:v>0.41561999999999999</c:v>
                </c:pt>
                <c:pt idx="1">
                  <c:v>0.24097759999999999</c:v>
                </c:pt>
                <c:pt idx="2">
                  <c:v>0.17292370000000001</c:v>
                </c:pt>
                <c:pt idx="3">
                  <c:v>0.1184726</c:v>
                </c:pt>
                <c:pt idx="4">
                  <c:v>7.5119539999999999E-2</c:v>
                </c:pt>
                <c:pt idx="5">
                  <c:v>3.7799850000000003E-2</c:v>
                </c:pt>
                <c:pt idx="6">
                  <c:v>4.5799730000000002E-3</c:v>
                </c:pt>
                <c:pt idx="7">
                  <c:v>-2.5771550000000001E-2</c:v>
                </c:pt>
                <c:pt idx="8">
                  <c:v>-5.4049819999999998E-2</c:v>
                </c:pt>
                <c:pt idx="9">
                  <c:v>-8.0825159999999993E-2</c:v>
                </c:pt>
                <c:pt idx="10">
                  <c:v>-0.1065301</c:v>
                </c:pt>
                <c:pt idx="11">
                  <c:v>-0.13150780000000001</c:v>
                </c:pt>
                <c:pt idx="12">
                  <c:v>-0.15603829999999999</c:v>
                </c:pt>
                <c:pt idx="13">
                  <c:v>-0.18035490000000001</c:v>
                </c:pt>
                <c:pt idx="14">
                  <c:v>-0.20465330000000001</c:v>
                </c:pt>
                <c:pt idx="15">
                  <c:v>-0.22909850000000001</c:v>
                </c:pt>
                <c:pt idx="16">
                  <c:v>-0.25382900000000003</c:v>
                </c:pt>
                <c:pt idx="17">
                  <c:v>-0.27895959999999997</c:v>
                </c:pt>
                <c:pt idx="18">
                  <c:v>-0.30458439999999998</c:v>
                </c:pt>
                <c:pt idx="19">
                  <c:v>-0.33077869999999998</c:v>
                </c:pt>
                <c:pt idx="20">
                  <c:v>-0.3576008</c:v>
                </c:pt>
                <c:pt idx="21">
                  <c:v>-0.3850943</c:v>
                </c:pt>
                <c:pt idx="22">
                  <c:v>-0.41329009999999999</c:v>
                </c:pt>
                <c:pt idx="23">
                  <c:v>-0.44220880000000001</c:v>
                </c:pt>
                <c:pt idx="24">
                  <c:v>-0.47186339999999999</c:v>
                </c:pt>
                <c:pt idx="25">
                  <c:v>-0.50226249999999995</c:v>
                </c:pt>
                <c:pt idx="26">
                  <c:v>-0.53341419999999995</c:v>
                </c:pt>
                <c:pt idx="27">
                  <c:v>-0.5653302</c:v>
                </c:pt>
                <c:pt idx="28">
                  <c:v>-0.59803119999999999</c:v>
                </c:pt>
                <c:pt idx="29">
                  <c:v>-0.63155249999999996</c:v>
                </c:pt>
                <c:pt idx="30">
                  <c:v>-0.66595159999999998</c:v>
                </c:pt>
                <c:pt idx="31">
                  <c:v>-0.70131529999999997</c:v>
                </c:pt>
                <c:pt idx="32">
                  <c:v>-0.73776940000000002</c:v>
                </c:pt>
                <c:pt idx="33">
                  <c:v>-0.77548850000000003</c:v>
                </c:pt>
                <c:pt idx="34">
                  <c:v>-0.81470699999999996</c:v>
                </c:pt>
                <c:pt idx="35">
                  <c:v>-0.85572930000000003</c:v>
                </c:pt>
                <c:pt idx="36">
                  <c:v>-0.89893990000000001</c:v>
                </c:pt>
                <c:pt idx="37">
                  <c:v>-0.94480589999999998</c:v>
                </c:pt>
                <c:pt idx="38">
                  <c:v>-0.99386629999999998</c:v>
                </c:pt>
                <c:pt idx="39">
                  <c:v>-1.0466880000000001</c:v>
                </c:pt>
                <c:pt idx="40">
                  <c:v>-1.103747</c:v>
                </c:pt>
                <c:pt idx="41">
                  <c:v>-1.165138</c:v>
                </c:pt>
                <c:pt idx="42">
                  <c:v>-1.2299089999999999</c:v>
                </c:pt>
                <c:pt idx="43">
                  <c:v>-1.294521</c:v>
                </c:pt>
                <c:pt idx="44">
                  <c:v>-1.3493269999999999</c:v>
                </c:pt>
                <c:pt idx="45">
                  <c:v>-1.3707419999999999</c:v>
                </c:pt>
                <c:pt idx="46">
                  <c:v>-1.305655</c:v>
                </c:pt>
                <c:pt idx="47">
                  <c:v>-1.0524260000000001</c:v>
                </c:pt>
                <c:pt idx="48">
                  <c:v>-0.49506080000000002</c:v>
                </c:pt>
                <c:pt idx="49">
                  <c:v>0.2639398</c:v>
                </c:pt>
                <c:pt idx="50">
                  <c:v>0.82160390000000005</c:v>
                </c:pt>
                <c:pt idx="51">
                  <c:v>0.99929380000000001</c:v>
                </c:pt>
                <c:pt idx="52">
                  <c:v>0.92714569999999996</c:v>
                </c:pt>
                <c:pt idx="53">
                  <c:v>0.77285800000000004</c:v>
                </c:pt>
                <c:pt idx="54">
                  <c:v>0.61530019999999996</c:v>
                </c:pt>
                <c:pt idx="55">
                  <c:v>0.47827150000000002</c:v>
                </c:pt>
                <c:pt idx="56">
                  <c:v>0.3649289</c:v>
                </c:pt>
                <c:pt idx="57">
                  <c:v>0.27248549999999999</c:v>
                </c:pt>
                <c:pt idx="58">
                  <c:v>0.1971617</c:v>
                </c:pt>
                <c:pt idx="59">
                  <c:v>0.1355944</c:v>
                </c:pt>
                <c:pt idx="60">
                  <c:v>8.5101060000000006E-2</c:v>
                </c:pt>
                <c:pt idx="61">
                  <c:v>4.3615800000000003E-2</c:v>
                </c:pt>
                <c:pt idx="62">
                  <c:v>9.5576329999999994E-3</c:v>
                </c:pt>
                <c:pt idx="63">
                  <c:v>-1.8291809999999999E-2</c:v>
                </c:pt>
                <c:pt idx="64">
                  <c:v>-4.0885159999999997E-2</c:v>
                </c:pt>
                <c:pt idx="65">
                  <c:v>-5.8981270000000002E-2</c:v>
                </c:pt>
                <c:pt idx="66">
                  <c:v>-7.3197369999999998E-2</c:v>
                </c:pt>
                <c:pt idx="67">
                  <c:v>-8.4046280000000001E-2</c:v>
                </c:pt>
                <c:pt idx="68">
                  <c:v>-9.1962840000000004E-2</c:v>
                </c:pt>
                <c:pt idx="69">
                  <c:v>-9.7322409999999998E-2</c:v>
                </c:pt>
                <c:pt idx="70">
                  <c:v>-0.1004539</c:v>
                </c:pt>
                <c:pt idx="71">
                  <c:v>-0.1016485</c:v>
                </c:pt>
                <c:pt idx="72">
                  <c:v>-0.1011662</c:v>
                </c:pt>
                <c:pt idx="73">
                  <c:v>-9.9238989999999999E-2</c:v>
                </c:pt>
                <c:pt idx="74">
                  <c:v>-9.6074300000000001E-2</c:v>
                </c:pt>
                <c:pt idx="75">
                  <c:v>-9.1855939999999997E-2</c:v>
                </c:pt>
                <c:pt idx="76">
                  <c:v>-8.6745139999999998E-2</c:v>
                </c:pt>
                <c:pt idx="77">
                  <c:v>-8.0880889999999997E-2</c:v>
                </c:pt>
                <c:pt idx="78">
                  <c:v>-7.4379909999999994E-2</c:v>
                </c:pt>
                <c:pt idx="79">
                  <c:v>-6.7336389999999996E-2</c:v>
                </c:pt>
                <c:pt idx="80">
                  <c:v>-5.9821550000000001E-2</c:v>
                </c:pt>
                <c:pt idx="81">
                  <c:v>-5.1882949999999997E-2</c:v>
                </c:pt>
                <c:pt idx="82">
                  <c:v>-4.3543709999999999E-2</c:v>
                </c:pt>
                <c:pt idx="83">
                  <c:v>-3.480134E-2</c:v>
                </c:pt>
                <c:pt idx="84">
                  <c:v>-2.5626360000000001E-2</c:v>
                </c:pt>
                <c:pt idx="85">
                  <c:v>-1.5960309999999998E-2</c:v>
                </c:pt>
                <c:pt idx="86">
                  <c:v>-5.712979E-3</c:v>
                </c:pt>
                <c:pt idx="87">
                  <c:v>5.2415700000000001E-3</c:v>
                </c:pt>
                <c:pt idx="88">
                  <c:v>1.7071050000000001E-2</c:v>
                </c:pt>
                <c:pt idx="89">
                  <c:v>2.9994389999999999E-2</c:v>
                </c:pt>
                <c:pt idx="90">
                  <c:v>4.4297089999999997E-2</c:v>
                </c:pt>
                <c:pt idx="91">
                  <c:v>6.0357260000000003E-2</c:v>
                </c:pt>
                <c:pt idx="92">
                  <c:v>7.8692509999999993E-2</c:v>
                </c:pt>
                <c:pt idx="93">
                  <c:v>0.10004689999999999</c:v>
                </c:pt>
                <c:pt idx="94">
                  <c:v>0.12558920000000001</c:v>
                </c:pt>
                <c:pt idx="95">
                  <c:v>0.15723480000000001</c:v>
                </c:pt>
                <c:pt idx="96">
                  <c:v>0.19971920000000001</c:v>
                </c:pt>
                <c:pt idx="97">
                  <c:v>0.25677329999999998</c:v>
                </c:pt>
                <c:pt idx="98">
                  <c:v>0.41561999999999999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03-40A8-BDF6-E8F854991EF5}"/>
            </c:ext>
          </c:extLst>
        </c:ser>
        <c:ser>
          <c:idx val="2"/>
          <c:order val="2"/>
          <c:tx>
            <c:v>NACA 2412 (Viscous)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cp_data!$J$2:$J$100</c:f>
              <c:numCache>
                <c:formatCode>0.0000</c:formatCode>
                <c:ptCount val="99"/>
                <c:pt idx="0">
                  <c:v>1</c:v>
                </c:pt>
                <c:pt idx="1">
                  <c:v>0.99280060000000003</c:v>
                </c:pt>
                <c:pt idx="2">
                  <c:v>0.97988949999999997</c:v>
                </c:pt>
                <c:pt idx="3">
                  <c:v>0.9635184</c:v>
                </c:pt>
                <c:pt idx="4">
                  <c:v>0.94454689999999997</c:v>
                </c:pt>
                <c:pt idx="5">
                  <c:v>0.92349979999999998</c:v>
                </c:pt>
                <c:pt idx="6">
                  <c:v>0.90074949999999998</c:v>
                </c:pt>
                <c:pt idx="7">
                  <c:v>0.876583</c:v>
                </c:pt>
                <c:pt idx="8">
                  <c:v>0.85123280000000001</c:v>
                </c:pt>
                <c:pt idx="9">
                  <c:v>0.82489440000000003</c:v>
                </c:pt>
                <c:pt idx="10">
                  <c:v>0.79773620000000001</c:v>
                </c:pt>
                <c:pt idx="11">
                  <c:v>0.76990630000000004</c:v>
                </c:pt>
                <c:pt idx="12">
                  <c:v>0.74153729999999995</c:v>
                </c:pt>
                <c:pt idx="13">
                  <c:v>0.71274870000000001</c:v>
                </c:pt>
                <c:pt idx="14">
                  <c:v>0.68364999999999998</c:v>
                </c:pt>
                <c:pt idx="15">
                  <c:v>0.65434190000000003</c:v>
                </c:pt>
                <c:pt idx="16">
                  <c:v>0.62491819999999998</c:v>
                </c:pt>
                <c:pt idx="17">
                  <c:v>0.5954661</c:v>
                </c:pt>
                <c:pt idx="18">
                  <c:v>0.56606769999999995</c:v>
                </c:pt>
                <c:pt idx="19">
                  <c:v>0.53680050000000001</c:v>
                </c:pt>
                <c:pt idx="20">
                  <c:v>0.50773780000000002</c:v>
                </c:pt>
                <c:pt idx="21">
                  <c:v>0.47894910000000002</c:v>
                </c:pt>
                <c:pt idx="22">
                  <c:v>0.45050109999999999</c:v>
                </c:pt>
                <c:pt idx="23">
                  <c:v>0.42245709999999997</c:v>
                </c:pt>
                <c:pt idx="24">
                  <c:v>0.39487820000000001</c:v>
                </c:pt>
                <c:pt idx="25">
                  <c:v>0.36782290000000001</c:v>
                </c:pt>
                <c:pt idx="26">
                  <c:v>0.34134759999999997</c:v>
                </c:pt>
                <c:pt idx="27">
                  <c:v>0.31550650000000002</c:v>
                </c:pt>
                <c:pt idx="28">
                  <c:v>0.29035240000000001</c:v>
                </c:pt>
                <c:pt idx="29">
                  <c:v>0.26593610000000001</c:v>
                </c:pt>
                <c:pt idx="30">
                  <c:v>0.24230679999999999</c:v>
                </c:pt>
                <c:pt idx="31">
                  <c:v>0.2195125</c:v>
                </c:pt>
                <c:pt idx="32">
                  <c:v>0.19759979999999999</c:v>
                </c:pt>
                <c:pt idx="33">
                  <c:v>0.17661379999999999</c:v>
                </c:pt>
                <c:pt idx="34">
                  <c:v>0.15659880000000001</c:v>
                </c:pt>
                <c:pt idx="35">
                  <c:v>0.13759769999999999</c:v>
                </c:pt>
                <c:pt idx="36">
                  <c:v>0.11965249999999999</c:v>
                </c:pt>
                <c:pt idx="37">
                  <c:v>0.1028043</c:v>
                </c:pt>
                <c:pt idx="38">
                  <c:v>8.7093089999999998E-2</c:v>
                </c:pt>
                <c:pt idx="39">
                  <c:v>7.2558159999999997E-2</c:v>
                </c:pt>
                <c:pt idx="40">
                  <c:v>5.9237919999999999E-2</c:v>
                </c:pt>
                <c:pt idx="41">
                  <c:v>4.7170009999999998E-2</c:v>
                </c:pt>
                <c:pt idx="42">
                  <c:v>3.6391319999999998E-2</c:v>
                </c:pt>
                <c:pt idx="43">
                  <c:v>2.693808E-2</c:v>
                </c:pt>
                <c:pt idx="44">
                  <c:v>1.8845810000000001E-2</c:v>
                </c:pt>
                <c:pt idx="45">
                  <c:v>1.2149419999999999E-2</c:v>
                </c:pt>
                <c:pt idx="46">
                  <c:v>6.8831980000000001E-3</c:v>
                </c:pt>
                <c:pt idx="47">
                  <c:v>3.0808680000000001E-3</c:v>
                </c:pt>
                <c:pt idx="48">
                  <c:v>7.7559169999999998E-4</c:v>
                </c:pt>
                <c:pt idx="49">
                  <c:v>0</c:v>
                </c:pt>
                <c:pt idx="50">
                  <c:v>7.7559169999999998E-4</c:v>
                </c:pt>
                <c:pt idx="51">
                  <c:v>3.0808680000000001E-3</c:v>
                </c:pt>
                <c:pt idx="52">
                  <c:v>6.8831980000000001E-3</c:v>
                </c:pt>
                <c:pt idx="53">
                  <c:v>1.2149419999999999E-2</c:v>
                </c:pt>
                <c:pt idx="54">
                  <c:v>1.8845810000000001E-2</c:v>
                </c:pt>
                <c:pt idx="55">
                  <c:v>2.693808E-2</c:v>
                </c:pt>
                <c:pt idx="56">
                  <c:v>3.6391319999999998E-2</c:v>
                </c:pt>
                <c:pt idx="57">
                  <c:v>4.7170009999999998E-2</c:v>
                </c:pt>
                <c:pt idx="58">
                  <c:v>5.9237919999999999E-2</c:v>
                </c:pt>
                <c:pt idx="59">
                  <c:v>7.2558159999999997E-2</c:v>
                </c:pt>
                <c:pt idx="60">
                  <c:v>8.7093089999999998E-2</c:v>
                </c:pt>
                <c:pt idx="61">
                  <c:v>0.1028043</c:v>
                </c:pt>
                <c:pt idx="62">
                  <c:v>0.11965249999999999</c:v>
                </c:pt>
                <c:pt idx="63">
                  <c:v>0.13759769999999999</c:v>
                </c:pt>
                <c:pt idx="64">
                  <c:v>0.15659880000000001</c:v>
                </c:pt>
                <c:pt idx="65">
                  <c:v>0.17661379999999999</c:v>
                </c:pt>
                <c:pt idx="66">
                  <c:v>0.19759979999999999</c:v>
                </c:pt>
                <c:pt idx="67">
                  <c:v>0.2195125</c:v>
                </c:pt>
                <c:pt idx="68">
                  <c:v>0.24230679999999999</c:v>
                </c:pt>
                <c:pt idx="69">
                  <c:v>0.26593610000000001</c:v>
                </c:pt>
                <c:pt idx="70">
                  <c:v>0.29035240000000001</c:v>
                </c:pt>
                <c:pt idx="71">
                  <c:v>0.31550650000000002</c:v>
                </c:pt>
                <c:pt idx="72">
                  <c:v>0.34134759999999997</c:v>
                </c:pt>
                <c:pt idx="73">
                  <c:v>0.36782290000000001</c:v>
                </c:pt>
                <c:pt idx="74">
                  <c:v>0.39487820000000001</c:v>
                </c:pt>
                <c:pt idx="75">
                  <c:v>0.42245709999999997</c:v>
                </c:pt>
                <c:pt idx="76">
                  <c:v>0.45050109999999999</c:v>
                </c:pt>
                <c:pt idx="77">
                  <c:v>0.47894910000000002</c:v>
                </c:pt>
                <c:pt idx="78">
                  <c:v>0.50773780000000002</c:v>
                </c:pt>
                <c:pt idx="79">
                  <c:v>0.53680050000000001</c:v>
                </c:pt>
                <c:pt idx="80">
                  <c:v>0.56606769999999995</c:v>
                </c:pt>
                <c:pt idx="81">
                  <c:v>0.5954661</c:v>
                </c:pt>
                <c:pt idx="82">
                  <c:v>0.62491819999999998</c:v>
                </c:pt>
                <c:pt idx="83">
                  <c:v>0.65434190000000003</c:v>
                </c:pt>
                <c:pt idx="84">
                  <c:v>0.68364999999999998</c:v>
                </c:pt>
                <c:pt idx="85">
                  <c:v>0.71274870000000001</c:v>
                </c:pt>
                <c:pt idx="86">
                  <c:v>0.74153729999999995</c:v>
                </c:pt>
                <c:pt idx="87">
                  <c:v>0.76990630000000004</c:v>
                </c:pt>
                <c:pt idx="88">
                  <c:v>0.79773620000000001</c:v>
                </c:pt>
                <c:pt idx="89">
                  <c:v>0.82489440000000003</c:v>
                </c:pt>
                <c:pt idx="90">
                  <c:v>0.85123280000000001</c:v>
                </c:pt>
                <c:pt idx="91">
                  <c:v>0.876583</c:v>
                </c:pt>
                <c:pt idx="92">
                  <c:v>0.90074949999999998</c:v>
                </c:pt>
                <c:pt idx="93">
                  <c:v>0.92349979999999998</c:v>
                </c:pt>
                <c:pt idx="94">
                  <c:v>0.94454689999999997</c:v>
                </c:pt>
                <c:pt idx="95">
                  <c:v>0.9635184</c:v>
                </c:pt>
                <c:pt idx="96">
                  <c:v>0.97988949999999997</c:v>
                </c:pt>
                <c:pt idx="97">
                  <c:v>0.99280060000000003</c:v>
                </c:pt>
                <c:pt idx="98">
                  <c:v>1</c:v>
                </c:pt>
              </c:numCache>
            </c:numRef>
          </c:xVal>
          <c:yVal>
            <c:numRef>
              <c:f>cp_data!$L$2:$L$100</c:f>
              <c:numCache>
                <c:formatCode>0.0000</c:formatCode>
                <c:ptCount val="99"/>
                <c:pt idx="0">
                  <c:v>0.2157733</c:v>
                </c:pt>
                <c:pt idx="1">
                  <c:v>0.1897557</c:v>
                </c:pt>
                <c:pt idx="2">
                  <c:v>0.14265130000000001</c:v>
                </c:pt>
                <c:pt idx="3">
                  <c:v>9.3659930000000002E-2</c:v>
                </c:pt>
                <c:pt idx="4">
                  <c:v>4.7053539999999998E-2</c:v>
                </c:pt>
                <c:pt idx="5">
                  <c:v>4.1668929999999996E-3</c:v>
                </c:pt>
                <c:pt idx="6">
                  <c:v>-3.5198239999999999E-2</c:v>
                </c:pt>
                <c:pt idx="7">
                  <c:v>-7.1580240000000003E-2</c:v>
                </c:pt>
                <c:pt idx="8">
                  <c:v>-0.1055248</c:v>
                </c:pt>
                <c:pt idx="9">
                  <c:v>-0.1374977</c:v>
                </c:pt>
                <c:pt idx="10">
                  <c:v>-0.1678819</c:v>
                </c:pt>
                <c:pt idx="11">
                  <c:v>-0.1969909</c:v>
                </c:pt>
                <c:pt idx="12">
                  <c:v>-0.22508110000000001</c:v>
                </c:pt>
                <c:pt idx="13">
                  <c:v>-0.25235730000000001</c:v>
                </c:pt>
                <c:pt idx="14">
                  <c:v>-0.27897559999999999</c:v>
                </c:pt>
                <c:pt idx="15">
                  <c:v>-0.3050466</c:v>
                </c:pt>
                <c:pt idx="16">
                  <c:v>-0.33061760000000001</c:v>
                </c:pt>
                <c:pt idx="17">
                  <c:v>-0.35562450000000001</c:v>
                </c:pt>
                <c:pt idx="18">
                  <c:v>-0.37980639999999999</c:v>
                </c:pt>
                <c:pt idx="19">
                  <c:v>-0.40264840000000002</c:v>
                </c:pt>
                <c:pt idx="20">
                  <c:v>-0.42400500000000002</c:v>
                </c:pt>
                <c:pt idx="21">
                  <c:v>-0.44695010000000002</c:v>
                </c:pt>
                <c:pt idx="22">
                  <c:v>-0.51411450000000003</c:v>
                </c:pt>
                <c:pt idx="23">
                  <c:v>-0.53382180000000001</c:v>
                </c:pt>
                <c:pt idx="24">
                  <c:v>-0.56148310000000001</c:v>
                </c:pt>
                <c:pt idx="25">
                  <c:v>-0.58917660000000005</c:v>
                </c:pt>
                <c:pt idx="26">
                  <c:v>-0.61365069999999999</c:v>
                </c:pt>
                <c:pt idx="27">
                  <c:v>-0.63570590000000005</c:v>
                </c:pt>
                <c:pt idx="28">
                  <c:v>-0.65527959999999996</c:v>
                </c:pt>
                <c:pt idx="29">
                  <c:v>-0.67240420000000001</c:v>
                </c:pt>
                <c:pt idx="30">
                  <c:v>-0.68704509999999996</c:v>
                </c:pt>
                <c:pt idx="31">
                  <c:v>-0.69914889999999996</c:v>
                </c:pt>
                <c:pt idx="32">
                  <c:v>-0.70864660000000002</c:v>
                </c:pt>
                <c:pt idx="33">
                  <c:v>-0.71545729999999996</c:v>
                </c:pt>
                <c:pt idx="34">
                  <c:v>-0.71948429999999997</c:v>
                </c:pt>
                <c:pt idx="35">
                  <c:v>-0.72060270000000004</c:v>
                </c:pt>
                <c:pt idx="36">
                  <c:v>-0.71863750000000004</c:v>
                </c:pt>
                <c:pt idx="37">
                  <c:v>-0.71332300000000004</c:v>
                </c:pt>
                <c:pt idx="38">
                  <c:v>-0.70423559999999996</c:v>
                </c:pt>
                <c:pt idx="39">
                  <c:v>-0.69068070000000004</c:v>
                </c:pt>
                <c:pt idx="40">
                  <c:v>-0.6715004</c:v>
                </c:pt>
                <c:pt idx="41">
                  <c:v>-0.6447406</c:v>
                </c:pt>
                <c:pt idx="42">
                  <c:v>-0.60705600000000004</c:v>
                </c:pt>
                <c:pt idx="43">
                  <c:v>-0.55272560000000004</c:v>
                </c:pt>
                <c:pt idx="44">
                  <c:v>-0.47162009999999999</c:v>
                </c:pt>
                <c:pt idx="45">
                  <c:v>-0.34690680000000002</c:v>
                </c:pt>
                <c:pt idx="46">
                  <c:v>-0.15076580000000001</c:v>
                </c:pt>
                <c:pt idx="47">
                  <c:v>0.14909939999999999</c:v>
                </c:pt>
                <c:pt idx="48">
                  <c:v>0.55084690000000003</c:v>
                </c:pt>
                <c:pt idx="49">
                  <c:v>0.90945069999999995</c:v>
                </c:pt>
                <c:pt idx="50">
                  <c:v>0.98662660000000002</c:v>
                </c:pt>
                <c:pt idx="51">
                  <c:v>0.78151289999999995</c:v>
                </c:pt>
                <c:pt idx="52">
                  <c:v>0.50490190000000001</c:v>
                </c:pt>
                <c:pt idx="53">
                  <c:v>0.28137980000000001</c:v>
                </c:pt>
                <c:pt idx="54">
                  <c:v>0.12623699999999999</c:v>
                </c:pt>
                <c:pt idx="55">
                  <c:v>2.3971869999999999E-2</c:v>
                </c:pt>
                <c:pt idx="56">
                  <c:v>-4.2764999999999997E-2</c:v>
                </c:pt>
                <c:pt idx="57">
                  <c:v>-8.5734850000000001E-2</c:v>
                </c:pt>
                <c:pt idx="58">
                  <c:v>-0.11291039999999999</c:v>
                </c:pt>
                <c:pt idx="59">
                  <c:v>-0.1292635</c:v>
                </c:pt>
                <c:pt idx="60">
                  <c:v>-0.1380527</c:v>
                </c:pt>
                <c:pt idx="61">
                  <c:v>-0.1414271</c:v>
                </c:pt>
                <c:pt idx="62">
                  <c:v>-0.14085049999999999</c:v>
                </c:pt>
                <c:pt idx="63">
                  <c:v>-0.13735240000000001</c:v>
                </c:pt>
                <c:pt idx="64">
                  <c:v>-0.13168199999999999</c:v>
                </c:pt>
                <c:pt idx="65">
                  <c:v>-0.1244054</c:v>
                </c:pt>
                <c:pt idx="66">
                  <c:v>-0.1159679</c:v>
                </c:pt>
                <c:pt idx="67">
                  <c:v>-0.1067342</c:v>
                </c:pt>
                <c:pt idx="68">
                  <c:v>-9.7016580000000005E-2</c:v>
                </c:pt>
                <c:pt idx="69">
                  <c:v>-8.7095329999999999E-2</c:v>
                </c:pt>
                <c:pt idx="70">
                  <c:v>-7.7237769999999997E-2</c:v>
                </c:pt>
                <c:pt idx="71">
                  <c:v>-6.7716239999999997E-2</c:v>
                </c:pt>
                <c:pt idx="72">
                  <c:v>-5.8865939999999999E-2</c:v>
                </c:pt>
                <c:pt idx="73">
                  <c:v>-5.1045500000000001E-2</c:v>
                </c:pt>
                <c:pt idx="74">
                  <c:v>-4.5751180000000002E-2</c:v>
                </c:pt>
                <c:pt idx="75">
                  <c:v>-4.2527629999999997E-2</c:v>
                </c:pt>
                <c:pt idx="76">
                  <c:v>-3.6247000000000001E-2</c:v>
                </c:pt>
                <c:pt idx="77">
                  <c:v>-2.9031520000000002E-2</c:v>
                </c:pt>
                <c:pt idx="78">
                  <c:v>-2.1269659999999999E-2</c:v>
                </c:pt>
                <c:pt idx="79">
                  <c:v>-1.333581E-2</c:v>
                </c:pt>
                <c:pt idx="80">
                  <c:v>-5.5136899999999999E-3</c:v>
                </c:pt>
                <c:pt idx="81">
                  <c:v>1.816493E-3</c:v>
                </c:pt>
                <c:pt idx="82">
                  <c:v>7.686862E-3</c:v>
                </c:pt>
                <c:pt idx="83">
                  <c:v>1.445664E-2</c:v>
                </c:pt>
                <c:pt idx="84">
                  <c:v>3.9629530000000003E-2</c:v>
                </c:pt>
                <c:pt idx="85">
                  <c:v>4.7500939999999998E-2</c:v>
                </c:pt>
                <c:pt idx="86">
                  <c:v>5.2927050000000003E-2</c:v>
                </c:pt>
                <c:pt idx="87">
                  <c:v>5.896614E-2</c:v>
                </c:pt>
                <c:pt idx="88">
                  <c:v>6.599323E-2</c:v>
                </c:pt>
                <c:pt idx="89">
                  <c:v>7.3931049999999998E-2</c:v>
                </c:pt>
                <c:pt idx="90">
                  <c:v>8.2801319999999998E-2</c:v>
                </c:pt>
                <c:pt idx="91">
                  <c:v>9.2772279999999999E-2</c:v>
                </c:pt>
                <c:pt idx="92">
                  <c:v>0.1041444</c:v>
                </c:pt>
                <c:pt idx="93">
                  <c:v>0.11736820000000001</c:v>
                </c:pt>
                <c:pt idx="94">
                  <c:v>0.13307620000000001</c:v>
                </c:pt>
                <c:pt idx="95">
                  <c:v>0.1522249</c:v>
                </c:pt>
                <c:pt idx="96">
                  <c:v>0.1755044</c:v>
                </c:pt>
                <c:pt idx="97">
                  <c:v>0.20528080000000001</c:v>
                </c:pt>
                <c:pt idx="98">
                  <c:v>0.2157733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03-40A8-BDF6-E8F854991EF5}"/>
            </c:ext>
          </c:extLst>
        </c:ser>
        <c:ser>
          <c:idx val="3"/>
          <c:order val="3"/>
          <c:tx>
            <c:v>NACA 2412 (Inviscid)</c:v>
          </c:tx>
          <c:spPr>
            <a:ln w="12700" cap="rnd">
              <a:solidFill>
                <a:srgbClr val="6565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cp_data!$N$2:$N$100</c:f>
              <c:numCache>
                <c:formatCode>0.0000</c:formatCode>
                <c:ptCount val="99"/>
                <c:pt idx="0">
                  <c:v>1</c:v>
                </c:pt>
                <c:pt idx="1">
                  <c:v>0.99280060000000003</c:v>
                </c:pt>
                <c:pt idx="2">
                  <c:v>0.97988949999999997</c:v>
                </c:pt>
                <c:pt idx="3">
                  <c:v>0.9635184</c:v>
                </c:pt>
                <c:pt idx="4">
                  <c:v>0.94454689999999997</c:v>
                </c:pt>
                <c:pt idx="5">
                  <c:v>0.92349979999999998</c:v>
                </c:pt>
                <c:pt idx="6">
                  <c:v>0.90074949999999998</c:v>
                </c:pt>
                <c:pt idx="7">
                  <c:v>0.876583</c:v>
                </c:pt>
                <c:pt idx="8">
                  <c:v>0.85123280000000001</c:v>
                </c:pt>
                <c:pt idx="9">
                  <c:v>0.82489440000000003</c:v>
                </c:pt>
                <c:pt idx="10">
                  <c:v>0.79773620000000001</c:v>
                </c:pt>
                <c:pt idx="11">
                  <c:v>0.76990630000000004</c:v>
                </c:pt>
                <c:pt idx="12">
                  <c:v>0.74153729999999995</c:v>
                </c:pt>
                <c:pt idx="13">
                  <c:v>0.71274870000000001</c:v>
                </c:pt>
                <c:pt idx="14">
                  <c:v>0.68364999999999998</c:v>
                </c:pt>
                <c:pt idx="15">
                  <c:v>0.65434190000000003</c:v>
                </c:pt>
                <c:pt idx="16">
                  <c:v>0.62491819999999998</c:v>
                </c:pt>
                <c:pt idx="17">
                  <c:v>0.5954661</c:v>
                </c:pt>
                <c:pt idx="18">
                  <c:v>0.56606769999999995</c:v>
                </c:pt>
                <c:pt idx="19">
                  <c:v>0.53680050000000001</c:v>
                </c:pt>
                <c:pt idx="20">
                  <c:v>0.50773780000000002</c:v>
                </c:pt>
                <c:pt idx="21">
                  <c:v>0.47894910000000002</c:v>
                </c:pt>
                <c:pt idx="22">
                  <c:v>0.45050109999999999</c:v>
                </c:pt>
                <c:pt idx="23">
                  <c:v>0.42245709999999997</c:v>
                </c:pt>
                <c:pt idx="24">
                  <c:v>0.39487820000000001</c:v>
                </c:pt>
                <c:pt idx="25">
                  <c:v>0.36782290000000001</c:v>
                </c:pt>
                <c:pt idx="26">
                  <c:v>0.34134759999999997</c:v>
                </c:pt>
                <c:pt idx="27">
                  <c:v>0.31550650000000002</c:v>
                </c:pt>
                <c:pt idx="28">
                  <c:v>0.29035240000000001</c:v>
                </c:pt>
                <c:pt idx="29">
                  <c:v>0.26593610000000001</c:v>
                </c:pt>
                <c:pt idx="30">
                  <c:v>0.24230679999999999</c:v>
                </c:pt>
                <c:pt idx="31">
                  <c:v>0.2195125</c:v>
                </c:pt>
                <c:pt idx="32">
                  <c:v>0.19759979999999999</c:v>
                </c:pt>
                <c:pt idx="33">
                  <c:v>0.17661379999999999</c:v>
                </c:pt>
                <c:pt idx="34">
                  <c:v>0.15659880000000001</c:v>
                </c:pt>
                <c:pt idx="35">
                  <c:v>0.13759769999999999</c:v>
                </c:pt>
                <c:pt idx="36">
                  <c:v>0.11965249999999999</c:v>
                </c:pt>
                <c:pt idx="37">
                  <c:v>0.1028043</c:v>
                </c:pt>
                <c:pt idx="38">
                  <c:v>8.7093089999999998E-2</c:v>
                </c:pt>
                <c:pt idx="39">
                  <c:v>7.2558159999999997E-2</c:v>
                </c:pt>
                <c:pt idx="40">
                  <c:v>5.9237919999999999E-2</c:v>
                </c:pt>
                <c:pt idx="41">
                  <c:v>4.7170009999999998E-2</c:v>
                </c:pt>
                <c:pt idx="42">
                  <c:v>3.6391319999999998E-2</c:v>
                </c:pt>
                <c:pt idx="43">
                  <c:v>2.693808E-2</c:v>
                </c:pt>
                <c:pt idx="44">
                  <c:v>1.8845810000000001E-2</c:v>
                </c:pt>
                <c:pt idx="45">
                  <c:v>1.2149419999999999E-2</c:v>
                </c:pt>
                <c:pt idx="46">
                  <c:v>6.8831980000000001E-3</c:v>
                </c:pt>
                <c:pt idx="47">
                  <c:v>3.0808680000000001E-3</c:v>
                </c:pt>
                <c:pt idx="48">
                  <c:v>7.7559169999999998E-4</c:v>
                </c:pt>
                <c:pt idx="49">
                  <c:v>0</c:v>
                </c:pt>
                <c:pt idx="50">
                  <c:v>7.7559169999999998E-4</c:v>
                </c:pt>
                <c:pt idx="51">
                  <c:v>3.0808680000000001E-3</c:v>
                </c:pt>
                <c:pt idx="52">
                  <c:v>6.8831980000000001E-3</c:v>
                </c:pt>
                <c:pt idx="53">
                  <c:v>1.2149419999999999E-2</c:v>
                </c:pt>
                <c:pt idx="54">
                  <c:v>1.8845810000000001E-2</c:v>
                </c:pt>
                <c:pt idx="55">
                  <c:v>2.693808E-2</c:v>
                </c:pt>
                <c:pt idx="56">
                  <c:v>3.6391319999999998E-2</c:v>
                </c:pt>
                <c:pt idx="57">
                  <c:v>4.7170009999999998E-2</c:v>
                </c:pt>
                <c:pt idx="58">
                  <c:v>5.9237919999999999E-2</c:v>
                </c:pt>
                <c:pt idx="59">
                  <c:v>7.2558159999999997E-2</c:v>
                </c:pt>
                <c:pt idx="60">
                  <c:v>8.7093089999999998E-2</c:v>
                </c:pt>
                <c:pt idx="61">
                  <c:v>0.1028043</c:v>
                </c:pt>
                <c:pt idx="62">
                  <c:v>0.11965249999999999</c:v>
                </c:pt>
                <c:pt idx="63">
                  <c:v>0.13759769999999999</c:v>
                </c:pt>
                <c:pt idx="64">
                  <c:v>0.15659880000000001</c:v>
                </c:pt>
                <c:pt idx="65">
                  <c:v>0.17661379999999999</c:v>
                </c:pt>
                <c:pt idx="66">
                  <c:v>0.19759979999999999</c:v>
                </c:pt>
                <c:pt idx="67">
                  <c:v>0.2195125</c:v>
                </c:pt>
                <c:pt idx="68">
                  <c:v>0.24230679999999999</c:v>
                </c:pt>
                <c:pt idx="69">
                  <c:v>0.26593610000000001</c:v>
                </c:pt>
                <c:pt idx="70">
                  <c:v>0.29035240000000001</c:v>
                </c:pt>
                <c:pt idx="71">
                  <c:v>0.31550650000000002</c:v>
                </c:pt>
                <c:pt idx="72">
                  <c:v>0.34134759999999997</c:v>
                </c:pt>
                <c:pt idx="73">
                  <c:v>0.36782290000000001</c:v>
                </c:pt>
                <c:pt idx="74">
                  <c:v>0.39487820000000001</c:v>
                </c:pt>
                <c:pt idx="75">
                  <c:v>0.42245709999999997</c:v>
                </c:pt>
                <c:pt idx="76">
                  <c:v>0.45050109999999999</c:v>
                </c:pt>
                <c:pt idx="77">
                  <c:v>0.47894910000000002</c:v>
                </c:pt>
                <c:pt idx="78">
                  <c:v>0.50773780000000002</c:v>
                </c:pt>
                <c:pt idx="79">
                  <c:v>0.53680050000000001</c:v>
                </c:pt>
                <c:pt idx="80">
                  <c:v>0.56606769999999995</c:v>
                </c:pt>
                <c:pt idx="81">
                  <c:v>0.5954661</c:v>
                </c:pt>
                <c:pt idx="82">
                  <c:v>0.62491819999999998</c:v>
                </c:pt>
                <c:pt idx="83">
                  <c:v>0.65434190000000003</c:v>
                </c:pt>
                <c:pt idx="84">
                  <c:v>0.68364999999999998</c:v>
                </c:pt>
                <c:pt idx="85">
                  <c:v>0.71274870000000001</c:v>
                </c:pt>
                <c:pt idx="86">
                  <c:v>0.74153729999999995</c:v>
                </c:pt>
                <c:pt idx="87">
                  <c:v>0.76990630000000004</c:v>
                </c:pt>
                <c:pt idx="88">
                  <c:v>0.79773620000000001</c:v>
                </c:pt>
                <c:pt idx="89">
                  <c:v>0.82489440000000003</c:v>
                </c:pt>
                <c:pt idx="90">
                  <c:v>0.85123280000000001</c:v>
                </c:pt>
                <c:pt idx="91">
                  <c:v>0.876583</c:v>
                </c:pt>
                <c:pt idx="92">
                  <c:v>0.90074949999999998</c:v>
                </c:pt>
                <c:pt idx="93">
                  <c:v>0.92349979999999998</c:v>
                </c:pt>
                <c:pt idx="94">
                  <c:v>0.94454689999999997</c:v>
                </c:pt>
                <c:pt idx="95">
                  <c:v>0.9635184</c:v>
                </c:pt>
                <c:pt idx="96">
                  <c:v>0.97988949999999997</c:v>
                </c:pt>
                <c:pt idx="97">
                  <c:v>0.99280060000000003</c:v>
                </c:pt>
                <c:pt idx="98">
                  <c:v>1</c:v>
                </c:pt>
              </c:numCache>
            </c:numRef>
          </c:xVal>
          <c:yVal>
            <c:numRef>
              <c:f>cp_data!$P$2:$P$100</c:f>
              <c:numCache>
                <c:formatCode>0.0000</c:formatCode>
                <c:ptCount val="99"/>
                <c:pt idx="0">
                  <c:v>0.41481669999999998</c:v>
                </c:pt>
                <c:pt idx="1">
                  <c:v>0.22979749999999999</c:v>
                </c:pt>
                <c:pt idx="2">
                  <c:v>0.15427099999999999</c:v>
                </c:pt>
                <c:pt idx="3">
                  <c:v>9.1800709999999994E-2</c:v>
                </c:pt>
                <c:pt idx="4">
                  <c:v>4.1026319999999998E-2</c:v>
                </c:pt>
                <c:pt idx="5">
                  <c:v>-3.3507350000000001E-3</c:v>
                </c:pt>
                <c:pt idx="6">
                  <c:v>-4.3204270000000003E-2</c:v>
                </c:pt>
                <c:pt idx="7">
                  <c:v>-7.9758109999999993E-2</c:v>
                </c:pt>
                <c:pt idx="8">
                  <c:v>-0.1137905</c:v>
                </c:pt>
                <c:pt idx="9">
                  <c:v>-0.1458575</c:v>
                </c:pt>
                <c:pt idx="10">
                  <c:v>-0.17637910000000001</c:v>
                </c:pt>
                <c:pt idx="11">
                  <c:v>-0.20568739999999999</c:v>
                </c:pt>
                <c:pt idx="12">
                  <c:v>-0.23405339999999999</c:v>
                </c:pt>
                <c:pt idx="13">
                  <c:v>-0.26170270000000001</c:v>
                </c:pt>
                <c:pt idx="14">
                  <c:v>-0.28882540000000001</c:v>
                </c:pt>
                <c:pt idx="15">
                  <c:v>-0.315583</c:v>
                </c:pt>
                <c:pt idx="16">
                  <c:v>-0.34211370000000002</c:v>
                </c:pt>
                <c:pt idx="17">
                  <c:v>-0.36853829999999999</c:v>
                </c:pt>
                <c:pt idx="18">
                  <c:v>-0.39496609999999999</c:v>
                </c:pt>
                <c:pt idx="19">
                  <c:v>-0.42150409999999999</c:v>
                </c:pt>
                <c:pt idx="20">
                  <c:v>-0.4482759</c:v>
                </c:pt>
                <c:pt idx="21">
                  <c:v>-0.47543879999999999</c:v>
                </c:pt>
                <c:pt idx="22">
                  <c:v>-0.50336000000000003</c:v>
                </c:pt>
                <c:pt idx="23">
                  <c:v>-0.53218350000000003</c:v>
                </c:pt>
                <c:pt idx="24">
                  <c:v>-0.56785580000000002</c:v>
                </c:pt>
                <c:pt idx="25">
                  <c:v>-0.59919829999999996</c:v>
                </c:pt>
                <c:pt idx="26">
                  <c:v>-0.62482139999999997</c:v>
                </c:pt>
                <c:pt idx="27">
                  <c:v>-0.64768079999999995</c:v>
                </c:pt>
                <c:pt idx="28">
                  <c:v>-0.66787960000000002</c:v>
                </c:pt>
                <c:pt idx="29">
                  <c:v>-0.68557179999999995</c:v>
                </c:pt>
                <c:pt idx="30">
                  <c:v>-0.70077089999999997</c:v>
                </c:pt>
                <c:pt idx="31">
                  <c:v>-0.71345190000000003</c:v>
                </c:pt>
                <c:pt idx="32">
                  <c:v>-0.72356589999999998</c:v>
                </c:pt>
                <c:pt idx="33">
                  <c:v>-0.73104910000000001</c:v>
                </c:pt>
                <c:pt idx="34">
                  <c:v>-0.73582190000000003</c:v>
                </c:pt>
                <c:pt idx="35">
                  <c:v>-0.73777910000000002</c:v>
                </c:pt>
                <c:pt idx="36">
                  <c:v>-0.7367688</c:v>
                </c:pt>
                <c:pt idx="37">
                  <c:v>-0.73255420000000004</c:v>
                </c:pt>
                <c:pt idx="38">
                  <c:v>-0.72474859999999997</c:v>
                </c:pt>
                <c:pt idx="39">
                  <c:v>-0.71270469999999997</c:v>
                </c:pt>
                <c:pt idx="40">
                  <c:v>-0.69532450000000001</c:v>
                </c:pt>
                <c:pt idx="41">
                  <c:v>-0.67072750000000003</c:v>
                </c:pt>
                <c:pt idx="42">
                  <c:v>-0.63566199999999995</c:v>
                </c:pt>
                <c:pt idx="43">
                  <c:v>-0.58444660000000004</c:v>
                </c:pt>
                <c:pt idx="44">
                  <c:v>-0.50709459999999995</c:v>
                </c:pt>
                <c:pt idx="45">
                  <c:v>-0.38625769999999998</c:v>
                </c:pt>
                <c:pt idx="46">
                  <c:v>-0.19372890000000001</c:v>
                </c:pt>
                <c:pt idx="47">
                  <c:v>0.105896</c:v>
                </c:pt>
                <c:pt idx="48">
                  <c:v>0.51499919999999999</c:v>
                </c:pt>
                <c:pt idx="49">
                  <c:v>0.8922776</c:v>
                </c:pt>
                <c:pt idx="50">
                  <c:v>0.9919848</c:v>
                </c:pt>
                <c:pt idx="51">
                  <c:v>0.80237809999999998</c:v>
                </c:pt>
                <c:pt idx="52">
                  <c:v>0.53194560000000002</c:v>
                </c:pt>
                <c:pt idx="53">
                  <c:v>0.30908780000000002</c:v>
                </c:pt>
                <c:pt idx="54">
                  <c:v>0.15279290000000001</c:v>
                </c:pt>
                <c:pt idx="55">
                  <c:v>4.850492E-2</c:v>
                </c:pt>
                <c:pt idx="56">
                  <c:v>-2.01069E-2</c:v>
                </c:pt>
                <c:pt idx="57">
                  <c:v>-6.4892439999999996E-2</c:v>
                </c:pt>
                <c:pt idx="58">
                  <c:v>-9.3638399999999997E-2</c:v>
                </c:pt>
                <c:pt idx="59">
                  <c:v>-0.11136459999999999</c:v>
                </c:pt>
                <c:pt idx="60">
                  <c:v>-0.121338</c:v>
                </c:pt>
                <c:pt idx="61">
                  <c:v>-0.12573129999999999</c:v>
                </c:pt>
                <c:pt idx="62">
                  <c:v>-0.1260298</c:v>
                </c:pt>
                <c:pt idx="63">
                  <c:v>-0.123281</c:v>
                </c:pt>
                <c:pt idx="64">
                  <c:v>-0.1182496</c:v>
                </c:pt>
                <c:pt idx="65">
                  <c:v>-0.111514</c:v>
                </c:pt>
                <c:pt idx="66">
                  <c:v>-0.1035296</c:v>
                </c:pt>
                <c:pt idx="67">
                  <c:v>-9.4669409999999996E-2</c:v>
                </c:pt>
                <c:pt idx="68">
                  <c:v>-8.5252469999999997E-2</c:v>
                </c:pt>
                <c:pt idx="69">
                  <c:v>-7.5565129999999994E-2</c:v>
                </c:pt>
                <c:pt idx="70">
                  <c:v>-6.5880659999999994E-2</c:v>
                </c:pt>
                <c:pt idx="71">
                  <c:v>-5.647713E-2</c:v>
                </c:pt>
                <c:pt idx="72">
                  <c:v>-4.7710139999999998E-2</c:v>
                </c:pt>
                <c:pt idx="73">
                  <c:v>-3.989533E-2</c:v>
                </c:pt>
                <c:pt idx="74">
                  <c:v>-3.5232640000000003E-2</c:v>
                </c:pt>
                <c:pt idx="75">
                  <c:v>-3.3155469999999999E-2</c:v>
                </c:pt>
                <c:pt idx="76">
                  <c:v>-2.6280850000000001E-2</c:v>
                </c:pt>
                <c:pt idx="77">
                  <c:v>-1.863482E-2</c:v>
                </c:pt>
                <c:pt idx="78">
                  <c:v>-1.041192E-2</c:v>
                </c:pt>
                <c:pt idx="79">
                  <c:v>-1.93059E-3</c:v>
                </c:pt>
                <c:pt idx="80">
                  <c:v>6.659646E-3</c:v>
                </c:pt>
                <c:pt idx="81">
                  <c:v>1.526372E-2</c:v>
                </c:pt>
                <c:pt idx="82">
                  <c:v>2.383182E-2</c:v>
                </c:pt>
                <c:pt idx="83">
                  <c:v>3.2349620000000003E-2</c:v>
                </c:pt>
                <c:pt idx="84">
                  <c:v>4.0835009999999998E-2</c:v>
                </c:pt>
                <c:pt idx="85">
                  <c:v>4.933717E-2</c:v>
                </c:pt>
                <c:pt idx="86">
                  <c:v>5.793777E-2</c:v>
                </c:pt>
                <c:pt idx="87">
                  <c:v>6.6754019999999997E-2</c:v>
                </c:pt>
                <c:pt idx="88">
                  <c:v>7.5944159999999997E-2</c:v>
                </c:pt>
                <c:pt idx="89">
                  <c:v>8.571666E-2</c:v>
                </c:pt>
                <c:pt idx="90">
                  <c:v>9.6345310000000003E-2</c:v>
                </c:pt>
                <c:pt idx="91">
                  <c:v>0.1081951</c:v>
                </c:pt>
                <c:pt idx="92">
                  <c:v>0.1217679</c:v>
                </c:pt>
                <c:pt idx="93">
                  <c:v>0.13779060000000001</c:v>
                </c:pt>
                <c:pt idx="94">
                  <c:v>0.1573976</c:v>
                </c:pt>
                <c:pt idx="95">
                  <c:v>0.18252060000000001</c:v>
                </c:pt>
                <c:pt idx="96">
                  <c:v>0.21754209999999999</c:v>
                </c:pt>
                <c:pt idx="97">
                  <c:v>0.26747660000000001</c:v>
                </c:pt>
                <c:pt idx="98">
                  <c:v>0.41481669999999998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03-40A8-BDF6-E8F854991EF5}"/>
            </c:ext>
          </c:extLst>
        </c:ser>
        <c:ser>
          <c:idx val="4"/>
          <c:order val="4"/>
          <c:tx>
            <c:v>NACA 23012 (Viscous)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cp_data!$S$2:$S$200</c:f>
              <c:numCache>
                <c:formatCode>0.0000</c:formatCode>
                <c:ptCount val="199"/>
                <c:pt idx="0">
                  <c:v>1</c:v>
                </c:pt>
                <c:pt idx="1">
                  <c:v>0.99747739999999996</c:v>
                </c:pt>
                <c:pt idx="2">
                  <c:v>0.99290849999999997</c:v>
                </c:pt>
                <c:pt idx="3">
                  <c:v>0.98705209999999999</c:v>
                </c:pt>
                <c:pt idx="4">
                  <c:v>0.98018839999999996</c:v>
                </c:pt>
                <c:pt idx="5">
                  <c:v>0.97248440000000003</c:v>
                </c:pt>
                <c:pt idx="6">
                  <c:v>0.96405589999999997</c:v>
                </c:pt>
                <c:pt idx="7">
                  <c:v>0.95499020000000001</c:v>
                </c:pt>
                <c:pt idx="8">
                  <c:v>0.94535659999999999</c:v>
                </c:pt>
                <c:pt idx="9">
                  <c:v>0.93521240000000005</c:v>
                </c:pt>
                <c:pt idx="10">
                  <c:v>0.92460629999999999</c:v>
                </c:pt>
                <c:pt idx="11">
                  <c:v>0.91358019999999995</c:v>
                </c:pt>
                <c:pt idx="12">
                  <c:v>0.90217119999999995</c:v>
                </c:pt>
                <c:pt idx="13">
                  <c:v>0.89041230000000005</c:v>
                </c:pt>
                <c:pt idx="14">
                  <c:v>0.87833309999999998</c:v>
                </c:pt>
                <c:pt idx="15">
                  <c:v>0.86596090000000003</c:v>
                </c:pt>
                <c:pt idx="16">
                  <c:v>0.85332050000000004</c:v>
                </c:pt>
                <c:pt idx="17">
                  <c:v>0.84043469999999998</c:v>
                </c:pt>
                <c:pt idx="18">
                  <c:v>0.82732499999999998</c:v>
                </c:pt>
                <c:pt idx="19">
                  <c:v>0.81401129999999999</c:v>
                </c:pt>
                <c:pt idx="20">
                  <c:v>0.80051220000000001</c:v>
                </c:pt>
                <c:pt idx="21">
                  <c:v>0.78684540000000003</c:v>
                </c:pt>
                <c:pt idx="22">
                  <c:v>0.77302749999999998</c:v>
                </c:pt>
                <c:pt idx="23">
                  <c:v>0.75907420000000003</c:v>
                </c:pt>
                <c:pt idx="24">
                  <c:v>0.74500049999999995</c:v>
                </c:pt>
                <c:pt idx="25">
                  <c:v>0.7308209</c:v>
                </c:pt>
                <c:pt idx="26">
                  <c:v>0.71654890000000004</c:v>
                </c:pt>
                <c:pt idx="27">
                  <c:v>0.70219770000000004</c:v>
                </c:pt>
                <c:pt idx="28">
                  <c:v>0.6877799</c:v>
                </c:pt>
                <c:pt idx="29">
                  <c:v>0.67330749999999995</c:v>
                </c:pt>
                <c:pt idx="30">
                  <c:v>0.65879220000000005</c:v>
                </c:pt>
                <c:pt idx="31">
                  <c:v>0.64424530000000002</c:v>
                </c:pt>
                <c:pt idx="32">
                  <c:v>0.62967770000000001</c:v>
                </c:pt>
                <c:pt idx="33">
                  <c:v>0.61509979999999997</c:v>
                </c:pt>
                <c:pt idx="34">
                  <c:v>0.60052190000000005</c:v>
                </c:pt>
                <c:pt idx="35">
                  <c:v>0.58595390000000003</c:v>
                </c:pt>
                <c:pt idx="36">
                  <c:v>0.57140539999999995</c:v>
                </c:pt>
                <c:pt idx="37">
                  <c:v>0.55688559999999998</c:v>
                </c:pt>
                <c:pt idx="38">
                  <c:v>0.54240379999999999</c:v>
                </c:pt>
                <c:pt idx="39">
                  <c:v>0.52796880000000002</c:v>
                </c:pt>
                <c:pt idx="40">
                  <c:v>0.51358910000000002</c:v>
                </c:pt>
                <c:pt idx="41">
                  <c:v>0.49927329999999998</c:v>
                </c:pt>
                <c:pt idx="42">
                  <c:v>0.4850295</c:v>
                </c:pt>
                <c:pt idx="43">
                  <c:v>0.4708659</c:v>
                </c:pt>
                <c:pt idx="44">
                  <c:v>0.45679009999999998</c:v>
                </c:pt>
                <c:pt idx="45">
                  <c:v>0.44280999999999998</c:v>
                </c:pt>
                <c:pt idx="46">
                  <c:v>0.42893310000000001</c:v>
                </c:pt>
                <c:pt idx="47">
                  <c:v>0.4151667</c:v>
                </c:pt>
                <c:pt idx="48">
                  <c:v>0.40151809999999999</c:v>
                </c:pt>
                <c:pt idx="49">
                  <c:v>0.38799440000000002</c:v>
                </c:pt>
                <c:pt idx="50">
                  <c:v>0.3746025</c:v>
                </c:pt>
                <c:pt idx="51">
                  <c:v>0.36134929999999998</c:v>
                </c:pt>
                <c:pt idx="52">
                  <c:v>0.34824149999999998</c:v>
                </c:pt>
                <c:pt idx="53">
                  <c:v>0.33528560000000002</c:v>
                </c:pt>
                <c:pt idx="54">
                  <c:v>0.3224882</c:v>
                </c:pt>
                <c:pt idx="55">
                  <c:v>0.30985560000000001</c:v>
                </c:pt>
                <c:pt idx="56">
                  <c:v>0.29739409999999999</c:v>
                </c:pt>
                <c:pt idx="57">
                  <c:v>0.28510990000000003</c:v>
                </c:pt>
                <c:pt idx="58">
                  <c:v>0.273009</c:v>
                </c:pt>
                <c:pt idx="59">
                  <c:v>0.26109749999999998</c:v>
                </c:pt>
                <c:pt idx="60">
                  <c:v>0.2493812</c:v>
                </c:pt>
                <c:pt idx="61">
                  <c:v>0.23786599999999999</c:v>
                </c:pt>
                <c:pt idx="62">
                  <c:v>0.22655749999999999</c:v>
                </c:pt>
                <c:pt idx="63">
                  <c:v>0.2154615</c:v>
                </c:pt>
                <c:pt idx="64">
                  <c:v>0.2045835</c:v>
                </c:pt>
                <c:pt idx="65">
                  <c:v>0.19392899999999999</c:v>
                </c:pt>
                <c:pt idx="66">
                  <c:v>0.18350340000000001</c:v>
                </c:pt>
                <c:pt idx="67">
                  <c:v>0.1733122</c:v>
                </c:pt>
                <c:pt idx="68">
                  <c:v>0.16336049999999999</c:v>
                </c:pt>
                <c:pt idx="69">
                  <c:v>0.1536536</c:v>
                </c:pt>
                <c:pt idx="70">
                  <c:v>0.14419670000000001</c:v>
                </c:pt>
                <c:pt idx="71">
                  <c:v>0.1349949</c:v>
                </c:pt>
                <c:pt idx="72">
                  <c:v>0.12605330000000001</c:v>
                </c:pt>
                <c:pt idx="73">
                  <c:v>0.1173767</c:v>
                </c:pt>
                <c:pt idx="74">
                  <c:v>0.1089702</c:v>
                </c:pt>
                <c:pt idx="75">
                  <c:v>0.1008386</c:v>
                </c:pt>
                <c:pt idx="76">
                  <c:v>9.2986669999999993E-2</c:v>
                </c:pt>
                <c:pt idx="77">
                  <c:v>8.5419300000000004E-2</c:v>
                </c:pt>
                <c:pt idx="78">
                  <c:v>7.8141150000000006E-2</c:v>
                </c:pt>
                <c:pt idx="79">
                  <c:v>7.1156899999999995E-2</c:v>
                </c:pt>
                <c:pt idx="80">
                  <c:v>6.447116E-2</c:v>
                </c:pt>
                <c:pt idx="81">
                  <c:v>5.8088529999999999E-2</c:v>
                </c:pt>
                <c:pt idx="82">
                  <c:v>5.2013520000000001E-2</c:v>
                </c:pt>
                <c:pt idx="83">
                  <c:v>4.6250630000000001E-2</c:v>
                </c:pt>
                <c:pt idx="84">
                  <c:v>4.0804310000000003E-2</c:v>
                </c:pt>
                <c:pt idx="85">
                  <c:v>3.5678950000000001E-2</c:v>
                </c:pt>
                <c:pt idx="86">
                  <c:v>3.0878920000000001E-2</c:v>
                </c:pt>
                <c:pt idx="87">
                  <c:v>2.6408540000000001E-2</c:v>
                </c:pt>
                <c:pt idx="88">
                  <c:v>2.2272110000000001E-2</c:v>
                </c:pt>
                <c:pt idx="89">
                  <c:v>1.847385E-2</c:v>
                </c:pt>
                <c:pt idx="90">
                  <c:v>1.501799E-2</c:v>
                </c:pt>
                <c:pt idx="91">
                  <c:v>1.190869E-2</c:v>
                </c:pt>
                <c:pt idx="92">
                  <c:v>9.1500910000000008E-3</c:v>
                </c:pt>
                <c:pt idx="93">
                  <c:v>6.7462989999999999E-3</c:v>
                </c:pt>
                <c:pt idx="94">
                  <c:v>4.7013810000000001E-3</c:v>
                </c:pt>
                <c:pt idx="95">
                  <c:v>3.01937E-3</c:v>
                </c:pt>
                <c:pt idx="96">
                  <c:v>1.7042719999999999E-3</c:v>
                </c:pt>
                <c:pt idx="97">
                  <c:v>7.6005530000000003E-4</c:v>
                </c:pt>
                <c:pt idx="98">
                  <c:v>1.906617E-4</c:v>
                </c:pt>
                <c:pt idx="99" formatCode="0.00000000">
                  <c:v>0</c:v>
                </c:pt>
                <c:pt idx="100" formatCode="0.00000000">
                  <c:v>1.906617E-4</c:v>
                </c:pt>
                <c:pt idx="101" formatCode="0.00000000">
                  <c:v>7.6005530000000003E-4</c:v>
                </c:pt>
                <c:pt idx="102" formatCode="0.00000000">
                  <c:v>1.7042719999999999E-3</c:v>
                </c:pt>
                <c:pt idx="103" formatCode="0.00000000">
                  <c:v>3.01937E-3</c:v>
                </c:pt>
                <c:pt idx="104" formatCode="0.00000000">
                  <c:v>4.7013810000000001E-3</c:v>
                </c:pt>
                <c:pt idx="105" formatCode="0.00000000">
                  <c:v>6.7462989999999999E-3</c:v>
                </c:pt>
                <c:pt idx="106" formatCode="0.00000000">
                  <c:v>9.1500910000000008E-3</c:v>
                </c:pt>
                <c:pt idx="107" formatCode="0.00000000">
                  <c:v>1.190869E-2</c:v>
                </c:pt>
                <c:pt idx="108" formatCode="0.00000000">
                  <c:v>1.501799E-2</c:v>
                </c:pt>
                <c:pt idx="109" formatCode="0.00000000">
                  <c:v>1.847385E-2</c:v>
                </c:pt>
                <c:pt idx="110" formatCode="0.00000000">
                  <c:v>2.2272110000000001E-2</c:v>
                </c:pt>
                <c:pt idx="111" formatCode="0.00000000">
                  <c:v>2.6408540000000001E-2</c:v>
                </c:pt>
                <c:pt idx="112" formatCode="0.00000000">
                  <c:v>3.0878920000000001E-2</c:v>
                </c:pt>
                <c:pt idx="113" formatCode="0.00000000">
                  <c:v>3.5678950000000001E-2</c:v>
                </c:pt>
                <c:pt idx="114" formatCode="0.00000000">
                  <c:v>4.0804310000000003E-2</c:v>
                </c:pt>
                <c:pt idx="115" formatCode="0.00000000">
                  <c:v>4.6250630000000001E-2</c:v>
                </c:pt>
                <c:pt idx="116" formatCode="0.00000000">
                  <c:v>5.2013520000000001E-2</c:v>
                </c:pt>
                <c:pt idx="117" formatCode="0.00000000">
                  <c:v>5.8088529999999999E-2</c:v>
                </c:pt>
                <c:pt idx="118" formatCode="0.00000000">
                  <c:v>6.447116E-2</c:v>
                </c:pt>
                <c:pt idx="119" formatCode="0.00000000">
                  <c:v>7.1156899999999995E-2</c:v>
                </c:pt>
                <c:pt idx="120" formatCode="0.00000000">
                  <c:v>7.8141150000000006E-2</c:v>
                </c:pt>
                <c:pt idx="121" formatCode="0.00000000">
                  <c:v>8.5419300000000004E-2</c:v>
                </c:pt>
                <c:pt idx="122" formatCode="0.00000000">
                  <c:v>9.2986669999999993E-2</c:v>
                </c:pt>
                <c:pt idx="123" formatCode="0.00000000">
                  <c:v>0.1008386</c:v>
                </c:pt>
                <c:pt idx="124" formatCode="0.00000000">
                  <c:v>0.1089702</c:v>
                </c:pt>
                <c:pt idx="125" formatCode="0.00000000">
                  <c:v>0.1173767</c:v>
                </c:pt>
                <c:pt idx="126" formatCode="0.00000000">
                  <c:v>0.12605330000000001</c:v>
                </c:pt>
                <c:pt idx="127" formatCode="0.00000000">
                  <c:v>0.1349949</c:v>
                </c:pt>
                <c:pt idx="128" formatCode="0.00000000">
                  <c:v>0.14419670000000001</c:v>
                </c:pt>
                <c:pt idx="129" formatCode="0.00000000">
                  <c:v>0.1536536</c:v>
                </c:pt>
                <c:pt idx="130" formatCode="0.00000000">
                  <c:v>0.16336049999999999</c:v>
                </c:pt>
                <c:pt idx="131" formatCode="0.00000000">
                  <c:v>0.1733122</c:v>
                </c:pt>
                <c:pt idx="132" formatCode="0.00000000">
                  <c:v>0.18350340000000001</c:v>
                </c:pt>
                <c:pt idx="133" formatCode="0.00000000">
                  <c:v>0.19392899999999999</c:v>
                </c:pt>
                <c:pt idx="134" formatCode="0.00000000">
                  <c:v>0.2045835</c:v>
                </c:pt>
                <c:pt idx="135" formatCode="0.00000000">
                  <c:v>0.2154615</c:v>
                </c:pt>
                <c:pt idx="136" formatCode="0.00000000">
                  <c:v>0.22655749999999999</c:v>
                </c:pt>
                <c:pt idx="137" formatCode="0.00000000">
                  <c:v>0.23786599999999999</c:v>
                </c:pt>
                <c:pt idx="138" formatCode="0.00000000">
                  <c:v>0.2493812</c:v>
                </c:pt>
                <c:pt idx="139" formatCode="0.00000000">
                  <c:v>0.26109749999999998</c:v>
                </c:pt>
                <c:pt idx="140" formatCode="0.00000000">
                  <c:v>0.273009</c:v>
                </c:pt>
                <c:pt idx="141" formatCode="0.00000000">
                  <c:v>0.28510990000000003</c:v>
                </c:pt>
                <c:pt idx="142" formatCode="0.00000000">
                  <c:v>0.29739409999999999</c:v>
                </c:pt>
                <c:pt idx="143" formatCode="0.00000000">
                  <c:v>0.30985560000000001</c:v>
                </c:pt>
                <c:pt idx="144" formatCode="0.00000000">
                  <c:v>0.3224882</c:v>
                </c:pt>
                <c:pt idx="145" formatCode="0.00000000">
                  <c:v>0.33528560000000002</c:v>
                </c:pt>
                <c:pt idx="146" formatCode="0.00000000">
                  <c:v>0.34824149999999998</c:v>
                </c:pt>
                <c:pt idx="147" formatCode="0.00000000">
                  <c:v>0.36134929999999998</c:v>
                </c:pt>
                <c:pt idx="148" formatCode="0.00000000">
                  <c:v>0.3746025</c:v>
                </c:pt>
                <c:pt idx="149" formatCode="0.00000000">
                  <c:v>0.38799440000000002</c:v>
                </c:pt>
                <c:pt idx="150" formatCode="0.00000000">
                  <c:v>0.40151809999999999</c:v>
                </c:pt>
                <c:pt idx="151" formatCode="0.00000000">
                  <c:v>0.4151667</c:v>
                </c:pt>
                <c:pt idx="152" formatCode="0.00000000">
                  <c:v>0.42893310000000001</c:v>
                </c:pt>
                <c:pt idx="153" formatCode="0.00000000">
                  <c:v>0.44280999999999998</c:v>
                </c:pt>
                <c:pt idx="154" formatCode="0.00000000">
                  <c:v>0.45679009999999998</c:v>
                </c:pt>
                <c:pt idx="155" formatCode="0.00000000">
                  <c:v>0.4708659</c:v>
                </c:pt>
                <c:pt idx="156" formatCode="0.00000000">
                  <c:v>0.4850295</c:v>
                </c:pt>
                <c:pt idx="157" formatCode="0.00000000">
                  <c:v>0.49927329999999998</c:v>
                </c:pt>
                <c:pt idx="158" formatCode="0.00000000">
                  <c:v>0.51358910000000002</c:v>
                </c:pt>
                <c:pt idx="159" formatCode="0.00000000">
                  <c:v>0.52796880000000002</c:v>
                </c:pt>
                <c:pt idx="160" formatCode="0.00000000">
                  <c:v>0.54240379999999999</c:v>
                </c:pt>
                <c:pt idx="161" formatCode="0.00000000">
                  <c:v>0.55688559999999998</c:v>
                </c:pt>
                <c:pt idx="162" formatCode="0.00000000">
                  <c:v>0.57140539999999995</c:v>
                </c:pt>
                <c:pt idx="163" formatCode="0.00000000">
                  <c:v>0.58595390000000003</c:v>
                </c:pt>
                <c:pt idx="164" formatCode="0.00000000">
                  <c:v>0.60052190000000005</c:v>
                </c:pt>
                <c:pt idx="165" formatCode="0.00000000">
                  <c:v>0.61509979999999997</c:v>
                </c:pt>
                <c:pt idx="166" formatCode="0.00000000">
                  <c:v>0.62967770000000001</c:v>
                </c:pt>
                <c:pt idx="167" formatCode="0.00000000">
                  <c:v>0.64424530000000002</c:v>
                </c:pt>
                <c:pt idx="168" formatCode="0.00000000">
                  <c:v>0.65879220000000005</c:v>
                </c:pt>
                <c:pt idx="169" formatCode="0.00000000">
                  <c:v>0.67330749999999995</c:v>
                </c:pt>
                <c:pt idx="170" formatCode="0.00000000">
                  <c:v>0.6877799</c:v>
                </c:pt>
                <c:pt idx="171" formatCode="0.00000000">
                  <c:v>0.70219770000000004</c:v>
                </c:pt>
                <c:pt idx="172" formatCode="0.00000000">
                  <c:v>0.71654890000000004</c:v>
                </c:pt>
                <c:pt idx="173" formatCode="0.00000000">
                  <c:v>0.7308209</c:v>
                </c:pt>
                <c:pt idx="174" formatCode="0.00000000">
                  <c:v>0.74500049999999995</c:v>
                </c:pt>
                <c:pt idx="175" formatCode="0.00000000">
                  <c:v>0.75907420000000003</c:v>
                </c:pt>
                <c:pt idx="176" formatCode="0.00000000">
                  <c:v>0.77302749999999998</c:v>
                </c:pt>
                <c:pt idx="177" formatCode="0.00000000">
                  <c:v>0.78684540000000003</c:v>
                </c:pt>
                <c:pt idx="178" formatCode="0.00000000">
                  <c:v>0.80051220000000001</c:v>
                </c:pt>
                <c:pt idx="179" formatCode="0.00000000">
                  <c:v>0.81401129999999999</c:v>
                </c:pt>
                <c:pt idx="180" formatCode="0.00000000">
                  <c:v>0.82732499999999998</c:v>
                </c:pt>
                <c:pt idx="181" formatCode="0.00000000">
                  <c:v>0.84043469999999998</c:v>
                </c:pt>
                <c:pt idx="182" formatCode="0.00000000">
                  <c:v>0.85332050000000004</c:v>
                </c:pt>
                <c:pt idx="183" formatCode="0.00000000">
                  <c:v>0.86596090000000003</c:v>
                </c:pt>
                <c:pt idx="184" formatCode="0.00000000">
                  <c:v>0.87833309999999998</c:v>
                </c:pt>
                <c:pt idx="185" formatCode="0.00000000">
                  <c:v>0.89041230000000005</c:v>
                </c:pt>
                <c:pt idx="186" formatCode="0.00000000">
                  <c:v>0.90217119999999995</c:v>
                </c:pt>
                <c:pt idx="187" formatCode="0.00000000">
                  <c:v>0.91358019999999995</c:v>
                </c:pt>
                <c:pt idx="188" formatCode="0.00000000">
                  <c:v>0.92460629999999999</c:v>
                </c:pt>
                <c:pt idx="189" formatCode="0.00000000">
                  <c:v>0.93521240000000005</c:v>
                </c:pt>
                <c:pt idx="190" formatCode="0.00000000">
                  <c:v>0.94535659999999999</c:v>
                </c:pt>
                <c:pt idx="191" formatCode="0.00000000">
                  <c:v>0.95499020000000001</c:v>
                </c:pt>
                <c:pt idx="192" formatCode="0.00000000">
                  <c:v>0.96405589999999997</c:v>
                </c:pt>
                <c:pt idx="193" formatCode="0.00000000">
                  <c:v>0.97248440000000003</c:v>
                </c:pt>
                <c:pt idx="194" formatCode="0.00000000">
                  <c:v>0.98018839999999996</c:v>
                </c:pt>
                <c:pt idx="195" formatCode="0.00000000">
                  <c:v>0.98705209999999999</c:v>
                </c:pt>
                <c:pt idx="196" formatCode="0.00000000">
                  <c:v>0.99290849999999997</c:v>
                </c:pt>
                <c:pt idx="197" formatCode="0.00000000">
                  <c:v>0.99747739999999996</c:v>
                </c:pt>
                <c:pt idx="198" formatCode="0.00000000">
                  <c:v>1</c:v>
                </c:pt>
              </c:numCache>
            </c:numRef>
          </c:xVal>
          <c:yVal>
            <c:numRef>
              <c:f>cp_data!$U$2:$U$200</c:f>
              <c:numCache>
                <c:formatCode>0.0000</c:formatCode>
                <c:ptCount val="19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03-40A8-BDF6-E8F854991EF5}"/>
            </c:ext>
          </c:extLst>
        </c:ser>
        <c:ser>
          <c:idx val="5"/>
          <c:order val="5"/>
          <c:tx>
            <c:v>NACA 23012 (Inviscid)</c:v>
          </c:tx>
          <c:spPr>
            <a:ln w="12700" cap="rnd">
              <a:solidFill>
                <a:srgbClr val="00C459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cp_data!$W$2:$W$200</c:f>
              <c:numCache>
                <c:formatCode>0.0000</c:formatCode>
                <c:ptCount val="199"/>
                <c:pt idx="0">
                  <c:v>1</c:v>
                </c:pt>
                <c:pt idx="1">
                  <c:v>0.99747739999999996</c:v>
                </c:pt>
                <c:pt idx="2">
                  <c:v>0.99290849999999997</c:v>
                </c:pt>
                <c:pt idx="3">
                  <c:v>0.98705209999999999</c:v>
                </c:pt>
                <c:pt idx="4">
                  <c:v>0.98018839999999996</c:v>
                </c:pt>
                <c:pt idx="5">
                  <c:v>0.97248440000000003</c:v>
                </c:pt>
                <c:pt idx="6">
                  <c:v>0.96405589999999997</c:v>
                </c:pt>
                <c:pt idx="7">
                  <c:v>0.95499020000000001</c:v>
                </c:pt>
                <c:pt idx="8">
                  <c:v>0.94535659999999999</c:v>
                </c:pt>
                <c:pt idx="9">
                  <c:v>0.93521240000000005</c:v>
                </c:pt>
                <c:pt idx="10">
                  <c:v>0.92460629999999999</c:v>
                </c:pt>
                <c:pt idx="11">
                  <c:v>0.91358019999999995</c:v>
                </c:pt>
                <c:pt idx="12">
                  <c:v>0.90217119999999995</c:v>
                </c:pt>
                <c:pt idx="13">
                  <c:v>0.89041230000000005</c:v>
                </c:pt>
                <c:pt idx="14">
                  <c:v>0.87833309999999998</c:v>
                </c:pt>
                <c:pt idx="15">
                  <c:v>0.86596090000000003</c:v>
                </c:pt>
                <c:pt idx="16">
                  <c:v>0.85332050000000004</c:v>
                </c:pt>
                <c:pt idx="17">
                  <c:v>0.84043469999999998</c:v>
                </c:pt>
                <c:pt idx="18">
                  <c:v>0.82732499999999998</c:v>
                </c:pt>
                <c:pt idx="19">
                  <c:v>0.81401129999999999</c:v>
                </c:pt>
                <c:pt idx="20">
                  <c:v>0.80051220000000001</c:v>
                </c:pt>
                <c:pt idx="21">
                  <c:v>0.78684540000000003</c:v>
                </c:pt>
                <c:pt idx="22">
                  <c:v>0.77302749999999998</c:v>
                </c:pt>
                <c:pt idx="23">
                  <c:v>0.75907420000000003</c:v>
                </c:pt>
                <c:pt idx="24">
                  <c:v>0.74500049999999995</c:v>
                </c:pt>
                <c:pt idx="25">
                  <c:v>0.7308209</c:v>
                </c:pt>
                <c:pt idx="26">
                  <c:v>0.71654890000000004</c:v>
                </c:pt>
                <c:pt idx="27">
                  <c:v>0.70219770000000004</c:v>
                </c:pt>
                <c:pt idx="28">
                  <c:v>0.6877799</c:v>
                </c:pt>
                <c:pt idx="29">
                  <c:v>0.67330749999999995</c:v>
                </c:pt>
                <c:pt idx="30">
                  <c:v>0.65879220000000005</c:v>
                </c:pt>
                <c:pt idx="31">
                  <c:v>0.64424530000000002</c:v>
                </c:pt>
                <c:pt idx="32">
                  <c:v>0.62967770000000001</c:v>
                </c:pt>
                <c:pt idx="33">
                  <c:v>0.61509979999999997</c:v>
                </c:pt>
                <c:pt idx="34">
                  <c:v>0.60052190000000005</c:v>
                </c:pt>
                <c:pt idx="35">
                  <c:v>0.58595390000000003</c:v>
                </c:pt>
                <c:pt idx="36">
                  <c:v>0.57140539999999995</c:v>
                </c:pt>
                <c:pt idx="37">
                  <c:v>0.55688559999999998</c:v>
                </c:pt>
                <c:pt idx="38">
                  <c:v>0.54240379999999999</c:v>
                </c:pt>
                <c:pt idx="39">
                  <c:v>0.52796880000000002</c:v>
                </c:pt>
                <c:pt idx="40">
                  <c:v>0.51358910000000002</c:v>
                </c:pt>
                <c:pt idx="41">
                  <c:v>0.49927329999999998</c:v>
                </c:pt>
                <c:pt idx="42">
                  <c:v>0.4850295</c:v>
                </c:pt>
                <c:pt idx="43">
                  <c:v>0.4708659</c:v>
                </c:pt>
                <c:pt idx="44">
                  <c:v>0.45679009999999998</c:v>
                </c:pt>
                <c:pt idx="45">
                  <c:v>0.44280999999999998</c:v>
                </c:pt>
                <c:pt idx="46">
                  <c:v>0.42893310000000001</c:v>
                </c:pt>
                <c:pt idx="47">
                  <c:v>0.4151667</c:v>
                </c:pt>
                <c:pt idx="48">
                  <c:v>0.40151809999999999</c:v>
                </c:pt>
                <c:pt idx="49">
                  <c:v>0.38799440000000002</c:v>
                </c:pt>
                <c:pt idx="50">
                  <c:v>0.3746025</c:v>
                </c:pt>
                <c:pt idx="51">
                  <c:v>0.36134929999999998</c:v>
                </c:pt>
                <c:pt idx="52">
                  <c:v>0.34824149999999998</c:v>
                </c:pt>
                <c:pt idx="53">
                  <c:v>0.33528560000000002</c:v>
                </c:pt>
                <c:pt idx="54">
                  <c:v>0.3224882</c:v>
                </c:pt>
                <c:pt idx="55">
                  <c:v>0.30985560000000001</c:v>
                </c:pt>
                <c:pt idx="56">
                  <c:v>0.29739409999999999</c:v>
                </c:pt>
                <c:pt idx="57">
                  <c:v>0.28510990000000003</c:v>
                </c:pt>
                <c:pt idx="58">
                  <c:v>0.273009</c:v>
                </c:pt>
                <c:pt idx="59">
                  <c:v>0.26109749999999998</c:v>
                </c:pt>
                <c:pt idx="60">
                  <c:v>0.2493812</c:v>
                </c:pt>
                <c:pt idx="61">
                  <c:v>0.23786599999999999</c:v>
                </c:pt>
                <c:pt idx="62">
                  <c:v>0.22655749999999999</c:v>
                </c:pt>
                <c:pt idx="63">
                  <c:v>0.2154615</c:v>
                </c:pt>
                <c:pt idx="64">
                  <c:v>0.2045835</c:v>
                </c:pt>
                <c:pt idx="65">
                  <c:v>0.19392899999999999</c:v>
                </c:pt>
                <c:pt idx="66">
                  <c:v>0.18350340000000001</c:v>
                </c:pt>
                <c:pt idx="67">
                  <c:v>0.1733122</c:v>
                </c:pt>
                <c:pt idx="68">
                  <c:v>0.16336049999999999</c:v>
                </c:pt>
                <c:pt idx="69">
                  <c:v>0.1536536</c:v>
                </c:pt>
                <c:pt idx="70">
                  <c:v>0.14419670000000001</c:v>
                </c:pt>
                <c:pt idx="71">
                  <c:v>0.1349949</c:v>
                </c:pt>
                <c:pt idx="72">
                  <c:v>0.12605330000000001</c:v>
                </c:pt>
                <c:pt idx="73">
                  <c:v>0.1173767</c:v>
                </c:pt>
                <c:pt idx="74">
                  <c:v>0.1089702</c:v>
                </c:pt>
                <c:pt idx="75">
                  <c:v>0.1008386</c:v>
                </c:pt>
                <c:pt idx="76">
                  <c:v>9.2986669999999993E-2</c:v>
                </c:pt>
                <c:pt idx="77">
                  <c:v>8.5419300000000004E-2</c:v>
                </c:pt>
                <c:pt idx="78">
                  <c:v>7.8141150000000006E-2</c:v>
                </c:pt>
                <c:pt idx="79">
                  <c:v>7.1156899999999995E-2</c:v>
                </c:pt>
                <c:pt idx="80">
                  <c:v>6.447116E-2</c:v>
                </c:pt>
                <c:pt idx="81">
                  <c:v>5.8088529999999999E-2</c:v>
                </c:pt>
                <c:pt idx="82">
                  <c:v>5.2013520000000001E-2</c:v>
                </c:pt>
                <c:pt idx="83">
                  <c:v>4.6250630000000001E-2</c:v>
                </c:pt>
                <c:pt idx="84">
                  <c:v>4.0804310000000003E-2</c:v>
                </c:pt>
                <c:pt idx="85">
                  <c:v>3.5678950000000001E-2</c:v>
                </c:pt>
                <c:pt idx="86">
                  <c:v>3.0878920000000001E-2</c:v>
                </c:pt>
                <c:pt idx="87">
                  <c:v>2.6408540000000001E-2</c:v>
                </c:pt>
                <c:pt idx="88">
                  <c:v>2.2272110000000001E-2</c:v>
                </c:pt>
                <c:pt idx="89">
                  <c:v>1.847385E-2</c:v>
                </c:pt>
                <c:pt idx="90">
                  <c:v>1.501799E-2</c:v>
                </c:pt>
                <c:pt idx="91">
                  <c:v>1.190869E-2</c:v>
                </c:pt>
                <c:pt idx="92">
                  <c:v>9.1500910000000008E-3</c:v>
                </c:pt>
                <c:pt idx="93">
                  <c:v>6.7462989999999999E-3</c:v>
                </c:pt>
                <c:pt idx="94">
                  <c:v>4.7013810000000001E-3</c:v>
                </c:pt>
                <c:pt idx="95">
                  <c:v>3.01937E-3</c:v>
                </c:pt>
                <c:pt idx="96">
                  <c:v>1.7042719999999999E-3</c:v>
                </c:pt>
                <c:pt idx="97">
                  <c:v>7.6005530000000003E-4</c:v>
                </c:pt>
                <c:pt idx="98">
                  <c:v>1.906617E-4</c:v>
                </c:pt>
                <c:pt idx="99" formatCode="0.00000000">
                  <c:v>0</c:v>
                </c:pt>
                <c:pt idx="100" formatCode="0.00000000">
                  <c:v>1.906617E-4</c:v>
                </c:pt>
                <c:pt idx="101" formatCode="0.00000000">
                  <c:v>7.6005530000000003E-4</c:v>
                </c:pt>
                <c:pt idx="102" formatCode="0.00000000">
                  <c:v>1.7042719999999999E-3</c:v>
                </c:pt>
                <c:pt idx="103" formatCode="0.00000000">
                  <c:v>3.01937E-3</c:v>
                </c:pt>
                <c:pt idx="104" formatCode="0.00000000">
                  <c:v>4.7013810000000001E-3</c:v>
                </c:pt>
                <c:pt idx="105" formatCode="0.00000000">
                  <c:v>6.7462989999999999E-3</c:v>
                </c:pt>
                <c:pt idx="106" formatCode="0.00000000">
                  <c:v>9.1500910000000008E-3</c:v>
                </c:pt>
                <c:pt idx="107" formatCode="0.00000000">
                  <c:v>1.190869E-2</c:v>
                </c:pt>
                <c:pt idx="108" formatCode="0.00000000">
                  <c:v>1.501799E-2</c:v>
                </c:pt>
                <c:pt idx="109" formatCode="0.00000000">
                  <c:v>1.847385E-2</c:v>
                </c:pt>
                <c:pt idx="110" formatCode="0.00000000">
                  <c:v>2.2272110000000001E-2</c:v>
                </c:pt>
                <c:pt idx="111" formatCode="0.00000000">
                  <c:v>2.6408540000000001E-2</c:v>
                </c:pt>
                <c:pt idx="112" formatCode="0.00000000">
                  <c:v>3.0878920000000001E-2</c:v>
                </c:pt>
                <c:pt idx="113" formatCode="0.00000000">
                  <c:v>3.5678950000000001E-2</c:v>
                </c:pt>
                <c:pt idx="114" formatCode="0.00000000">
                  <c:v>4.0804310000000003E-2</c:v>
                </c:pt>
                <c:pt idx="115" formatCode="0.00000000">
                  <c:v>4.6250630000000001E-2</c:v>
                </c:pt>
                <c:pt idx="116" formatCode="0.00000000">
                  <c:v>5.2013520000000001E-2</c:v>
                </c:pt>
                <c:pt idx="117" formatCode="0.00000000">
                  <c:v>5.8088529999999999E-2</c:v>
                </c:pt>
                <c:pt idx="118" formatCode="0.00000000">
                  <c:v>6.447116E-2</c:v>
                </c:pt>
                <c:pt idx="119" formatCode="0.00000000">
                  <c:v>7.1156899999999995E-2</c:v>
                </c:pt>
                <c:pt idx="120" formatCode="0.00000000">
                  <c:v>7.8141150000000006E-2</c:v>
                </c:pt>
                <c:pt idx="121" formatCode="0.00000000">
                  <c:v>8.5419300000000004E-2</c:v>
                </c:pt>
                <c:pt idx="122" formatCode="0.00000000">
                  <c:v>9.2986669999999993E-2</c:v>
                </c:pt>
                <c:pt idx="123" formatCode="0.00000000">
                  <c:v>0.1008386</c:v>
                </c:pt>
                <c:pt idx="124" formatCode="0.00000000">
                  <c:v>0.1089702</c:v>
                </c:pt>
                <c:pt idx="125" formatCode="0.00000000">
                  <c:v>0.1173767</c:v>
                </c:pt>
                <c:pt idx="126" formatCode="0.00000000">
                  <c:v>0.12605330000000001</c:v>
                </c:pt>
                <c:pt idx="127" formatCode="0.00000000">
                  <c:v>0.1349949</c:v>
                </c:pt>
                <c:pt idx="128" formatCode="0.00000000">
                  <c:v>0.14419670000000001</c:v>
                </c:pt>
                <c:pt idx="129" formatCode="0.00000000">
                  <c:v>0.1536536</c:v>
                </c:pt>
                <c:pt idx="130" formatCode="0.00000000">
                  <c:v>0.16336049999999999</c:v>
                </c:pt>
                <c:pt idx="131" formatCode="0.00000000">
                  <c:v>0.1733122</c:v>
                </c:pt>
                <c:pt idx="132" formatCode="0.00000000">
                  <c:v>0.18350340000000001</c:v>
                </c:pt>
                <c:pt idx="133" formatCode="0.00000000">
                  <c:v>0.19392899999999999</c:v>
                </c:pt>
                <c:pt idx="134" formatCode="0.00000000">
                  <c:v>0.2045835</c:v>
                </c:pt>
                <c:pt idx="135" formatCode="0.00000000">
                  <c:v>0.2154615</c:v>
                </c:pt>
                <c:pt idx="136" formatCode="0.00000000">
                  <c:v>0.22655749999999999</c:v>
                </c:pt>
                <c:pt idx="137" formatCode="0.00000000">
                  <c:v>0.23786599999999999</c:v>
                </c:pt>
                <c:pt idx="138" formatCode="0.00000000">
                  <c:v>0.2493812</c:v>
                </c:pt>
                <c:pt idx="139" formatCode="0.00000000">
                  <c:v>0.26109749999999998</c:v>
                </c:pt>
                <c:pt idx="140" formatCode="0.00000000">
                  <c:v>0.273009</c:v>
                </c:pt>
                <c:pt idx="141" formatCode="0.00000000">
                  <c:v>0.28510990000000003</c:v>
                </c:pt>
                <c:pt idx="142" formatCode="0.00000000">
                  <c:v>0.29739409999999999</c:v>
                </c:pt>
                <c:pt idx="143" formatCode="0.00000000">
                  <c:v>0.30985560000000001</c:v>
                </c:pt>
                <c:pt idx="144" formatCode="0.00000000">
                  <c:v>0.3224882</c:v>
                </c:pt>
                <c:pt idx="145" formatCode="0.00000000">
                  <c:v>0.33528560000000002</c:v>
                </c:pt>
                <c:pt idx="146" formatCode="0.00000000">
                  <c:v>0.34824149999999998</c:v>
                </c:pt>
                <c:pt idx="147" formatCode="0.00000000">
                  <c:v>0.36134929999999998</c:v>
                </c:pt>
                <c:pt idx="148" formatCode="0.00000000">
                  <c:v>0.3746025</c:v>
                </c:pt>
                <c:pt idx="149" formatCode="0.00000000">
                  <c:v>0.38799440000000002</c:v>
                </c:pt>
                <c:pt idx="150" formatCode="0.00000000">
                  <c:v>0.40151809999999999</c:v>
                </c:pt>
                <c:pt idx="151" formatCode="0.00000000">
                  <c:v>0.4151667</c:v>
                </c:pt>
                <c:pt idx="152" formatCode="0.00000000">
                  <c:v>0.42893310000000001</c:v>
                </c:pt>
                <c:pt idx="153" formatCode="0.00000000">
                  <c:v>0.44280999999999998</c:v>
                </c:pt>
                <c:pt idx="154" formatCode="0.00000000">
                  <c:v>0.45679009999999998</c:v>
                </c:pt>
                <c:pt idx="155" formatCode="0.00000000">
                  <c:v>0.4708659</c:v>
                </c:pt>
                <c:pt idx="156" formatCode="0.00000000">
                  <c:v>0.4850295</c:v>
                </c:pt>
                <c:pt idx="157" formatCode="0.00000000">
                  <c:v>0.49927329999999998</c:v>
                </c:pt>
                <c:pt idx="158" formatCode="0.00000000">
                  <c:v>0.51358910000000002</c:v>
                </c:pt>
                <c:pt idx="159" formatCode="0.00000000">
                  <c:v>0.52796880000000002</c:v>
                </c:pt>
                <c:pt idx="160" formatCode="0.00000000">
                  <c:v>0.54240379999999999</c:v>
                </c:pt>
                <c:pt idx="161" formatCode="0.00000000">
                  <c:v>0.55688559999999998</c:v>
                </c:pt>
                <c:pt idx="162" formatCode="0.00000000">
                  <c:v>0.57140539999999995</c:v>
                </c:pt>
                <c:pt idx="163" formatCode="0.00000000">
                  <c:v>0.58595390000000003</c:v>
                </c:pt>
                <c:pt idx="164" formatCode="0.00000000">
                  <c:v>0.60052190000000005</c:v>
                </c:pt>
                <c:pt idx="165" formatCode="0.00000000">
                  <c:v>0.61509979999999997</c:v>
                </c:pt>
                <c:pt idx="166" formatCode="0.00000000">
                  <c:v>0.62967770000000001</c:v>
                </c:pt>
                <c:pt idx="167" formatCode="0.00000000">
                  <c:v>0.64424530000000002</c:v>
                </c:pt>
                <c:pt idx="168" formatCode="0.00000000">
                  <c:v>0.65879220000000005</c:v>
                </c:pt>
                <c:pt idx="169" formatCode="0.00000000">
                  <c:v>0.67330749999999995</c:v>
                </c:pt>
                <c:pt idx="170" formatCode="0.00000000">
                  <c:v>0.6877799</c:v>
                </c:pt>
                <c:pt idx="171" formatCode="0.00000000">
                  <c:v>0.70219770000000004</c:v>
                </c:pt>
                <c:pt idx="172" formatCode="0.00000000">
                  <c:v>0.71654890000000004</c:v>
                </c:pt>
                <c:pt idx="173" formatCode="0.00000000">
                  <c:v>0.7308209</c:v>
                </c:pt>
                <c:pt idx="174" formatCode="0.00000000">
                  <c:v>0.74500049999999995</c:v>
                </c:pt>
                <c:pt idx="175" formatCode="0.00000000">
                  <c:v>0.75907420000000003</c:v>
                </c:pt>
                <c:pt idx="176" formatCode="0.00000000">
                  <c:v>0.77302749999999998</c:v>
                </c:pt>
                <c:pt idx="177" formatCode="0.00000000">
                  <c:v>0.78684540000000003</c:v>
                </c:pt>
                <c:pt idx="178" formatCode="0.00000000">
                  <c:v>0.80051220000000001</c:v>
                </c:pt>
                <c:pt idx="179" formatCode="0.00000000">
                  <c:v>0.81401129999999999</c:v>
                </c:pt>
                <c:pt idx="180" formatCode="0.00000000">
                  <c:v>0.82732499999999998</c:v>
                </c:pt>
                <c:pt idx="181" formatCode="0.00000000">
                  <c:v>0.84043469999999998</c:v>
                </c:pt>
                <c:pt idx="182" formatCode="0.00000000">
                  <c:v>0.85332050000000004</c:v>
                </c:pt>
                <c:pt idx="183" formatCode="0.00000000">
                  <c:v>0.86596090000000003</c:v>
                </c:pt>
                <c:pt idx="184" formatCode="0.00000000">
                  <c:v>0.87833309999999998</c:v>
                </c:pt>
                <c:pt idx="185" formatCode="0.00000000">
                  <c:v>0.89041230000000005</c:v>
                </c:pt>
                <c:pt idx="186" formatCode="0.00000000">
                  <c:v>0.90217119999999995</c:v>
                </c:pt>
                <c:pt idx="187" formatCode="0.00000000">
                  <c:v>0.91358019999999995</c:v>
                </c:pt>
                <c:pt idx="188" formatCode="0.00000000">
                  <c:v>0.92460629999999999</c:v>
                </c:pt>
                <c:pt idx="189" formatCode="0.00000000">
                  <c:v>0.93521240000000005</c:v>
                </c:pt>
                <c:pt idx="190" formatCode="0.00000000">
                  <c:v>0.94535659999999999</c:v>
                </c:pt>
                <c:pt idx="191" formatCode="0.00000000">
                  <c:v>0.95499020000000001</c:v>
                </c:pt>
                <c:pt idx="192" formatCode="0.00000000">
                  <c:v>0.96405589999999997</c:v>
                </c:pt>
                <c:pt idx="193" formatCode="0.00000000">
                  <c:v>0.97248440000000003</c:v>
                </c:pt>
                <c:pt idx="194" formatCode="0.00000000">
                  <c:v>0.98018839999999996</c:v>
                </c:pt>
                <c:pt idx="195" formatCode="0.00000000">
                  <c:v>0.98705209999999999</c:v>
                </c:pt>
                <c:pt idx="196" formatCode="0.00000000">
                  <c:v>0.99290849999999997</c:v>
                </c:pt>
                <c:pt idx="197" formatCode="0.00000000">
                  <c:v>0.99747739999999996</c:v>
                </c:pt>
                <c:pt idx="198" formatCode="0.00000000">
                  <c:v>1</c:v>
                </c:pt>
              </c:numCache>
            </c:numRef>
          </c:xVal>
          <c:yVal>
            <c:numRef>
              <c:f>cp_data!$Y$2:$Y$200</c:f>
              <c:numCache>
                <c:formatCode>0.0000</c:formatCode>
                <c:ptCount val="19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003-40A8-BDF6-E8F854991EF5}"/>
            </c:ext>
          </c:extLst>
        </c:ser>
        <c:ser>
          <c:idx val="6"/>
          <c:order val="6"/>
          <c:tx>
            <c:v>NACA 63-215 (Viscous)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cp_data!$AB$2:$AB$102</c:f>
              <c:numCache>
                <c:formatCode>0.0000</c:formatCode>
                <c:ptCount val="101"/>
                <c:pt idx="0">
                  <c:v>1</c:v>
                </c:pt>
                <c:pt idx="1">
                  <c:v>0.99611899999999998</c:v>
                </c:pt>
                <c:pt idx="2">
                  <c:v>0.99048099999999994</c:v>
                </c:pt>
                <c:pt idx="3">
                  <c:v>0.98311099999999996</c:v>
                </c:pt>
                <c:pt idx="4">
                  <c:v>0.97403899999999999</c:v>
                </c:pt>
                <c:pt idx="5">
                  <c:v>0.96330000000000005</c:v>
                </c:pt>
                <c:pt idx="6">
                  <c:v>0.95093499999999997</c:v>
                </c:pt>
                <c:pt idx="7">
                  <c:v>0.93699200000000005</c:v>
                </c:pt>
                <c:pt idx="8">
                  <c:v>0.92152199999999995</c:v>
                </c:pt>
                <c:pt idx="9">
                  <c:v>0.90458499999999997</c:v>
                </c:pt>
                <c:pt idx="10">
                  <c:v>0.886239</c:v>
                </c:pt>
                <c:pt idx="11">
                  <c:v>0.86654799999999998</c:v>
                </c:pt>
                <c:pt idx="12">
                  <c:v>0.84558199999999994</c:v>
                </c:pt>
                <c:pt idx="13">
                  <c:v>0.823411</c:v>
                </c:pt>
                <c:pt idx="14">
                  <c:v>0.80011100000000002</c:v>
                </c:pt>
                <c:pt idx="15">
                  <c:v>0.77575799999999995</c:v>
                </c:pt>
                <c:pt idx="16">
                  <c:v>0.75042600000000004</c:v>
                </c:pt>
                <c:pt idx="17">
                  <c:v>0.72419800000000001</c:v>
                </c:pt>
                <c:pt idx="18">
                  <c:v>0.69715499999999997</c:v>
                </c:pt>
                <c:pt idx="19">
                  <c:v>0.66938399999999998</c:v>
                </c:pt>
                <c:pt idx="20">
                  <c:v>0.64097000000000004</c:v>
                </c:pt>
                <c:pt idx="21">
                  <c:v>0.61200500000000002</c:v>
                </c:pt>
                <c:pt idx="22">
                  <c:v>0.58258200000000004</c:v>
                </c:pt>
                <c:pt idx="23">
                  <c:v>0.55279999999999996</c:v>
                </c:pt>
                <c:pt idx="24">
                  <c:v>0.52276</c:v>
                </c:pt>
                <c:pt idx="25">
                  <c:v>0.492566</c:v>
                </c:pt>
                <c:pt idx="26">
                  <c:v>0.46232400000000001</c:v>
                </c:pt>
                <c:pt idx="27">
                  <c:v>0.43214200000000003</c:v>
                </c:pt>
                <c:pt idx="28">
                  <c:v>0.40213500000000002</c:v>
                </c:pt>
                <c:pt idx="29">
                  <c:v>0.372417</c:v>
                </c:pt>
                <c:pt idx="30">
                  <c:v>0.343107</c:v>
                </c:pt>
                <c:pt idx="31">
                  <c:v>0.31432199999999999</c:v>
                </c:pt>
                <c:pt idx="32">
                  <c:v>0.28617900000000002</c:v>
                </c:pt>
                <c:pt idx="33">
                  <c:v>0.25878800000000002</c:v>
                </c:pt>
                <c:pt idx="34">
                  <c:v>0.23225199999999999</c:v>
                </c:pt>
                <c:pt idx="35">
                  <c:v>0.206674</c:v>
                </c:pt>
                <c:pt idx="36">
                  <c:v>0.18215500000000001</c:v>
                </c:pt>
                <c:pt idx="37">
                  <c:v>0.15878800000000001</c:v>
                </c:pt>
                <c:pt idx="38">
                  <c:v>0.13666500000000001</c:v>
                </c:pt>
                <c:pt idx="39">
                  <c:v>0.115871</c:v>
                </c:pt>
                <c:pt idx="40">
                  <c:v>9.6490000000000006E-2</c:v>
                </c:pt>
                <c:pt idx="41">
                  <c:v>7.8604999999999994E-2</c:v>
                </c:pt>
                <c:pt idx="42">
                  <c:v>6.2299E-2</c:v>
                </c:pt>
                <c:pt idx="43">
                  <c:v>4.7662999999999997E-2</c:v>
                </c:pt>
                <c:pt idx="44">
                  <c:v>3.4777000000000002E-2</c:v>
                </c:pt>
                <c:pt idx="45">
                  <c:v>2.3695000000000001E-2</c:v>
                </c:pt>
                <c:pt idx="46">
                  <c:v>1.4515999999999999E-2</c:v>
                </c:pt>
                <c:pt idx="47">
                  <c:v>7.4590000000000004E-3</c:v>
                </c:pt>
                <c:pt idx="48">
                  <c:v>2.7590000000000002E-3</c:v>
                </c:pt>
                <c:pt idx="49">
                  <c:v>4.1399999999999998E-4</c:v>
                </c:pt>
                <c:pt idx="50">
                  <c:v>-1.5100000000000001E-4</c:v>
                </c:pt>
                <c:pt idx="51">
                  <c:v>4.5899999999999999E-4</c:v>
                </c:pt>
                <c:pt idx="52">
                  <c:v>2.676E-3</c:v>
                </c:pt>
                <c:pt idx="53">
                  <c:v>7.4450000000000002E-3</c:v>
                </c:pt>
                <c:pt idx="54">
                  <c:v>1.4782999999999999E-2</c:v>
                </c:pt>
                <c:pt idx="55">
                  <c:v>2.4334000000000001E-2</c:v>
                </c:pt>
                <c:pt idx="56">
                  <c:v>3.5790000000000002E-2</c:v>
                </c:pt>
                <c:pt idx="57">
                  <c:v>4.9013000000000001E-2</c:v>
                </c:pt>
                <c:pt idx="58">
                  <c:v>6.3934000000000005E-2</c:v>
                </c:pt>
                <c:pt idx="59">
                  <c:v>8.0475000000000005E-2</c:v>
                </c:pt>
                <c:pt idx="60">
                  <c:v>9.8544999999999994E-2</c:v>
                </c:pt>
                <c:pt idx="61">
                  <c:v>0.118063</c:v>
                </c:pt>
                <c:pt idx="62">
                  <c:v>0.13894899999999999</c:v>
                </c:pt>
                <c:pt idx="63">
                  <c:v>0.16112099999999999</c:v>
                </c:pt>
                <c:pt idx="64">
                  <c:v>0.18449499999999999</c:v>
                </c:pt>
                <c:pt idx="65">
                  <c:v>0.208983</c:v>
                </c:pt>
                <c:pt idx="66">
                  <c:v>0.23449400000000001</c:v>
                </c:pt>
                <c:pt idx="67">
                  <c:v>0.260932</c:v>
                </c:pt>
                <c:pt idx="68">
                  <c:v>0.28819699999999998</c:v>
                </c:pt>
                <c:pt idx="69">
                  <c:v>0.316189</c:v>
                </c:pt>
                <c:pt idx="70">
                  <c:v>0.34480100000000002</c:v>
                </c:pt>
                <c:pt idx="71">
                  <c:v>0.373921</c:v>
                </c:pt>
                <c:pt idx="72">
                  <c:v>0.40343899999999999</c:v>
                </c:pt>
                <c:pt idx="73">
                  <c:v>0.43324099999999999</c:v>
                </c:pt>
                <c:pt idx="74">
                  <c:v>0.46321699999999999</c:v>
                </c:pt>
                <c:pt idx="75">
                  <c:v>0.493259</c:v>
                </c:pt>
                <c:pt idx="76">
                  <c:v>0.52326399999999995</c:v>
                </c:pt>
                <c:pt idx="77">
                  <c:v>0.55312799999999995</c:v>
                </c:pt>
                <c:pt idx="78">
                  <c:v>0.58275100000000002</c:v>
                </c:pt>
                <c:pt idx="79">
                  <c:v>0.61203600000000002</c:v>
                </c:pt>
                <c:pt idx="80">
                  <c:v>0.64088400000000001</c:v>
                </c:pt>
                <c:pt idx="81">
                  <c:v>0.66920400000000002</c:v>
                </c:pt>
                <c:pt idx="82">
                  <c:v>0.69690399999999997</c:v>
                </c:pt>
                <c:pt idx="83">
                  <c:v>0.72389800000000004</c:v>
                </c:pt>
                <c:pt idx="84">
                  <c:v>0.75009800000000004</c:v>
                </c:pt>
                <c:pt idx="85">
                  <c:v>0.77542100000000003</c:v>
                </c:pt>
                <c:pt idx="86">
                  <c:v>0.79978199999999999</c:v>
                </c:pt>
                <c:pt idx="87">
                  <c:v>0.82310399999999995</c:v>
                </c:pt>
                <c:pt idx="88">
                  <c:v>0.845306</c:v>
                </c:pt>
                <c:pt idx="89">
                  <c:v>0.86631199999999997</c:v>
                </c:pt>
                <c:pt idx="90">
                  <c:v>0.886046</c:v>
                </c:pt>
                <c:pt idx="91">
                  <c:v>0.90443700000000005</c:v>
                </c:pt>
                <c:pt idx="92">
                  <c:v>0.92141799999999996</c:v>
                </c:pt>
                <c:pt idx="93">
                  <c:v>0.93692699999999995</c:v>
                </c:pt>
                <c:pt idx="94">
                  <c:v>0.95090300000000005</c:v>
                </c:pt>
                <c:pt idx="95">
                  <c:v>0.96329200000000004</c:v>
                </c:pt>
                <c:pt idx="96">
                  <c:v>0.97404800000000002</c:v>
                </c:pt>
                <c:pt idx="97">
                  <c:v>0.98312900000000003</c:v>
                </c:pt>
                <c:pt idx="98">
                  <c:v>0.99049900000000002</c:v>
                </c:pt>
                <c:pt idx="99" formatCode="0.00000000">
                  <c:v>0.99613099999999999</c:v>
                </c:pt>
                <c:pt idx="100" formatCode="0.00000000">
                  <c:v>1</c:v>
                </c:pt>
              </c:numCache>
            </c:numRef>
          </c:xVal>
          <c:yVal>
            <c:numRef>
              <c:f>cp_data!$AD$2:$AD$102</c:f>
              <c:numCache>
                <c:formatCode>0.0000</c:formatCode>
                <c:ptCount val="10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003-40A8-BDF6-E8F854991EF5}"/>
            </c:ext>
          </c:extLst>
        </c:ser>
        <c:ser>
          <c:idx val="7"/>
          <c:order val="7"/>
          <c:tx>
            <c:v>NACA 63-215 (Inviscid)</c:v>
          </c:tx>
          <c:spPr>
            <a:ln w="12700" cap="rnd">
              <a:solidFill>
                <a:srgbClr val="FF4F4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cp_data!$AF$2:$AF$102</c:f>
              <c:numCache>
                <c:formatCode>0.0000</c:formatCode>
                <c:ptCount val="101"/>
                <c:pt idx="0">
                  <c:v>1</c:v>
                </c:pt>
                <c:pt idx="1">
                  <c:v>0.99611899999999998</c:v>
                </c:pt>
                <c:pt idx="2">
                  <c:v>0.99048099999999994</c:v>
                </c:pt>
                <c:pt idx="3">
                  <c:v>0.98311099999999996</c:v>
                </c:pt>
                <c:pt idx="4">
                  <c:v>0.97403899999999999</c:v>
                </c:pt>
                <c:pt idx="5">
                  <c:v>0.96330000000000005</c:v>
                </c:pt>
                <c:pt idx="6">
                  <c:v>0.95093499999999997</c:v>
                </c:pt>
                <c:pt idx="7">
                  <c:v>0.93699200000000005</c:v>
                </c:pt>
                <c:pt idx="8">
                  <c:v>0.92152199999999995</c:v>
                </c:pt>
                <c:pt idx="9">
                  <c:v>0.90458499999999997</c:v>
                </c:pt>
                <c:pt idx="10">
                  <c:v>0.886239</c:v>
                </c:pt>
                <c:pt idx="11">
                  <c:v>0.86654799999999998</c:v>
                </c:pt>
                <c:pt idx="12">
                  <c:v>0.84558199999999994</c:v>
                </c:pt>
                <c:pt idx="13">
                  <c:v>0.823411</c:v>
                </c:pt>
                <c:pt idx="14">
                  <c:v>0.80011100000000002</c:v>
                </c:pt>
                <c:pt idx="15">
                  <c:v>0.77575799999999995</c:v>
                </c:pt>
                <c:pt idx="16">
                  <c:v>0.75042600000000004</c:v>
                </c:pt>
                <c:pt idx="17">
                  <c:v>0.72419800000000001</c:v>
                </c:pt>
                <c:pt idx="18">
                  <c:v>0.69715499999999997</c:v>
                </c:pt>
                <c:pt idx="19">
                  <c:v>0.66938399999999998</c:v>
                </c:pt>
                <c:pt idx="20">
                  <c:v>0.64097000000000004</c:v>
                </c:pt>
                <c:pt idx="21">
                  <c:v>0.61200500000000002</c:v>
                </c:pt>
                <c:pt idx="22">
                  <c:v>0.58258200000000004</c:v>
                </c:pt>
                <c:pt idx="23">
                  <c:v>0.55279999999999996</c:v>
                </c:pt>
                <c:pt idx="24">
                  <c:v>0.52276</c:v>
                </c:pt>
                <c:pt idx="25">
                  <c:v>0.492566</c:v>
                </c:pt>
                <c:pt idx="26">
                  <c:v>0.46232400000000001</c:v>
                </c:pt>
                <c:pt idx="27">
                  <c:v>0.43214200000000003</c:v>
                </c:pt>
                <c:pt idx="28">
                  <c:v>0.40213500000000002</c:v>
                </c:pt>
                <c:pt idx="29">
                  <c:v>0.372417</c:v>
                </c:pt>
                <c:pt idx="30">
                  <c:v>0.343107</c:v>
                </c:pt>
                <c:pt idx="31">
                  <c:v>0.31432199999999999</c:v>
                </c:pt>
                <c:pt idx="32">
                  <c:v>0.28617900000000002</c:v>
                </c:pt>
                <c:pt idx="33">
                  <c:v>0.25878800000000002</c:v>
                </c:pt>
                <c:pt idx="34">
                  <c:v>0.23225199999999999</c:v>
                </c:pt>
                <c:pt idx="35">
                  <c:v>0.206674</c:v>
                </c:pt>
                <c:pt idx="36">
                  <c:v>0.18215500000000001</c:v>
                </c:pt>
                <c:pt idx="37">
                  <c:v>0.15878800000000001</c:v>
                </c:pt>
                <c:pt idx="38">
                  <c:v>0.13666500000000001</c:v>
                </c:pt>
                <c:pt idx="39">
                  <c:v>0.115871</c:v>
                </c:pt>
                <c:pt idx="40">
                  <c:v>9.6490000000000006E-2</c:v>
                </c:pt>
                <c:pt idx="41">
                  <c:v>7.8604999999999994E-2</c:v>
                </c:pt>
                <c:pt idx="42">
                  <c:v>6.2299E-2</c:v>
                </c:pt>
                <c:pt idx="43">
                  <c:v>4.7662999999999997E-2</c:v>
                </c:pt>
                <c:pt idx="44">
                  <c:v>3.4777000000000002E-2</c:v>
                </c:pt>
                <c:pt idx="45">
                  <c:v>2.3695000000000001E-2</c:v>
                </c:pt>
                <c:pt idx="46">
                  <c:v>1.4515999999999999E-2</c:v>
                </c:pt>
                <c:pt idx="47">
                  <c:v>7.4590000000000004E-3</c:v>
                </c:pt>
                <c:pt idx="48">
                  <c:v>2.7590000000000002E-3</c:v>
                </c:pt>
                <c:pt idx="49">
                  <c:v>4.1399999999999998E-4</c:v>
                </c:pt>
                <c:pt idx="50">
                  <c:v>-1.5100000000000001E-4</c:v>
                </c:pt>
                <c:pt idx="51">
                  <c:v>4.5899999999999999E-4</c:v>
                </c:pt>
                <c:pt idx="52">
                  <c:v>2.676E-3</c:v>
                </c:pt>
                <c:pt idx="53">
                  <c:v>7.4450000000000002E-3</c:v>
                </c:pt>
                <c:pt idx="54">
                  <c:v>1.4782999999999999E-2</c:v>
                </c:pt>
                <c:pt idx="55">
                  <c:v>2.4334000000000001E-2</c:v>
                </c:pt>
                <c:pt idx="56">
                  <c:v>3.5790000000000002E-2</c:v>
                </c:pt>
                <c:pt idx="57">
                  <c:v>4.9013000000000001E-2</c:v>
                </c:pt>
                <c:pt idx="58">
                  <c:v>6.3934000000000005E-2</c:v>
                </c:pt>
                <c:pt idx="59">
                  <c:v>8.0475000000000005E-2</c:v>
                </c:pt>
                <c:pt idx="60">
                  <c:v>9.8544999999999994E-2</c:v>
                </c:pt>
                <c:pt idx="61">
                  <c:v>0.118063</c:v>
                </c:pt>
                <c:pt idx="62">
                  <c:v>0.13894899999999999</c:v>
                </c:pt>
                <c:pt idx="63">
                  <c:v>0.16112099999999999</c:v>
                </c:pt>
                <c:pt idx="64">
                  <c:v>0.18449499999999999</c:v>
                </c:pt>
                <c:pt idx="65">
                  <c:v>0.208983</c:v>
                </c:pt>
                <c:pt idx="66">
                  <c:v>0.23449400000000001</c:v>
                </c:pt>
                <c:pt idx="67">
                  <c:v>0.260932</c:v>
                </c:pt>
                <c:pt idx="68">
                  <c:v>0.28819699999999998</c:v>
                </c:pt>
                <c:pt idx="69">
                  <c:v>0.316189</c:v>
                </c:pt>
                <c:pt idx="70">
                  <c:v>0.34480100000000002</c:v>
                </c:pt>
                <c:pt idx="71">
                  <c:v>0.373921</c:v>
                </c:pt>
                <c:pt idx="72">
                  <c:v>0.40343899999999999</c:v>
                </c:pt>
                <c:pt idx="73">
                  <c:v>0.43324099999999999</c:v>
                </c:pt>
                <c:pt idx="74">
                  <c:v>0.46321699999999999</c:v>
                </c:pt>
                <c:pt idx="75">
                  <c:v>0.493259</c:v>
                </c:pt>
                <c:pt idx="76">
                  <c:v>0.52326399999999995</c:v>
                </c:pt>
                <c:pt idx="77">
                  <c:v>0.55312799999999995</c:v>
                </c:pt>
                <c:pt idx="78">
                  <c:v>0.58275100000000002</c:v>
                </c:pt>
                <c:pt idx="79">
                  <c:v>0.61203600000000002</c:v>
                </c:pt>
                <c:pt idx="80">
                  <c:v>0.64088400000000001</c:v>
                </c:pt>
                <c:pt idx="81">
                  <c:v>0.66920400000000002</c:v>
                </c:pt>
                <c:pt idx="82">
                  <c:v>0.69690399999999997</c:v>
                </c:pt>
                <c:pt idx="83">
                  <c:v>0.72389800000000004</c:v>
                </c:pt>
                <c:pt idx="84">
                  <c:v>0.75009800000000004</c:v>
                </c:pt>
                <c:pt idx="85">
                  <c:v>0.77542100000000003</c:v>
                </c:pt>
                <c:pt idx="86">
                  <c:v>0.79978199999999999</c:v>
                </c:pt>
                <c:pt idx="87">
                  <c:v>0.82310399999999995</c:v>
                </c:pt>
                <c:pt idx="88">
                  <c:v>0.845306</c:v>
                </c:pt>
                <c:pt idx="89">
                  <c:v>0.86631199999999997</c:v>
                </c:pt>
                <c:pt idx="90">
                  <c:v>0.886046</c:v>
                </c:pt>
                <c:pt idx="91">
                  <c:v>0.90443700000000005</c:v>
                </c:pt>
                <c:pt idx="92">
                  <c:v>0.92141799999999996</c:v>
                </c:pt>
                <c:pt idx="93">
                  <c:v>0.93692699999999995</c:v>
                </c:pt>
                <c:pt idx="94">
                  <c:v>0.95090300000000005</c:v>
                </c:pt>
                <c:pt idx="95">
                  <c:v>0.96329200000000004</c:v>
                </c:pt>
                <c:pt idx="96">
                  <c:v>0.97404800000000002</c:v>
                </c:pt>
                <c:pt idx="97">
                  <c:v>0.98312900000000003</c:v>
                </c:pt>
                <c:pt idx="98">
                  <c:v>0.99049900000000002</c:v>
                </c:pt>
                <c:pt idx="99" formatCode="0.00000000">
                  <c:v>0.99613099999999999</c:v>
                </c:pt>
                <c:pt idx="100" formatCode="0.00000000">
                  <c:v>1</c:v>
                </c:pt>
              </c:numCache>
            </c:numRef>
          </c:xVal>
          <c:yVal>
            <c:numRef>
              <c:f>cp_data!$AH$2:$AH$102</c:f>
              <c:numCache>
                <c:formatCode>0.0000</c:formatCode>
                <c:ptCount val="10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003-40A8-BDF6-E8F854991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565856"/>
        <c:axId val="1864566816"/>
      </c:scatterChart>
      <c:valAx>
        <c:axId val="1864565856"/>
        <c:scaling>
          <c:orientation val="minMax"/>
          <c:max val="1"/>
          <c:min val="0"/>
        </c:scaling>
        <c:delete val="0"/>
        <c:axPos val="t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Chorewise position, </a:t>
                </a:r>
                <a:r>
                  <a:rPr lang="en-GB" sz="90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x/c</a:t>
                </a: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0.35275318625712321"/>
              <c:y val="0.92319676506734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high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864566816"/>
        <c:crosses val="autoZero"/>
        <c:crossBetween val="midCat"/>
        <c:majorUnit val="0.2"/>
      </c:valAx>
      <c:valAx>
        <c:axId val="1864566816"/>
        <c:scaling>
          <c:orientation val="maxMin"/>
          <c:max val="1.2"/>
          <c:min val="-1.6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Pressure 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coefficient,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p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  <a:endParaRPr lang="en-GB" sz="90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2.4515972665578967E-2"/>
              <c:y val="0.388500352618757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.0" sourceLinked="0"/>
        <c:majorTickMark val="in"/>
        <c:minorTickMark val="none"/>
        <c:tickLblPos val="low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864565856"/>
        <c:crosses val="min"/>
        <c:crossBetween val="midCat"/>
        <c:maj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01619729966188"/>
          <c:y val="0.16776937231960809"/>
          <c:w val="0.19314511361755457"/>
          <c:h val="0.38041777198536619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cl_data!$Q$2" lockText="1" noThreeD="1"/>
</file>

<file path=xl/ctrlProps/ctrlProp2.xml><?xml version="1.0" encoding="utf-8"?>
<formControlPr xmlns="http://schemas.microsoft.com/office/spreadsheetml/2009/9/main" objectType="CheckBox" checked="Checked" fmlaLink="cl_data!$Q$3" lockText="1" noThreeD="1"/>
</file>

<file path=xl/ctrlProps/ctrlProp3.xml><?xml version="1.0" encoding="utf-8"?>
<formControlPr xmlns="http://schemas.microsoft.com/office/spreadsheetml/2009/9/main" objectType="CheckBox" fmlaLink="cl_data!$Q$4" lockText="1" noThreeD="1"/>
</file>

<file path=xl/ctrlProps/ctrlProp4.xml><?xml version="1.0" encoding="utf-8"?>
<formControlPr xmlns="http://schemas.microsoft.com/office/spreadsheetml/2009/9/main" objectType="CheckBox" fmlaLink="cl_data!$Q$5" lockText="1" noThreeD="1"/>
</file>

<file path=xl/ctrlProps/ctrlProp5.xml><?xml version="1.0" encoding="utf-8"?>
<formControlPr xmlns="http://schemas.microsoft.com/office/spreadsheetml/2009/9/main" objectType="CheckBox" fmlaLink="cl_data!$Q$6" lockText="1" noThreeD="1"/>
</file>

<file path=xl/ctrlProps/ctrlProp6.xml><?xml version="1.0" encoding="utf-8"?>
<formControlPr xmlns="http://schemas.microsoft.com/office/spreadsheetml/2009/9/main" objectType="CheckBox" checked="Checked" fmlaLink="cm_data!$Q$2" lockText="1" noThreeD="1"/>
</file>

<file path=xl/ctrlProps/ctrlProp7.xml><?xml version="1.0" encoding="utf-8"?>
<formControlPr xmlns="http://schemas.microsoft.com/office/spreadsheetml/2009/9/main" objectType="CheckBox" checked="Checked" fmlaLink="cm_data!$Q$3" lockText="1" noThreeD="1"/>
</file>

<file path=xl/ctrlProps/ctrlProp8.xml><?xml version="1.0" encoding="utf-8"?>
<formControlPr xmlns="http://schemas.microsoft.com/office/spreadsheetml/2009/9/main" objectType="CheckBox" fmlaLink="cm_data!$Q$4" lockText="1" noThreeD="1"/>
</file>

<file path=xl/ctrlProps/ctrlProp9.xml><?xml version="1.0" encoding="utf-8"?>
<formControlPr xmlns="http://schemas.microsoft.com/office/spreadsheetml/2009/9/main" objectType="CheckBox" fmlaLink="cm_data!$Q$5" lockText="1" noThreeD="1"/>
</file>

<file path=xl/ctrlProps/ctrlProp10.xml><?xml version="1.0" encoding="utf-8"?>
<formControlPr xmlns="http://schemas.microsoft.com/office/spreadsheetml/2009/9/main" objectType="CheckBox" fmlaLink="cm_data!$Q$6" lockText="1" noThreeD="1"/>
</file>

<file path=xl/ctrlProps/ctrlProp11.xml><?xml version="1.0" encoding="utf-8"?>
<formControlPr xmlns="http://schemas.microsoft.com/office/spreadsheetml/2009/9/main" objectType="CheckBox" checked="Checked" fmlaLink="dragpolar_data!$Q$2" lockText="1" noThreeD="1"/>
</file>

<file path=xl/ctrlProps/ctrlProp12.xml><?xml version="1.0" encoding="utf-8"?>
<formControlPr xmlns="http://schemas.microsoft.com/office/spreadsheetml/2009/9/main" objectType="CheckBox" checked="Checked" fmlaLink="dragpolar_data!$Q$3" lockText="1" noThreeD="1"/>
</file>

<file path=xl/ctrlProps/ctrlProp13.xml><?xml version="1.0" encoding="utf-8"?>
<formControlPr xmlns="http://schemas.microsoft.com/office/spreadsheetml/2009/9/main" objectType="CheckBox" fmlaLink="dragpolar_data!$Q$4" lockText="1" noThreeD="1"/>
</file>

<file path=xl/ctrlProps/ctrlProp14.xml><?xml version="1.0" encoding="utf-8"?>
<formControlPr xmlns="http://schemas.microsoft.com/office/spreadsheetml/2009/9/main" objectType="CheckBox" fmlaLink="dragpolar_data!$Q$5" lockText="1" noThreeD="1"/>
</file>

<file path=xl/ctrlProps/ctrlProp15.xml><?xml version="1.0" encoding="utf-8"?>
<formControlPr xmlns="http://schemas.microsoft.com/office/spreadsheetml/2009/9/main" objectType="CheckBox" fmlaLink="dragpolar_data!$Q$6" lockText="1" noThreeD="1"/>
</file>

<file path=xl/ctrlProps/ctrlProp16.xml><?xml version="1.0" encoding="utf-8"?>
<formControlPr xmlns="http://schemas.microsoft.com/office/spreadsheetml/2009/9/main" objectType="CheckBox" checked="Checked" fmlaLink="liftdragratio_data!$Q$2" lockText="1" noThreeD="1"/>
</file>

<file path=xl/ctrlProps/ctrlProp17.xml><?xml version="1.0" encoding="utf-8"?>
<formControlPr xmlns="http://schemas.microsoft.com/office/spreadsheetml/2009/9/main" objectType="CheckBox" checked="Checked" fmlaLink="liftdragratio_data!$Q$3" lockText="1" noThreeD="1"/>
</file>

<file path=xl/ctrlProps/ctrlProp18.xml><?xml version="1.0" encoding="utf-8"?>
<formControlPr xmlns="http://schemas.microsoft.com/office/spreadsheetml/2009/9/main" objectType="CheckBox" fmlaLink="liftdragratio_data!$Q$4" lockText="1" noThreeD="1"/>
</file>

<file path=xl/ctrlProps/ctrlProp19.xml><?xml version="1.0" encoding="utf-8"?>
<formControlPr xmlns="http://schemas.microsoft.com/office/spreadsheetml/2009/9/main" objectType="CheckBox" fmlaLink="liftdragratio_data!$Q$5" lockText="1" noThreeD="1"/>
</file>

<file path=xl/ctrlProps/ctrlProp20.xml><?xml version="1.0" encoding="utf-8"?>
<formControlPr xmlns="http://schemas.microsoft.com/office/spreadsheetml/2009/9/main" objectType="CheckBox" fmlaLink="liftdragratio_data!$Q$6" lockText="1" noThreeD="1"/>
</file>

<file path=xl/ctrlProps/ctrlProp21.xml><?xml version="1.0" encoding="utf-8"?>
<formControlPr xmlns="http://schemas.microsoft.com/office/spreadsheetml/2009/9/main" objectType="CheckBox" checked="Checked" fmlaLink="cp_data!$AJ$2" lockText="1" noThreeD="1"/>
</file>

<file path=xl/ctrlProps/ctrlProp22.xml><?xml version="1.0" encoding="utf-8"?>
<formControlPr xmlns="http://schemas.microsoft.com/office/spreadsheetml/2009/9/main" objectType="CheckBox" checked="Checked" fmlaLink="cp_data!$AJ$3" lockText="1" noThreeD="1"/>
</file>

<file path=xl/ctrlProps/ctrlProp23.xml><?xml version="1.0" encoding="utf-8"?>
<formControlPr xmlns="http://schemas.microsoft.com/office/spreadsheetml/2009/9/main" objectType="CheckBox" fmlaLink="cp_data!$AJ$4" lockText="1" noThreeD="1"/>
</file>

<file path=xl/ctrlProps/ctrlProp24.xml><?xml version="1.0" encoding="utf-8"?>
<formControlPr xmlns="http://schemas.microsoft.com/office/spreadsheetml/2009/9/main" objectType="CheckBox" fmlaLink="cp_data!$AJ$5" lockText="1" noThreeD="1"/>
</file>

<file path=xl/ctrlProps/ctrlProp25.xml><?xml version="1.0" encoding="utf-8"?>
<formControlPr xmlns="http://schemas.microsoft.com/office/spreadsheetml/2009/9/main" objectType="CheckBox" fmlaLink="cp_data!$AJ$6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ragpolar_plot!A1"/><Relationship Id="rId2" Type="http://schemas.openxmlformats.org/officeDocument/2006/relationships/hyperlink" Target="#cm_plot!A1"/><Relationship Id="rId1" Type="http://schemas.openxmlformats.org/officeDocument/2006/relationships/hyperlink" Target="#cl_plot!A1"/><Relationship Id="rId5" Type="http://schemas.openxmlformats.org/officeDocument/2006/relationships/hyperlink" Target="#cp_plot!A1"/><Relationship Id="rId4" Type="http://schemas.openxmlformats.org/officeDocument/2006/relationships/hyperlink" Target="#liftdragratio_plot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1.xml"/><Relationship Id="rId4" Type="http://schemas.openxmlformats.org/officeDocument/2006/relationships/image" Target="../media/image2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2.xml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3.xml"/><Relationship Id="rId4" Type="http://schemas.openxmlformats.org/officeDocument/2006/relationships/image" Target="../media/image2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4.xml"/><Relationship Id="rId4" Type="http://schemas.openxmlformats.org/officeDocument/2006/relationships/image" Target="../media/image2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5.xm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110835</xdr:colOff>
      <xdr:row>0</xdr:row>
      <xdr:rowOff>155168</xdr:rowOff>
    </xdr:from>
    <xdr:to>
      <xdr:col>16</xdr:col>
      <xdr:colOff>297872</xdr:colOff>
      <xdr:row>5</xdr:row>
      <xdr:rowOff>159327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158835" y="155168"/>
          <a:ext cx="6892637" cy="9047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12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baseline="0">
              <a:solidFill>
                <a:schemeClr val="bg1"/>
              </a:solidFill>
              <a:effectLst/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Aerodynamic Analysis of Selected Representative NACA Airfoils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12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i="0">
              <a:solidFill>
                <a:schemeClr val="bg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Nghia</a:t>
          </a:r>
          <a:r>
            <a:rPr lang="en-GB" sz="1200" b="0" i="0" baseline="0">
              <a:solidFill>
                <a:schemeClr val="bg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 T. Tran</a:t>
          </a:r>
          <a:endParaRPr lang="en-GB" sz="1200" b="0" i="0">
            <a:solidFill>
              <a:schemeClr val="bg1"/>
            </a:solidFill>
            <a:latin typeface="Segoe UI Semibold" panose="020B0702040204020203" pitchFamily="34" charset="0"/>
            <a:ea typeface="Cambria Math" panose="02040503050406030204" pitchFamily="18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523706</xdr:colOff>
      <xdr:row>6</xdr:row>
      <xdr:rowOff>173182</xdr:rowOff>
    </xdr:from>
    <xdr:to>
      <xdr:col>13</xdr:col>
      <xdr:colOff>466106</xdr:colOff>
      <xdr:row>10</xdr:row>
      <xdr:rowOff>64746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790906" y="1253837"/>
          <a:ext cx="3600000" cy="612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Lift coefficient curve </a:t>
          </a:r>
        </a:p>
      </xdr:txBody>
    </xdr:sp>
    <xdr:clientData/>
  </xdr:twoCellAnchor>
  <xdr:twoCellAnchor>
    <xdr:from>
      <xdr:col>7</xdr:col>
      <xdr:colOff>530635</xdr:colOff>
      <xdr:row>11</xdr:row>
      <xdr:rowOff>53332</xdr:rowOff>
    </xdr:from>
    <xdr:to>
      <xdr:col>13</xdr:col>
      <xdr:colOff>473035</xdr:colOff>
      <xdr:row>14</xdr:row>
      <xdr:rowOff>125005</xdr:rowOff>
    </xdr:to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97835" y="2034532"/>
          <a:ext cx="3600000" cy="612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Pitching moment coefficient curve</a:t>
          </a:r>
        </a:p>
      </xdr:txBody>
    </xdr:sp>
    <xdr:clientData/>
  </xdr:twoCellAnchor>
  <xdr:twoCellAnchor>
    <xdr:from>
      <xdr:col>7</xdr:col>
      <xdr:colOff>537573</xdr:colOff>
      <xdr:row>15</xdr:row>
      <xdr:rowOff>118463</xdr:rowOff>
    </xdr:from>
    <xdr:to>
      <xdr:col>13</xdr:col>
      <xdr:colOff>479973</xdr:colOff>
      <xdr:row>19</xdr:row>
      <xdr:rowOff>10026</xdr:rowOff>
    </xdr:to>
    <xdr:sp macro="" textlink="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804773" y="2820099"/>
          <a:ext cx="3600000" cy="612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Drag</a:t>
          </a:r>
          <a:r>
            <a:rPr lang="en-GB" sz="1400" b="0" baseline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 polar</a:t>
          </a:r>
          <a:endParaRPr lang="en-GB" sz="1400" b="0">
            <a:solidFill>
              <a:schemeClr val="tx1"/>
            </a:solidFill>
            <a:latin typeface="Segoe UI 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544501</xdr:colOff>
      <xdr:row>19</xdr:row>
      <xdr:rowOff>178037</xdr:rowOff>
    </xdr:from>
    <xdr:to>
      <xdr:col>13</xdr:col>
      <xdr:colOff>486901</xdr:colOff>
      <xdr:row>23</xdr:row>
      <xdr:rowOff>69601</xdr:rowOff>
    </xdr:to>
    <xdr:sp macro="" textlink="">
      <xdr:nvSpPr>
        <xdr:cNvPr id="6" name="Rectangl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811701" y="3600110"/>
          <a:ext cx="3600000" cy="612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Lift-to-drag ratio</a:t>
          </a:r>
        </a:p>
      </xdr:txBody>
    </xdr:sp>
    <xdr:clientData/>
  </xdr:twoCellAnchor>
  <xdr:twoCellAnchor>
    <xdr:from>
      <xdr:col>7</xdr:col>
      <xdr:colOff>549656</xdr:colOff>
      <xdr:row>24</xdr:row>
      <xdr:rowOff>76204</xdr:rowOff>
    </xdr:from>
    <xdr:to>
      <xdr:col>13</xdr:col>
      <xdr:colOff>492056</xdr:colOff>
      <xdr:row>27</xdr:row>
      <xdr:rowOff>147877</xdr:rowOff>
    </xdr:to>
    <xdr:sp macro="" textlink="">
      <xdr:nvSpPr>
        <xdr:cNvPr id="8" name="Rectangle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816856" y="4398822"/>
          <a:ext cx="3600000" cy="612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Pressure coefficient distribution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439420</xdr:colOff>
      <xdr:row>1</xdr:row>
      <xdr:rowOff>6350</xdr:rowOff>
    </xdr:from>
    <xdr:to>
      <xdr:col>12</xdr:col>
      <xdr:colOff>387350</xdr:colOff>
      <xdr:row>22</xdr:row>
      <xdr:rowOff>88900</xdr:rowOff>
    </xdr:to>
    <xdr:graphicFrame macro="">
      <xdr:nvGraphicFramePr>
        <xdr:cNvPr id="2" name="cl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1</xdr:row>
          <xdr:rowOff>76200</xdr:rowOff>
        </xdr:from>
        <xdr:to>
          <xdr:col>13</xdr:col>
          <xdr:colOff>960120</xdr:colOff>
          <xdr:row>1</xdr:row>
          <xdr:rowOff>304800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1</xdr:row>
          <xdr:rowOff>327660</xdr:rowOff>
        </xdr:from>
        <xdr:to>
          <xdr:col>13</xdr:col>
          <xdr:colOff>944880</xdr:colOff>
          <xdr:row>1</xdr:row>
          <xdr:rowOff>548640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1</xdr:row>
          <xdr:rowOff>571500</xdr:rowOff>
        </xdr:from>
        <xdr:to>
          <xdr:col>13</xdr:col>
          <xdr:colOff>990600</xdr:colOff>
          <xdr:row>1</xdr:row>
          <xdr:rowOff>800100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1</xdr:row>
          <xdr:rowOff>815340</xdr:rowOff>
        </xdr:from>
        <xdr:to>
          <xdr:col>13</xdr:col>
          <xdr:colOff>937260</xdr:colOff>
          <xdr:row>1</xdr:row>
          <xdr:rowOff>1051560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3</xdr:row>
          <xdr:rowOff>30480</xdr:rowOff>
        </xdr:from>
        <xdr:to>
          <xdr:col>13</xdr:col>
          <xdr:colOff>982980</xdr:colOff>
          <xdr:row>3</xdr:row>
          <xdr:rowOff>274320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139700</xdr:colOff>
      <xdr:row>0</xdr:row>
      <xdr:rowOff>107950</xdr:rowOff>
    </xdr:from>
    <xdr:to>
      <xdr:col>0</xdr:col>
      <xdr:colOff>495300</xdr:colOff>
      <xdr:row>1</xdr:row>
      <xdr:rowOff>333375</xdr:rowOff>
    </xdr:to>
    <xdr:pic>
      <xdr:nvPicPr>
        <xdr:cNvPr id="4" name="Graphic 3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9700" y="107950"/>
          <a:ext cx="355600" cy="377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444500</xdr:colOff>
      <xdr:row>1</xdr:row>
      <xdr:rowOff>0</xdr:rowOff>
    </xdr:from>
    <xdr:to>
      <xdr:col>13</xdr:col>
      <xdr:colOff>228600</xdr:colOff>
      <xdr:row>23</xdr:row>
      <xdr:rowOff>165100</xdr:rowOff>
    </xdr:to>
    <xdr:graphicFrame macro="">
      <xdr:nvGraphicFramePr>
        <xdr:cNvPr id="2" name="c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</xdr:row>
          <xdr:rowOff>99060</xdr:rowOff>
        </xdr:from>
        <xdr:to>
          <xdr:col>14</xdr:col>
          <xdr:colOff>1013460</xdr:colOff>
          <xdr:row>1</xdr:row>
          <xdr:rowOff>327660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</xdr:row>
          <xdr:rowOff>335280</xdr:rowOff>
        </xdr:from>
        <xdr:to>
          <xdr:col>14</xdr:col>
          <xdr:colOff>1051560</xdr:colOff>
          <xdr:row>1</xdr:row>
          <xdr:rowOff>556260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</xdr:row>
          <xdr:rowOff>571500</xdr:rowOff>
        </xdr:from>
        <xdr:to>
          <xdr:col>15</xdr:col>
          <xdr:colOff>22860</xdr:colOff>
          <xdr:row>1</xdr:row>
          <xdr:rowOff>800100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</xdr:row>
          <xdr:rowOff>815340</xdr:rowOff>
        </xdr:from>
        <xdr:to>
          <xdr:col>14</xdr:col>
          <xdr:colOff>990600</xdr:colOff>
          <xdr:row>1</xdr:row>
          <xdr:rowOff>1051560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3</xdr:row>
          <xdr:rowOff>22860</xdr:rowOff>
        </xdr:from>
        <xdr:to>
          <xdr:col>14</xdr:col>
          <xdr:colOff>960120</xdr:colOff>
          <xdr:row>3</xdr:row>
          <xdr:rowOff>281940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4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139700</xdr:colOff>
      <xdr:row>0</xdr:row>
      <xdr:rowOff>104775</xdr:rowOff>
    </xdr:from>
    <xdr:to>
      <xdr:col>0</xdr:col>
      <xdr:colOff>495300</xdr:colOff>
      <xdr:row>1</xdr:row>
      <xdr:rowOff>323850</xdr:rowOff>
    </xdr:to>
    <xdr:pic>
      <xdr:nvPicPr>
        <xdr:cNvPr id="3" name="Graphic 2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9700" y="104775"/>
          <a:ext cx="355600" cy="377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438150</xdr:colOff>
      <xdr:row>0</xdr:row>
      <xdr:rowOff>149860</xdr:rowOff>
    </xdr:from>
    <xdr:to>
      <xdr:col>13</xdr:col>
      <xdr:colOff>457200</xdr:colOff>
      <xdr:row>23</xdr:row>
      <xdr:rowOff>177800</xdr:rowOff>
    </xdr:to>
    <xdr:graphicFrame macro="">
      <xdr:nvGraphicFramePr>
        <xdr:cNvPr id="2" name="dragpolar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91440</xdr:rowOff>
        </xdr:from>
        <xdr:to>
          <xdr:col>14</xdr:col>
          <xdr:colOff>929640</xdr:colOff>
          <xdr:row>1</xdr:row>
          <xdr:rowOff>320040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6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335280</xdr:rowOff>
        </xdr:from>
        <xdr:to>
          <xdr:col>14</xdr:col>
          <xdr:colOff>944880</xdr:colOff>
          <xdr:row>1</xdr:row>
          <xdr:rowOff>556260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6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579120</xdr:rowOff>
        </xdr:from>
        <xdr:to>
          <xdr:col>14</xdr:col>
          <xdr:colOff>1005840</xdr:colOff>
          <xdr:row>1</xdr:row>
          <xdr:rowOff>807720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6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815340</xdr:rowOff>
        </xdr:from>
        <xdr:to>
          <xdr:col>14</xdr:col>
          <xdr:colOff>1005840</xdr:colOff>
          <xdr:row>1</xdr:row>
          <xdr:rowOff>1051560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6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3</xdr:row>
          <xdr:rowOff>45720</xdr:rowOff>
        </xdr:from>
        <xdr:to>
          <xdr:col>14</xdr:col>
          <xdr:colOff>990600</xdr:colOff>
          <xdr:row>3</xdr:row>
          <xdr:rowOff>259080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6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133350</xdr:colOff>
      <xdr:row>0</xdr:row>
      <xdr:rowOff>101600</xdr:rowOff>
    </xdr:from>
    <xdr:to>
      <xdr:col>0</xdr:col>
      <xdr:colOff>488950</xdr:colOff>
      <xdr:row>1</xdr:row>
      <xdr:rowOff>327025</xdr:rowOff>
    </xdr:to>
    <xdr:pic>
      <xdr:nvPicPr>
        <xdr:cNvPr id="3" name="Graphic 2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3350" y="101600"/>
          <a:ext cx="355600" cy="3778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422275</xdr:colOff>
      <xdr:row>0</xdr:row>
      <xdr:rowOff>144144</xdr:rowOff>
    </xdr:from>
    <xdr:to>
      <xdr:col>13</xdr:col>
      <xdr:colOff>88265</xdr:colOff>
      <xdr:row>23</xdr:row>
      <xdr:rowOff>184149</xdr:rowOff>
    </xdr:to>
    <xdr:graphicFrame macro="">
      <xdr:nvGraphicFramePr>
        <xdr:cNvPr id="2" name="liftdragrati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91440</xdr:colOff>
          <xdr:row>1</xdr:row>
          <xdr:rowOff>91440</xdr:rowOff>
        </xdr:from>
        <xdr:to>
          <xdr:col>14</xdr:col>
          <xdr:colOff>914400</xdr:colOff>
          <xdr:row>1</xdr:row>
          <xdr:rowOff>327660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8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91440</xdr:colOff>
          <xdr:row>1</xdr:row>
          <xdr:rowOff>335280</xdr:rowOff>
        </xdr:from>
        <xdr:to>
          <xdr:col>14</xdr:col>
          <xdr:colOff>952500</xdr:colOff>
          <xdr:row>1</xdr:row>
          <xdr:rowOff>556260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8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579120</xdr:rowOff>
        </xdr:from>
        <xdr:to>
          <xdr:col>14</xdr:col>
          <xdr:colOff>975360</xdr:colOff>
          <xdr:row>1</xdr:row>
          <xdr:rowOff>807720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8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822960</xdr:rowOff>
        </xdr:from>
        <xdr:to>
          <xdr:col>14</xdr:col>
          <xdr:colOff>982980</xdr:colOff>
          <xdr:row>1</xdr:row>
          <xdr:rowOff>1059180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8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3</xdr:row>
          <xdr:rowOff>38100</xdr:rowOff>
        </xdr:from>
        <xdr:to>
          <xdr:col>14</xdr:col>
          <xdr:colOff>967740</xdr:colOff>
          <xdr:row>3</xdr:row>
          <xdr:rowOff>259080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8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146050</xdr:colOff>
      <xdr:row>0</xdr:row>
      <xdr:rowOff>95250</xdr:rowOff>
    </xdr:from>
    <xdr:to>
      <xdr:col>0</xdr:col>
      <xdr:colOff>501650</xdr:colOff>
      <xdr:row>1</xdr:row>
      <xdr:rowOff>327025</xdr:rowOff>
    </xdr:to>
    <xdr:pic>
      <xdr:nvPicPr>
        <xdr:cNvPr id="3" name="Graphic 2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6050" y="95250"/>
          <a:ext cx="355600" cy="3778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190500</xdr:colOff>
      <xdr:row>1</xdr:row>
      <xdr:rowOff>8443</xdr:rowOff>
    </xdr:from>
    <xdr:to>
      <xdr:col>14</xdr:col>
      <xdr:colOff>615950</xdr:colOff>
      <xdr:row>24</xdr:row>
      <xdr:rowOff>76200</xdr:rowOff>
    </xdr:to>
    <xdr:graphicFrame macro="">
      <xdr:nvGraphicFramePr>
        <xdr:cNvPr id="2" name="cp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99060</xdr:colOff>
          <xdr:row>1</xdr:row>
          <xdr:rowOff>99060</xdr:rowOff>
        </xdr:from>
        <xdr:to>
          <xdr:col>15</xdr:col>
          <xdr:colOff>792480</xdr:colOff>
          <xdr:row>1</xdr:row>
          <xdr:rowOff>327660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A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99060</xdr:colOff>
          <xdr:row>1</xdr:row>
          <xdr:rowOff>335280</xdr:rowOff>
        </xdr:from>
        <xdr:to>
          <xdr:col>15</xdr:col>
          <xdr:colOff>868680</xdr:colOff>
          <xdr:row>1</xdr:row>
          <xdr:rowOff>556260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A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91440</xdr:colOff>
          <xdr:row>1</xdr:row>
          <xdr:rowOff>579120</xdr:rowOff>
        </xdr:from>
        <xdr:to>
          <xdr:col>15</xdr:col>
          <xdr:colOff>906780</xdr:colOff>
          <xdr:row>1</xdr:row>
          <xdr:rowOff>807720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A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91440</xdr:colOff>
          <xdr:row>1</xdr:row>
          <xdr:rowOff>815340</xdr:rowOff>
        </xdr:from>
        <xdr:to>
          <xdr:col>15</xdr:col>
          <xdr:colOff>990600</xdr:colOff>
          <xdr:row>1</xdr:row>
          <xdr:rowOff>1051560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A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91440</xdr:colOff>
          <xdr:row>3</xdr:row>
          <xdr:rowOff>45720</xdr:rowOff>
        </xdr:from>
        <xdr:to>
          <xdr:col>15</xdr:col>
          <xdr:colOff>998220</xdr:colOff>
          <xdr:row>3</xdr:row>
          <xdr:rowOff>259080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A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101600</xdr:colOff>
      <xdr:row>0</xdr:row>
      <xdr:rowOff>107950</xdr:rowOff>
    </xdr:from>
    <xdr:to>
      <xdr:col>0</xdr:col>
      <xdr:colOff>457200</xdr:colOff>
      <xdr:row>1</xdr:row>
      <xdr:rowOff>327025</xdr:rowOff>
    </xdr:to>
    <xdr:pic>
      <xdr:nvPicPr>
        <xdr:cNvPr id="3" name="Graphic 2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1600" y="107950"/>
          <a:ext cx="355600" cy="377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6EF11-A6B2-421A-8A00-9F5B158062FE}">
  <sheetPr codeName="Sheet4">
    <tabColor rgb="FFFF9B9B"/>
  </sheetPr>
  <dimension ref="E1:E46"/>
  <sheetViews>
    <sheetView showGridLines="0" showRowColHeaders="0" tabSelected="1" zoomScale="110" zoomScaleNormal="110" workbookViewId="0"/>
  </sheetViews>
  <sheetFormatPr defaultRowHeight="14.4" x14ac:dyDescent="0.3"/>
  <sheetData>
    <row r="1" spans="5:5" s="1" customFormat="1" x14ac:dyDescent="0.3"/>
    <row r="2" spans="5:5" s="1" customFormat="1" x14ac:dyDescent="0.3"/>
    <row r="3" spans="5:5" s="1" customFormat="1" x14ac:dyDescent="0.3"/>
    <row r="4" spans="5:5" s="1" customFormat="1" x14ac:dyDescent="0.3"/>
    <row r="5" spans="5:5" s="1" customFormat="1" x14ac:dyDescent="0.3"/>
    <row r="6" spans="5:5" s="1" customFormat="1" x14ac:dyDescent="0.3"/>
    <row r="7" spans="5:5" s="2" customFormat="1" x14ac:dyDescent="0.3"/>
    <row r="8" spans="5:5" s="2" customFormat="1" x14ac:dyDescent="0.3"/>
    <row r="9" spans="5:5" s="3" customFormat="1" x14ac:dyDescent="0.3"/>
    <row r="10" spans="5:5" s="3" customFormat="1" x14ac:dyDescent="0.3"/>
    <row r="11" spans="5:5" s="3" customFormat="1" x14ac:dyDescent="0.3"/>
    <row r="12" spans="5:5" s="3" customFormat="1" x14ac:dyDescent="0.3">
      <c r="E12" s="3" t="s">
        <v>2</v>
      </c>
    </row>
    <row r="13" spans="5:5" s="3" customFormat="1" x14ac:dyDescent="0.3"/>
    <row r="14" spans="5:5" s="3" customFormat="1" x14ac:dyDescent="0.3"/>
    <row r="15" spans="5:5" s="3" customFormat="1" x14ac:dyDescent="0.3"/>
    <row r="16" spans="5:5" s="3" customFormat="1" x14ac:dyDescent="0.3"/>
    <row r="17" s="3" customFormat="1" x14ac:dyDescent="0.3"/>
    <row r="18" s="3" customFormat="1" x14ac:dyDescent="0.3"/>
    <row r="19" s="3" customFormat="1" x14ac:dyDescent="0.3"/>
    <row r="20" s="3" customFormat="1" x14ac:dyDescent="0.3"/>
    <row r="21" s="3" customFormat="1" x14ac:dyDescent="0.3"/>
    <row r="22" s="3" customFormat="1" x14ac:dyDescent="0.3"/>
    <row r="23" s="3" customFormat="1" x14ac:dyDescent="0.3"/>
    <row r="24" s="3" customFormat="1" x14ac:dyDescent="0.3"/>
    <row r="25" s="3" customFormat="1" x14ac:dyDescent="0.3"/>
    <row r="26" s="3" customFormat="1" x14ac:dyDescent="0.3"/>
    <row r="27" s="3" customFormat="1" x14ac:dyDescent="0.3"/>
    <row r="28" s="3" customFormat="1" x14ac:dyDescent="0.3"/>
    <row r="29" s="3" customFormat="1" x14ac:dyDescent="0.3"/>
    <row r="30" s="3" customFormat="1" x14ac:dyDescent="0.3"/>
    <row r="31" s="3" customFormat="1" x14ac:dyDescent="0.3"/>
    <row r="32" s="3" customFormat="1" x14ac:dyDescent="0.3"/>
    <row r="33" s="3" customFormat="1" x14ac:dyDescent="0.3"/>
    <row r="34" s="3" customFormat="1" x14ac:dyDescent="0.3"/>
    <row r="35" s="3" customFormat="1" x14ac:dyDescent="0.3"/>
    <row r="36" s="3" customFormat="1" x14ac:dyDescent="0.3"/>
    <row r="37" s="3" customFormat="1" x14ac:dyDescent="0.3"/>
    <row r="38" s="3" customFormat="1" x14ac:dyDescent="0.3"/>
    <row r="39" s="3" customFormat="1" x14ac:dyDescent="0.3"/>
    <row r="40" s="3" customFormat="1" x14ac:dyDescent="0.3"/>
    <row r="41" s="3" customFormat="1" x14ac:dyDescent="0.3"/>
    <row r="42" s="3" customFormat="1" x14ac:dyDescent="0.3"/>
    <row r="43" s="3" customFormat="1" x14ac:dyDescent="0.3"/>
    <row r="44" s="3" customFormat="1" x14ac:dyDescent="0.3"/>
    <row r="45" s="3" customFormat="1" x14ac:dyDescent="0.3"/>
    <row r="46" s="3" customFormat="1" x14ac:dyDescent="0.3"/>
  </sheetData>
  <sheetProtection algorithmName="SHA-512" hashValue="dda/f0guFsdkz8LqLYd4ahS0D2tmolqJsGNtt7BBMUyGBHMZbkenrbdw7MIlUdrTAOb8fDyHeff/jxTEXSRiEA==" saltValue="4TmzBEEKVKEBKJfVdTwaNQ==" spinCount="100000" sheet="1" objects="1" scenarios="1" selectLockedCells="1" selectUnlockedCells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Q62"/>
  <sheetViews>
    <sheetView zoomScale="90" zoomScaleNormal="90" workbookViewId="0">
      <selection activeCell="T28" sqref="T28"/>
    </sheetView>
  </sheetViews>
  <sheetFormatPr defaultRowHeight="14.4" x14ac:dyDescent="0.3"/>
  <cols>
    <col min="1" max="1" width="8.88671875" style="11"/>
    <col min="2" max="2" width="10" style="11" customWidth="1"/>
    <col min="3" max="16384" width="8.88671875" style="11"/>
  </cols>
  <sheetData>
    <row r="1" spans="1:17" x14ac:dyDescent="0.3">
      <c r="A1" s="11" t="s">
        <v>0</v>
      </c>
      <c r="B1" s="11" t="s">
        <v>1</v>
      </c>
      <c r="E1" s="11" t="s">
        <v>3</v>
      </c>
      <c r="F1" s="11" t="s">
        <v>1</v>
      </c>
      <c r="I1" s="11" t="s">
        <v>3</v>
      </c>
      <c r="J1" s="11" t="s">
        <v>1</v>
      </c>
      <c r="L1" s="11" t="s">
        <v>2</v>
      </c>
      <c r="M1" s="11" t="s">
        <v>3</v>
      </c>
      <c r="N1" s="11" t="s">
        <v>1</v>
      </c>
      <c r="O1" s="11" t="s">
        <v>2</v>
      </c>
      <c r="P1" s="11" t="s">
        <v>2</v>
      </c>
    </row>
    <row r="2" spans="1:17" x14ac:dyDescent="0.3">
      <c r="A2" s="11">
        <v>-5</v>
      </c>
      <c r="B2" s="11">
        <v>-0.54974520000000004</v>
      </c>
      <c r="C2" s="11">
        <f t="shared" ref="C2:C33" si="0">IF($Q$2, B2, -2)</f>
        <v>-0.54974520000000004</v>
      </c>
      <c r="E2" s="11">
        <v>-5</v>
      </c>
      <c r="F2" s="11">
        <v>-0.31959549999999998</v>
      </c>
      <c r="G2" s="11">
        <f t="shared" ref="G2:G33" si="1">IF($Q$3, F2, -2)</f>
        <v>-0.31959549999999998</v>
      </c>
      <c r="I2" s="11">
        <v>-5</v>
      </c>
      <c r="J2" s="11">
        <v>-0.4214754</v>
      </c>
      <c r="K2" s="11">
        <f t="shared" ref="K2:K33" si="2">IF($Q$4, J2, -2)</f>
        <v>-2</v>
      </c>
      <c r="L2" s="11" t="s">
        <v>2</v>
      </c>
      <c r="M2" s="11">
        <v>-5</v>
      </c>
      <c r="N2" s="11">
        <v>-0.3968971</v>
      </c>
      <c r="O2" s="11">
        <f t="shared" ref="O2:O33" si="3">IF($Q$5, N2, -2)</f>
        <v>-2</v>
      </c>
      <c r="P2" s="11" t="s">
        <v>2</v>
      </c>
      <c r="Q2" s="10" t="b">
        <v>1</v>
      </c>
    </row>
    <row r="3" spans="1:17" x14ac:dyDescent="0.3">
      <c r="A3" s="11">
        <v>-4.5</v>
      </c>
      <c r="B3" s="11">
        <v>-0.49655060000000001</v>
      </c>
      <c r="C3" s="11">
        <f t="shared" si="0"/>
        <v>-0.49655060000000001</v>
      </c>
      <c r="E3" s="11">
        <v>-4.5</v>
      </c>
      <c r="F3" s="11">
        <v>-0.26360339999999999</v>
      </c>
      <c r="G3" s="11">
        <f t="shared" si="1"/>
        <v>-0.26360339999999999</v>
      </c>
      <c r="I3" s="11">
        <v>-4.5</v>
      </c>
      <c r="J3" s="11">
        <v>-0.3667744</v>
      </c>
      <c r="K3" s="11">
        <f t="shared" si="2"/>
        <v>-2</v>
      </c>
      <c r="L3" s="11" t="s">
        <v>2</v>
      </c>
      <c r="M3" s="11">
        <v>-4.5</v>
      </c>
      <c r="N3" s="11">
        <v>-0.34034700000000001</v>
      </c>
      <c r="O3" s="11">
        <f t="shared" si="3"/>
        <v>-2</v>
      </c>
      <c r="P3" s="11" t="s">
        <v>2</v>
      </c>
      <c r="Q3" s="10" t="b">
        <v>1</v>
      </c>
    </row>
    <row r="4" spans="1:17" x14ac:dyDescent="0.3">
      <c r="A4" s="11">
        <v>-4</v>
      </c>
      <c r="B4" s="11">
        <v>-0.44203900000000002</v>
      </c>
      <c r="C4" s="11">
        <f t="shared" si="0"/>
        <v>-0.44203900000000002</v>
      </c>
      <c r="E4" s="11">
        <v>-4</v>
      </c>
      <c r="F4" s="11">
        <v>-0.20746000000000001</v>
      </c>
      <c r="G4" s="11">
        <f t="shared" si="1"/>
        <v>-0.20746000000000001</v>
      </c>
      <c r="I4" s="11">
        <v>-4</v>
      </c>
      <c r="J4" s="11">
        <v>-0.31114560000000002</v>
      </c>
      <c r="K4" s="11">
        <f t="shared" si="2"/>
        <v>-2</v>
      </c>
      <c r="L4" s="11" t="s">
        <v>2</v>
      </c>
      <c r="M4" s="11">
        <v>-4</v>
      </c>
      <c r="N4" s="11">
        <v>-0.28437069999999998</v>
      </c>
      <c r="O4" s="11">
        <f t="shared" si="3"/>
        <v>-2</v>
      </c>
      <c r="P4" s="11" t="s">
        <v>2</v>
      </c>
      <c r="Q4" s="10" t="b">
        <v>0</v>
      </c>
    </row>
    <row r="5" spans="1:17" x14ac:dyDescent="0.3">
      <c r="A5" s="11">
        <v>-3.5</v>
      </c>
      <c r="B5" s="11">
        <v>-0.38794210000000001</v>
      </c>
      <c r="C5" s="11">
        <f t="shared" si="0"/>
        <v>-0.38794210000000001</v>
      </c>
      <c r="E5" s="11">
        <v>-3.5</v>
      </c>
      <c r="F5" s="11">
        <v>-0.15140239999999999</v>
      </c>
      <c r="G5" s="11">
        <f t="shared" si="1"/>
        <v>-0.15140239999999999</v>
      </c>
      <c r="I5" s="11">
        <v>-3.5</v>
      </c>
      <c r="J5" s="11">
        <v>-0.25573679999999999</v>
      </c>
      <c r="K5" s="11">
        <f t="shared" si="2"/>
        <v>-2</v>
      </c>
      <c r="L5" s="11" t="s">
        <v>2</v>
      </c>
      <c r="M5" s="11">
        <v>-3.5</v>
      </c>
      <c r="N5" s="11">
        <v>-0.2274312</v>
      </c>
      <c r="O5" s="11">
        <f t="shared" si="3"/>
        <v>-2</v>
      </c>
      <c r="P5" s="11" t="s">
        <v>2</v>
      </c>
      <c r="Q5" s="10" t="b">
        <v>0</v>
      </c>
    </row>
    <row r="6" spans="1:17" x14ac:dyDescent="0.3">
      <c r="A6" s="11">
        <v>-3</v>
      </c>
      <c r="B6" s="11">
        <v>-0.33323700000000001</v>
      </c>
      <c r="C6" s="11">
        <f t="shared" si="0"/>
        <v>-0.33323700000000001</v>
      </c>
      <c r="E6" s="11">
        <v>-3</v>
      </c>
      <c r="F6" s="11">
        <v>-9.5235710000000001E-2</v>
      </c>
      <c r="G6" s="11">
        <f t="shared" si="1"/>
        <v>-9.5235710000000001E-2</v>
      </c>
      <c r="I6" s="11">
        <v>-3</v>
      </c>
      <c r="J6" s="11">
        <v>-0.19984940000000001</v>
      </c>
      <c r="K6" s="11">
        <f t="shared" si="2"/>
        <v>-2</v>
      </c>
      <c r="L6" s="11" t="s">
        <v>2</v>
      </c>
      <c r="M6" s="11">
        <v>-3</v>
      </c>
      <c r="N6" s="11">
        <v>-0.1699051</v>
      </c>
      <c r="O6" s="11">
        <f t="shared" si="3"/>
        <v>-2</v>
      </c>
      <c r="P6" s="11" t="s">
        <v>2</v>
      </c>
      <c r="Q6" s="10" t="b">
        <v>0</v>
      </c>
    </row>
    <row r="7" spans="1:17" x14ac:dyDescent="0.3">
      <c r="A7" s="11">
        <v>-2.5</v>
      </c>
      <c r="B7" s="11">
        <v>-0.27825909999999998</v>
      </c>
      <c r="C7" s="11">
        <f t="shared" si="0"/>
        <v>-0.27825909999999998</v>
      </c>
      <c r="E7" s="11">
        <v>-2.5</v>
      </c>
      <c r="F7" s="11">
        <v>-3.901168E-2</v>
      </c>
      <c r="G7" s="11">
        <f t="shared" si="1"/>
        <v>-3.901168E-2</v>
      </c>
      <c r="I7" s="11">
        <v>-2.5</v>
      </c>
      <c r="J7" s="11">
        <v>-0.14385809999999999</v>
      </c>
      <c r="K7" s="11">
        <f t="shared" si="2"/>
        <v>-2</v>
      </c>
      <c r="L7" s="11" t="s">
        <v>2</v>
      </c>
      <c r="M7" s="11">
        <v>-2.5</v>
      </c>
      <c r="N7" s="11">
        <v>-0.1112624</v>
      </c>
      <c r="O7" s="11">
        <f t="shared" si="3"/>
        <v>-2</v>
      </c>
      <c r="P7" s="11" t="s">
        <v>2</v>
      </c>
    </row>
    <row r="8" spans="1:17" x14ac:dyDescent="0.3">
      <c r="A8" s="11">
        <v>-2</v>
      </c>
      <c r="B8" s="11">
        <v>-0.22289639999999999</v>
      </c>
      <c r="C8" s="11">
        <f t="shared" si="0"/>
        <v>-0.22289639999999999</v>
      </c>
      <c r="E8" s="11">
        <v>-2</v>
      </c>
      <c r="F8" s="11">
        <v>1.7355430000000002E-2</v>
      </c>
      <c r="G8" s="11">
        <f t="shared" si="1"/>
        <v>1.7355430000000002E-2</v>
      </c>
      <c r="I8" s="11">
        <v>-2</v>
      </c>
      <c r="J8" s="11">
        <v>-8.7846049999999995E-2</v>
      </c>
      <c r="K8" s="11">
        <f t="shared" si="2"/>
        <v>-2</v>
      </c>
      <c r="L8" s="11" t="s">
        <v>2</v>
      </c>
      <c r="M8" s="11">
        <v>-2</v>
      </c>
      <c r="N8" s="11">
        <v>-5.2115660000000001E-2</v>
      </c>
      <c r="O8" s="11">
        <f t="shared" si="3"/>
        <v>-2</v>
      </c>
      <c r="P8" s="11" t="s">
        <v>2</v>
      </c>
    </row>
    <row r="9" spans="1:17" x14ac:dyDescent="0.3">
      <c r="A9" s="11">
        <v>-1.5</v>
      </c>
      <c r="B9" s="11">
        <v>-0.16756960000000001</v>
      </c>
      <c r="C9" s="11">
        <f t="shared" si="0"/>
        <v>-0.16756960000000001</v>
      </c>
      <c r="E9" s="11">
        <v>-1.5</v>
      </c>
      <c r="F9" s="11">
        <v>7.3790529999999993E-2</v>
      </c>
      <c r="G9" s="11">
        <f t="shared" si="1"/>
        <v>7.3790529999999993E-2</v>
      </c>
      <c r="I9" s="11">
        <v>-1.5</v>
      </c>
      <c r="J9" s="11">
        <v>-3.1709300000000003E-2</v>
      </c>
      <c r="K9" s="11">
        <f t="shared" si="2"/>
        <v>-2</v>
      </c>
      <c r="L9" s="11" t="s">
        <v>2</v>
      </c>
      <c r="M9" s="11">
        <v>-1.5</v>
      </c>
      <c r="N9" s="11">
        <v>6.8213550000000003E-3</v>
      </c>
      <c r="O9" s="11">
        <f t="shared" si="3"/>
        <v>-2</v>
      </c>
      <c r="P9" s="11" t="s">
        <v>2</v>
      </c>
    </row>
    <row r="10" spans="1:17" x14ac:dyDescent="0.3">
      <c r="A10" s="11">
        <v>-1</v>
      </c>
      <c r="B10" s="11">
        <v>-0.1118429</v>
      </c>
      <c r="C10" s="11">
        <f t="shared" si="0"/>
        <v>-0.1118429</v>
      </c>
      <c r="E10" s="11">
        <v>-1</v>
      </c>
      <c r="F10" s="11">
        <v>0.13009860000000001</v>
      </c>
      <c r="G10" s="11">
        <f t="shared" si="1"/>
        <v>0.13009860000000001</v>
      </c>
      <c r="I10" s="11">
        <v>-1</v>
      </c>
      <c r="J10" s="11">
        <v>2.4234249999999999E-2</v>
      </c>
      <c r="K10" s="11">
        <f t="shared" si="2"/>
        <v>-2</v>
      </c>
      <c r="L10" s="11" t="s">
        <v>2</v>
      </c>
      <c r="M10" s="11">
        <v>-1</v>
      </c>
      <c r="N10" s="11">
        <v>6.6342010000000007E-2</v>
      </c>
      <c r="O10" s="11">
        <f t="shared" si="3"/>
        <v>-2</v>
      </c>
      <c r="P10" s="11" t="s">
        <v>2</v>
      </c>
    </row>
    <row r="11" spans="1:17" x14ac:dyDescent="0.3">
      <c r="A11" s="11">
        <v>-0.5</v>
      </c>
      <c r="B11" s="11">
        <v>-5.596595E-2</v>
      </c>
      <c r="C11" s="11">
        <f t="shared" si="0"/>
        <v>-5.596595E-2</v>
      </c>
      <c r="E11" s="11">
        <v>-0.5</v>
      </c>
      <c r="F11" s="11">
        <v>0.1863378</v>
      </c>
      <c r="G11" s="11">
        <f t="shared" si="1"/>
        <v>0.1863378</v>
      </c>
      <c r="I11" s="11">
        <v>-0.5</v>
      </c>
      <c r="J11" s="11">
        <v>7.9537949999999996E-2</v>
      </c>
      <c r="K11" s="11">
        <f t="shared" si="2"/>
        <v>-2</v>
      </c>
      <c r="L11" s="11" t="s">
        <v>2</v>
      </c>
      <c r="M11" s="11">
        <v>-0.5</v>
      </c>
      <c r="N11" s="11">
        <v>0.12559119999999999</v>
      </c>
      <c r="O11" s="11">
        <f t="shared" si="3"/>
        <v>-2</v>
      </c>
      <c r="P11" s="11" t="s">
        <v>2</v>
      </c>
    </row>
    <row r="12" spans="1:17" x14ac:dyDescent="0.3">
      <c r="A12" s="11">
        <v>0</v>
      </c>
      <c r="B12" s="12">
        <v>-1.56569E-10</v>
      </c>
      <c r="C12" s="11">
        <f t="shared" si="0"/>
        <v>-1.56569E-10</v>
      </c>
      <c r="E12" s="11">
        <v>0</v>
      </c>
      <c r="F12" s="11">
        <v>0.24252889999999999</v>
      </c>
      <c r="G12" s="11">
        <f t="shared" si="1"/>
        <v>0.24252889999999999</v>
      </c>
      <c r="I12" s="11">
        <v>0</v>
      </c>
      <c r="J12" s="11">
        <v>0.12876409999999999</v>
      </c>
      <c r="K12" s="11">
        <f t="shared" si="2"/>
        <v>-2</v>
      </c>
      <c r="L12" s="11" t="s">
        <v>2</v>
      </c>
      <c r="M12" s="11">
        <v>0</v>
      </c>
      <c r="N12" s="11">
        <v>0.18489810000000001</v>
      </c>
      <c r="O12" s="11">
        <f t="shared" si="3"/>
        <v>-2</v>
      </c>
      <c r="P12" s="11" t="s">
        <v>2</v>
      </c>
    </row>
    <row r="13" spans="1:17" x14ac:dyDescent="0.3">
      <c r="A13" s="11">
        <v>0.5</v>
      </c>
      <c r="B13" s="11">
        <v>5.5966340000000003E-2</v>
      </c>
      <c r="C13" s="11">
        <f t="shared" si="0"/>
        <v>5.5966340000000003E-2</v>
      </c>
      <c r="E13" s="11">
        <v>0.5</v>
      </c>
      <c r="F13" s="11">
        <v>0.2982783</v>
      </c>
      <c r="G13" s="11">
        <f t="shared" si="1"/>
        <v>0.2982783</v>
      </c>
      <c r="I13" s="11">
        <v>0.5</v>
      </c>
      <c r="J13" s="11">
        <v>0.1827732</v>
      </c>
      <c r="K13" s="11">
        <f t="shared" si="2"/>
        <v>-2</v>
      </c>
      <c r="L13" s="11" t="s">
        <v>2</v>
      </c>
      <c r="M13" s="11">
        <v>0.5</v>
      </c>
      <c r="N13" s="11">
        <v>0.24418989999999999</v>
      </c>
      <c r="O13" s="11">
        <f t="shared" si="3"/>
        <v>-2</v>
      </c>
      <c r="P13" s="11" t="s">
        <v>2</v>
      </c>
    </row>
    <row r="14" spans="1:17" x14ac:dyDescent="0.3">
      <c r="A14" s="11">
        <v>1</v>
      </c>
      <c r="B14" s="11">
        <v>0.1118445</v>
      </c>
      <c r="C14" s="11">
        <f t="shared" si="0"/>
        <v>0.1118445</v>
      </c>
      <c r="E14" s="11">
        <v>1</v>
      </c>
      <c r="F14" s="11">
        <v>0.3540586</v>
      </c>
      <c r="G14" s="11">
        <f t="shared" si="1"/>
        <v>0.3540586</v>
      </c>
      <c r="I14" s="11">
        <v>1</v>
      </c>
      <c r="J14" s="11">
        <v>0.2375921</v>
      </c>
      <c r="K14" s="11">
        <f t="shared" si="2"/>
        <v>-2</v>
      </c>
      <c r="L14" s="11" t="s">
        <v>2</v>
      </c>
      <c r="M14" s="11">
        <v>1</v>
      </c>
      <c r="N14" s="11">
        <v>0.30321920000000002</v>
      </c>
      <c r="O14" s="11">
        <f t="shared" si="3"/>
        <v>-2</v>
      </c>
      <c r="P14" s="11" t="s">
        <v>2</v>
      </c>
    </row>
    <row r="15" spans="1:17" x14ac:dyDescent="0.3">
      <c r="A15" s="11">
        <v>1.5</v>
      </c>
      <c r="B15" s="11">
        <v>0.16757320000000001</v>
      </c>
      <c r="C15" s="11">
        <f t="shared" si="0"/>
        <v>0.16757320000000001</v>
      </c>
      <c r="E15" s="11">
        <v>1.5</v>
      </c>
      <c r="F15" s="11">
        <v>0.40986519999999999</v>
      </c>
      <c r="G15" s="11">
        <f t="shared" si="1"/>
        <v>0.40986519999999999</v>
      </c>
      <c r="I15" s="11">
        <v>1.5</v>
      </c>
      <c r="J15" s="11">
        <v>0.29273860000000002</v>
      </c>
      <c r="K15" s="11">
        <f t="shared" si="2"/>
        <v>-2</v>
      </c>
      <c r="L15" s="11" t="s">
        <v>2</v>
      </c>
      <c r="M15" s="11">
        <v>1.5</v>
      </c>
      <c r="N15" s="11">
        <v>0.36254720000000001</v>
      </c>
      <c r="O15" s="11">
        <f t="shared" si="3"/>
        <v>-2</v>
      </c>
      <c r="P15" s="11" t="s">
        <v>2</v>
      </c>
    </row>
    <row r="16" spans="1:17" x14ac:dyDescent="0.3">
      <c r="A16" s="11">
        <v>2</v>
      </c>
      <c r="B16" s="11">
        <v>0.22290289999999999</v>
      </c>
      <c r="C16" s="11">
        <f t="shared" si="0"/>
        <v>0.22290289999999999</v>
      </c>
      <c r="E16" s="11">
        <v>2</v>
      </c>
      <c r="F16" s="11">
        <v>0.4653043</v>
      </c>
      <c r="G16" s="11">
        <f t="shared" si="1"/>
        <v>0.4653043</v>
      </c>
      <c r="I16" s="11">
        <v>2</v>
      </c>
      <c r="J16" s="11">
        <v>0.34726800000000002</v>
      </c>
      <c r="K16" s="11">
        <f t="shared" si="2"/>
        <v>-2</v>
      </c>
      <c r="L16" s="11" t="s">
        <v>2</v>
      </c>
      <c r="M16" s="11">
        <v>2</v>
      </c>
      <c r="N16" s="11">
        <v>0.42117909999999997</v>
      </c>
      <c r="O16" s="11">
        <f t="shared" si="3"/>
        <v>-2</v>
      </c>
      <c r="P16" s="11" t="s">
        <v>2</v>
      </c>
    </row>
    <row r="17" spans="1:16" x14ac:dyDescent="0.3">
      <c r="A17" s="11">
        <v>2.5</v>
      </c>
      <c r="B17" s="11">
        <v>0.2782694</v>
      </c>
      <c r="C17" s="11">
        <f t="shared" si="0"/>
        <v>0.2782694</v>
      </c>
      <c r="E17" s="11">
        <v>2.5</v>
      </c>
      <c r="F17" s="11">
        <v>0.52002649999999995</v>
      </c>
      <c r="G17" s="11">
        <f t="shared" si="1"/>
        <v>0.52002649999999995</v>
      </c>
      <c r="I17" s="11">
        <v>2.5</v>
      </c>
      <c r="J17" s="11">
        <v>0.40297640000000001</v>
      </c>
      <c r="K17" s="11">
        <f t="shared" si="2"/>
        <v>-2</v>
      </c>
      <c r="L17" s="11" t="s">
        <v>2</v>
      </c>
      <c r="M17" s="11">
        <v>2.5</v>
      </c>
      <c r="N17" s="11">
        <v>0.47956480000000001</v>
      </c>
      <c r="O17" s="11">
        <f t="shared" si="3"/>
        <v>-2</v>
      </c>
      <c r="P17" s="11" t="s">
        <v>2</v>
      </c>
    </row>
    <row r="18" spans="1:16" x14ac:dyDescent="0.3">
      <c r="A18" s="11">
        <v>3</v>
      </c>
      <c r="B18" s="11">
        <v>0.33325199999999999</v>
      </c>
      <c r="C18" s="11">
        <f t="shared" si="0"/>
        <v>0.33325199999999999</v>
      </c>
      <c r="E18" s="11">
        <v>3</v>
      </c>
      <c r="F18" s="11">
        <v>0.57336830000000005</v>
      </c>
      <c r="G18" s="11">
        <f t="shared" si="1"/>
        <v>0.57336830000000005</v>
      </c>
      <c r="I18" s="11">
        <v>3</v>
      </c>
      <c r="J18" s="11">
        <v>0.45900429999999998</v>
      </c>
      <c r="K18" s="11">
        <f t="shared" si="2"/>
        <v>-2</v>
      </c>
      <c r="L18" s="11" t="s">
        <v>2</v>
      </c>
      <c r="M18" s="11">
        <v>3</v>
      </c>
      <c r="N18" s="11">
        <v>0.5373829</v>
      </c>
      <c r="O18" s="11">
        <f t="shared" si="3"/>
        <v>-2</v>
      </c>
      <c r="P18" s="11" t="s">
        <v>2</v>
      </c>
    </row>
    <row r="19" spans="1:16" x14ac:dyDescent="0.3">
      <c r="A19" s="11">
        <v>3.5</v>
      </c>
      <c r="B19" s="11">
        <v>0.387963</v>
      </c>
      <c r="C19" s="11">
        <f t="shared" si="0"/>
        <v>0.387963</v>
      </c>
      <c r="E19" s="11">
        <v>3.5</v>
      </c>
      <c r="F19" s="11">
        <v>0.6246834</v>
      </c>
      <c r="G19" s="11">
        <f t="shared" si="1"/>
        <v>0.6246834</v>
      </c>
      <c r="I19" s="11">
        <v>3.5</v>
      </c>
      <c r="J19" s="11">
        <v>0.51457120000000001</v>
      </c>
      <c r="K19" s="11">
        <f t="shared" si="2"/>
        <v>-2</v>
      </c>
      <c r="L19" s="11" t="s">
        <v>2</v>
      </c>
      <c r="M19" s="11">
        <v>3.5</v>
      </c>
      <c r="N19" s="11">
        <v>0.5950358</v>
      </c>
      <c r="O19" s="11">
        <f t="shared" si="3"/>
        <v>-2</v>
      </c>
      <c r="P19" s="11" t="s">
        <v>2</v>
      </c>
    </row>
    <row r="20" spans="1:16" x14ac:dyDescent="0.3">
      <c r="A20" s="11">
        <v>4</v>
      </c>
      <c r="B20" s="11">
        <v>0.44206659999999998</v>
      </c>
      <c r="C20" s="11">
        <f t="shared" si="0"/>
        <v>0.44206659999999998</v>
      </c>
      <c r="E20" s="11">
        <v>4</v>
      </c>
      <c r="F20" s="11">
        <v>0.67752520000000005</v>
      </c>
      <c r="G20" s="11">
        <f t="shared" si="1"/>
        <v>0.67752520000000005</v>
      </c>
      <c r="I20" s="11">
        <v>4</v>
      </c>
      <c r="J20" s="11">
        <v>0.56956269999999998</v>
      </c>
      <c r="K20" s="11">
        <f t="shared" si="2"/>
        <v>-2</v>
      </c>
      <c r="L20" s="11" t="s">
        <v>2</v>
      </c>
      <c r="M20" s="11">
        <v>4</v>
      </c>
      <c r="N20" s="11">
        <v>0.6499393</v>
      </c>
      <c r="O20" s="11">
        <f t="shared" si="3"/>
        <v>-2</v>
      </c>
      <c r="P20" s="11" t="s">
        <v>2</v>
      </c>
    </row>
    <row r="21" spans="1:16" x14ac:dyDescent="0.3">
      <c r="A21" s="11">
        <v>4.5</v>
      </c>
      <c r="B21" s="11">
        <v>0.49658560000000002</v>
      </c>
      <c r="C21" s="11">
        <f t="shared" si="0"/>
        <v>0.49658560000000002</v>
      </c>
      <c r="E21" s="11">
        <v>5</v>
      </c>
      <c r="F21" s="11">
        <v>0.80566519999999997</v>
      </c>
      <c r="G21" s="11">
        <f t="shared" si="1"/>
        <v>0.80566519999999997</v>
      </c>
      <c r="I21" s="11">
        <v>4.5</v>
      </c>
      <c r="J21" s="11">
        <v>0.62383089999999997</v>
      </c>
      <c r="K21" s="11">
        <f t="shared" si="2"/>
        <v>-2</v>
      </c>
      <c r="L21" s="11" t="s">
        <v>2</v>
      </c>
      <c r="M21" s="11">
        <v>4.5</v>
      </c>
      <c r="N21" s="11">
        <v>0.70236109999999996</v>
      </c>
      <c r="O21" s="11">
        <f t="shared" si="3"/>
        <v>-2</v>
      </c>
      <c r="P21" s="11" t="s">
        <v>2</v>
      </c>
    </row>
    <row r="22" spans="1:16" x14ac:dyDescent="0.3">
      <c r="A22" s="11">
        <v>5</v>
      </c>
      <c r="B22" s="11">
        <v>0.54978930000000004</v>
      </c>
      <c r="C22" s="11">
        <f t="shared" si="0"/>
        <v>0.54978930000000004</v>
      </c>
      <c r="E22" s="11">
        <v>5.5</v>
      </c>
      <c r="F22" s="11">
        <v>0.86469050000000003</v>
      </c>
      <c r="G22" s="11">
        <f t="shared" si="1"/>
        <v>0.86469050000000003</v>
      </c>
      <c r="I22" s="11">
        <v>5</v>
      </c>
      <c r="J22" s="11">
        <v>0.67880940000000001</v>
      </c>
      <c r="K22" s="11">
        <f t="shared" si="2"/>
        <v>-2</v>
      </c>
      <c r="L22" s="11" t="s">
        <v>2</v>
      </c>
      <c r="M22" s="11">
        <v>5</v>
      </c>
      <c r="N22" s="11">
        <v>0.75446060000000004</v>
      </c>
      <c r="O22" s="11">
        <f t="shared" si="3"/>
        <v>-2</v>
      </c>
      <c r="P22" s="11" t="s">
        <v>2</v>
      </c>
    </row>
    <row r="23" spans="1:16" x14ac:dyDescent="0.3">
      <c r="A23" s="11">
        <v>5.5</v>
      </c>
      <c r="B23" s="11">
        <v>0.60300169999999997</v>
      </c>
      <c r="C23" s="11">
        <f t="shared" si="0"/>
        <v>0.60300169999999997</v>
      </c>
      <c r="E23" s="11">
        <v>6</v>
      </c>
      <c r="F23" s="11">
        <v>0.91058879999999998</v>
      </c>
      <c r="G23" s="11">
        <f t="shared" si="1"/>
        <v>0.91058879999999998</v>
      </c>
      <c r="I23" s="11">
        <v>5.5</v>
      </c>
      <c r="J23" s="11">
        <v>0.7356741</v>
      </c>
      <c r="K23" s="11">
        <f t="shared" si="2"/>
        <v>-2</v>
      </c>
      <c r="L23" s="11" t="s">
        <v>2</v>
      </c>
      <c r="M23" s="11">
        <v>5.5</v>
      </c>
      <c r="N23" s="11">
        <v>0.80677620000000005</v>
      </c>
      <c r="O23" s="11">
        <f t="shared" si="3"/>
        <v>-2</v>
      </c>
      <c r="P23" s="11" t="s">
        <v>2</v>
      </c>
    </row>
    <row r="24" spans="1:16" x14ac:dyDescent="0.3">
      <c r="A24" s="11">
        <v>6</v>
      </c>
      <c r="B24" s="11">
        <v>0.65608860000000002</v>
      </c>
      <c r="C24" s="11">
        <f t="shared" si="0"/>
        <v>0.65608860000000002</v>
      </c>
      <c r="E24" s="11">
        <v>6.5</v>
      </c>
      <c r="F24" s="11">
        <v>0.95900099999999999</v>
      </c>
      <c r="G24" s="11">
        <f t="shared" si="1"/>
        <v>0.95900099999999999</v>
      </c>
      <c r="I24" s="11">
        <v>6</v>
      </c>
      <c r="J24" s="11">
        <v>0.79784770000000005</v>
      </c>
      <c r="K24" s="11">
        <f t="shared" si="2"/>
        <v>-2</v>
      </c>
      <c r="L24" s="11" t="s">
        <v>2</v>
      </c>
      <c r="M24" s="11">
        <v>6</v>
      </c>
      <c r="N24" s="11">
        <v>0.85992599999999997</v>
      </c>
      <c r="O24" s="11">
        <f t="shared" si="3"/>
        <v>-2</v>
      </c>
      <c r="P24" s="11" t="s">
        <v>2</v>
      </c>
    </row>
    <row r="25" spans="1:16" x14ac:dyDescent="0.3">
      <c r="A25" s="11">
        <v>6.5</v>
      </c>
      <c r="B25" s="11">
        <v>0.7098892</v>
      </c>
      <c r="C25" s="11">
        <f t="shared" si="0"/>
        <v>0.7098892</v>
      </c>
      <c r="E25" s="11">
        <v>7</v>
      </c>
      <c r="F25" s="11">
        <v>1.008297</v>
      </c>
      <c r="G25" s="11">
        <f t="shared" si="1"/>
        <v>1.008297</v>
      </c>
      <c r="I25" s="11">
        <v>6.5</v>
      </c>
      <c r="J25" s="11">
        <v>0.86309420000000003</v>
      </c>
      <c r="K25" s="11">
        <f t="shared" si="2"/>
        <v>-2</v>
      </c>
      <c r="L25" s="11" t="s">
        <v>2</v>
      </c>
      <c r="M25" s="11">
        <v>6.5</v>
      </c>
      <c r="N25" s="11">
        <v>0.9124411</v>
      </c>
      <c r="O25" s="11">
        <f t="shared" si="3"/>
        <v>-2</v>
      </c>
      <c r="P25" s="11" t="s">
        <v>2</v>
      </c>
    </row>
    <row r="26" spans="1:16" x14ac:dyDescent="0.3">
      <c r="A26" s="11">
        <v>7</v>
      </c>
      <c r="B26" s="11">
        <v>0.76951130000000001</v>
      </c>
      <c r="C26" s="11">
        <f t="shared" si="0"/>
        <v>0.76951130000000001</v>
      </c>
      <c r="E26" s="11">
        <v>7.5</v>
      </c>
      <c r="F26" s="11">
        <v>1.0585629999999999</v>
      </c>
      <c r="G26" s="11">
        <f t="shared" si="1"/>
        <v>1.0585629999999999</v>
      </c>
      <c r="I26" s="11">
        <v>7</v>
      </c>
      <c r="J26" s="11">
        <v>0.92837550000000002</v>
      </c>
      <c r="K26" s="11">
        <f t="shared" si="2"/>
        <v>-2</v>
      </c>
      <c r="L26" s="11" t="s">
        <v>2</v>
      </c>
      <c r="M26" s="11">
        <v>7</v>
      </c>
      <c r="N26" s="11">
        <v>0.96589800000000003</v>
      </c>
      <c r="O26" s="11">
        <f t="shared" si="3"/>
        <v>-2</v>
      </c>
      <c r="P26" s="11" t="s">
        <v>2</v>
      </c>
    </row>
    <row r="27" spans="1:16" x14ac:dyDescent="0.3">
      <c r="A27" s="11">
        <v>7.5</v>
      </c>
      <c r="B27" s="11">
        <v>0.83040460000000005</v>
      </c>
      <c r="C27" s="11">
        <f t="shared" si="0"/>
        <v>0.83040460000000005</v>
      </c>
      <c r="E27" s="11">
        <v>8</v>
      </c>
      <c r="F27" s="11">
        <v>1.10903</v>
      </c>
      <c r="G27" s="11">
        <f t="shared" si="1"/>
        <v>1.10903</v>
      </c>
      <c r="I27" s="11">
        <v>7.5</v>
      </c>
      <c r="J27" s="11">
        <v>0.9927821</v>
      </c>
      <c r="K27" s="11">
        <f t="shared" si="2"/>
        <v>-2</v>
      </c>
      <c r="L27" s="11" t="s">
        <v>2</v>
      </c>
      <c r="M27" s="11">
        <v>7.5</v>
      </c>
      <c r="N27" s="11">
        <v>1.0194289999999999</v>
      </c>
      <c r="O27" s="11">
        <f t="shared" si="3"/>
        <v>-2</v>
      </c>
      <c r="P27" s="11" t="s">
        <v>2</v>
      </c>
    </row>
    <row r="28" spans="1:16" x14ac:dyDescent="0.3">
      <c r="A28" s="11">
        <v>8</v>
      </c>
      <c r="B28" s="11">
        <v>0.89541009999999999</v>
      </c>
      <c r="C28" s="11">
        <f t="shared" si="0"/>
        <v>0.89541009999999999</v>
      </c>
      <c r="E28" s="11">
        <v>8.5</v>
      </c>
      <c r="F28" s="11">
        <v>1.159883</v>
      </c>
      <c r="G28" s="11">
        <f t="shared" si="1"/>
        <v>1.159883</v>
      </c>
      <c r="I28" s="11">
        <v>8</v>
      </c>
      <c r="J28" s="11">
        <v>1.05731</v>
      </c>
      <c r="K28" s="11">
        <f t="shared" si="2"/>
        <v>-2</v>
      </c>
      <c r="L28" s="11" t="s">
        <v>2</v>
      </c>
      <c r="M28" s="11">
        <v>8</v>
      </c>
      <c r="N28" s="11">
        <v>1.0724199999999999</v>
      </c>
      <c r="O28" s="11">
        <f t="shared" si="3"/>
        <v>-2</v>
      </c>
      <c r="P28" s="11" t="s">
        <v>2</v>
      </c>
    </row>
    <row r="29" spans="1:16" x14ac:dyDescent="0.3">
      <c r="A29" s="11">
        <v>8.5</v>
      </c>
      <c r="B29" s="11">
        <v>0.95922600000000002</v>
      </c>
      <c r="C29" s="11">
        <f t="shared" si="0"/>
        <v>0.95922600000000002</v>
      </c>
      <c r="E29" s="11">
        <v>9</v>
      </c>
      <c r="F29" s="11">
        <v>1.2093259999999999</v>
      </c>
      <c r="G29" s="11">
        <f t="shared" si="1"/>
        <v>1.2093259999999999</v>
      </c>
      <c r="I29" s="11">
        <v>8.5</v>
      </c>
      <c r="J29" s="11">
        <v>1.1127819999999999</v>
      </c>
      <c r="K29" s="11">
        <f t="shared" si="2"/>
        <v>-2</v>
      </c>
      <c r="L29" s="11" t="s">
        <v>2</v>
      </c>
      <c r="M29" s="11">
        <v>8.5</v>
      </c>
      <c r="N29" s="11">
        <v>1.121677</v>
      </c>
      <c r="O29" s="11">
        <f t="shared" si="3"/>
        <v>-2</v>
      </c>
      <c r="P29" s="11" t="s">
        <v>2</v>
      </c>
    </row>
    <row r="30" spans="1:16" x14ac:dyDescent="0.3">
      <c r="A30" s="11">
        <v>9</v>
      </c>
      <c r="B30" s="11">
        <v>1.0212220000000001</v>
      </c>
      <c r="C30" s="11">
        <f t="shared" si="0"/>
        <v>1.0212220000000001</v>
      </c>
      <c r="E30" s="11">
        <v>9.5</v>
      </c>
      <c r="F30" s="11">
        <v>1.2591870000000001</v>
      </c>
      <c r="G30" s="11">
        <f t="shared" si="1"/>
        <v>1.2591870000000001</v>
      </c>
      <c r="I30" s="11">
        <v>9</v>
      </c>
      <c r="J30" s="11">
        <v>1.1581539999999999</v>
      </c>
      <c r="K30" s="11">
        <f t="shared" si="2"/>
        <v>-2</v>
      </c>
      <c r="L30" s="11" t="s">
        <v>2</v>
      </c>
      <c r="M30" s="11">
        <v>10</v>
      </c>
      <c r="N30" s="11">
        <v>1.2715350000000001</v>
      </c>
      <c r="O30" s="11">
        <f t="shared" si="3"/>
        <v>-2</v>
      </c>
      <c r="P30" s="11" t="s">
        <v>2</v>
      </c>
    </row>
    <row r="31" spans="1:16" x14ac:dyDescent="0.3">
      <c r="A31" s="11">
        <v>9.5</v>
      </c>
      <c r="B31" s="11">
        <v>1.075062</v>
      </c>
      <c r="C31" s="11">
        <f t="shared" si="0"/>
        <v>1.075062</v>
      </c>
      <c r="E31" s="11">
        <v>10</v>
      </c>
      <c r="F31" s="11">
        <v>1.306419</v>
      </c>
      <c r="G31" s="11">
        <f t="shared" si="1"/>
        <v>1.306419</v>
      </c>
      <c r="I31" s="11">
        <v>9.5</v>
      </c>
      <c r="J31" s="11">
        <v>1.2038740000000001</v>
      </c>
      <c r="K31" s="11">
        <f t="shared" si="2"/>
        <v>-2</v>
      </c>
      <c r="L31" s="11" t="s">
        <v>2</v>
      </c>
      <c r="M31" s="11">
        <v>10.5</v>
      </c>
      <c r="N31" s="11">
        <v>1.319701</v>
      </c>
      <c r="O31" s="11">
        <f t="shared" si="3"/>
        <v>-2</v>
      </c>
      <c r="P31" s="11" t="s">
        <v>2</v>
      </c>
    </row>
    <row r="32" spans="1:16" x14ac:dyDescent="0.3">
      <c r="A32" s="11">
        <v>10</v>
      </c>
      <c r="B32" s="11">
        <v>1.1187780000000001</v>
      </c>
      <c r="C32" s="11">
        <f t="shared" si="0"/>
        <v>1.1187780000000001</v>
      </c>
      <c r="E32" s="11">
        <v>10.5</v>
      </c>
      <c r="F32" s="11">
        <v>1.354849</v>
      </c>
      <c r="G32" s="11">
        <f t="shared" si="1"/>
        <v>1.354849</v>
      </c>
      <c r="I32" s="11">
        <v>10</v>
      </c>
      <c r="J32" s="11">
        <v>1.250491</v>
      </c>
      <c r="K32" s="11">
        <f t="shared" si="2"/>
        <v>-2</v>
      </c>
      <c r="L32" s="11" t="s">
        <v>2</v>
      </c>
      <c r="M32" s="11">
        <v>11</v>
      </c>
      <c r="N32" s="11">
        <v>1.365507</v>
      </c>
      <c r="O32" s="11">
        <f t="shared" si="3"/>
        <v>-2</v>
      </c>
      <c r="P32" s="11" t="s">
        <v>2</v>
      </c>
    </row>
    <row r="33" spans="1:16" x14ac:dyDescent="0.3">
      <c r="A33" s="11">
        <v>10.5</v>
      </c>
      <c r="B33" s="11">
        <v>1.1626030000000001</v>
      </c>
      <c r="C33" s="11">
        <f t="shared" si="0"/>
        <v>1.1626030000000001</v>
      </c>
      <c r="E33" s="11">
        <v>11</v>
      </c>
      <c r="F33" s="11">
        <v>1.4014629999999999</v>
      </c>
      <c r="G33" s="11">
        <f t="shared" si="1"/>
        <v>1.4014629999999999</v>
      </c>
      <c r="I33" s="11">
        <v>10.5</v>
      </c>
      <c r="J33" s="11">
        <v>1.2968090000000001</v>
      </c>
      <c r="K33" s="11">
        <f t="shared" si="2"/>
        <v>-2</v>
      </c>
      <c r="L33" s="11" t="s">
        <v>2</v>
      </c>
      <c r="M33" s="11">
        <v>11.5</v>
      </c>
      <c r="N33" s="11">
        <v>1.398474</v>
      </c>
      <c r="O33" s="11">
        <f t="shared" si="3"/>
        <v>-2</v>
      </c>
      <c r="P33" s="11" t="s">
        <v>2</v>
      </c>
    </row>
    <row r="34" spans="1:16" x14ac:dyDescent="0.3">
      <c r="A34" s="11">
        <v>11</v>
      </c>
      <c r="B34" s="11">
        <v>1.2069510000000001</v>
      </c>
      <c r="C34" s="11">
        <f t="shared" ref="C34:C57" si="4">IF($Q$2, B34, -2)</f>
        <v>1.2069510000000001</v>
      </c>
      <c r="E34" s="11">
        <v>11.5</v>
      </c>
      <c r="F34" s="11">
        <v>1.444779</v>
      </c>
      <c r="G34" s="11">
        <f t="shared" ref="G34:G57" si="5">IF($Q$3, F34, -2)</f>
        <v>1.444779</v>
      </c>
      <c r="I34" s="11">
        <v>11</v>
      </c>
      <c r="J34" s="11">
        <v>1.3431770000000001</v>
      </c>
      <c r="K34" s="11">
        <f t="shared" ref="K34:K59" si="6">IF($Q$4, J34, -2)</f>
        <v>-2</v>
      </c>
      <c r="L34" s="11" t="s">
        <v>2</v>
      </c>
      <c r="M34" s="11">
        <v>12</v>
      </c>
      <c r="N34" s="11">
        <v>1.412785</v>
      </c>
      <c r="O34" s="11">
        <f t="shared" ref="O34:O57" si="7">IF($Q$5, N34, -2)</f>
        <v>-2</v>
      </c>
      <c r="P34" s="11" t="s">
        <v>2</v>
      </c>
    </row>
    <row r="35" spans="1:16" x14ac:dyDescent="0.3">
      <c r="A35" s="11">
        <v>11.5</v>
      </c>
      <c r="B35" s="11">
        <v>1.252173</v>
      </c>
      <c r="C35" s="11">
        <f t="shared" si="4"/>
        <v>1.252173</v>
      </c>
      <c r="E35" s="11">
        <v>12</v>
      </c>
      <c r="F35" s="11">
        <v>1.485209</v>
      </c>
      <c r="G35" s="11">
        <f t="shared" si="5"/>
        <v>1.485209</v>
      </c>
      <c r="I35" s="11">
        <v>11.5</v>
      </c>
      <c r="J35" s="11">
        <v>1.388347</v>
      </c>
      <c r="K35" s="11">
        <f t="shared" si="6"/>
        <v>-2</v>
      </c>
      <c r="L35" s="11" t="s">
        <v>2</v>
      </c>
      <c r="M35" s="11">
        <v>12.5</v>
      </c>
      <c r="N35" s="11">
        <v>1.422507</v>
      </c>
      <c r="O35" s="11">
        <f t="shared" si="7"/>
        <v>-2</v>
      </c>
      <c r="P35" s="11" t="s">
        <v>2</v>
      </c>
    </row>
    <row r="36" spans="1:16" x14ac:dyDescent="0.3">
      <c r="A36" s="11">
        <v>12</v>
      </c>
      <c r="B36" s="11">
        <v>1.3003279999999999</v>
      </c>
      <c r="C36" s="11">
        <f t="shared" si="4"/>
        <v>1.3003279999999999</v>
      </c>
      <c r="E36" s="11">
        <v>13</v>
      </c>
      <c r="F36" s="11">
        <v>1.5647610000000001</v>
      </c>
      <c r="G36" s="11">
        <f t="shared" si="5"/>
        <v>1.5647610000000001</v>
      </c>
      <c r="I36" s="11">
        <v>12</v>
      </c>
      <c r="J36" s="11">
        <v>1.43279</v>
      </c>
      <c r="K36" s="11">
        <f t="shared" si="6"/>
        <v>-2</v>
      </c>
      <c r="L36" s="11" t="s">
        <v>2</v>
      </c>
      <c r="M36" s="11">
        <v>13</v>
      </c>
      <c r="N36" s="11">
        <v>1.439316</v>
      </c>
      <c r="O36" s="11">
        <f t="shared" si="7"/>
        <v>-2</v>
      </c>
      <c r="P36" s="11" t="s">
        <v>2</v>
      </c>
    </row>
    <row r="37" spans="1:16" x14ac:dyDescent="0.3">
      <c r="A37" s="11">
        <v>12.5</v>
      </c>
      <c r="B37" s="11">
        <v>1.348088</v>
      </c>
      <c r="C37" s="11">
        <f t="shared" si="4"/>
        <v>1.348088</v>
      </c>
      <c r="E37" s="11">
        <v>13.5</v>
      </c>
      <c r="F37" s="11">
        <v>1.5982320000000001</v>
      </c>
      <c r="G37" s="11">
        <f t="shared" si="5"/>
        <v>1.5982320000000001</v>
      </c>
      <c r="I37" s="11">
        <v>12.5</v>
      </c>
      <c r="J37" s="11">
        <v>1.475997</v>
      </c>
      <c r="K37" s="11">
        <f t="shared" si="6"/>
        <v>-2</v>
      </c>
      <c r="L37" s="11" t="s">
        <v>2</v>
      </c>
      <c r="M37" s="11">
        <v>13.5</v>
      </c>
      <c r="N37" s="11">
        <v>1.4581010000000001</v>
      </c>
      <c r="O37" s="11">
        <f t="shared" si="7"/>
        <v>-2</v>
      </c>
      <c r="P37" s="11" t="s">
        <v>2</v>
      </c>
    </row>
    <row r="38" spans="1:16" x14ac:dyDescent="0.3">
      <c r="A38" s="11">
        <v>13</v>
      </c>
      <c r="B38" s="11">
        <v>1.3948640000000001</v>
      </c>
      <c r="C38" s="11">
        <f t="shared" si="4"/>
        <v>1.3948640000000001</v>
      </c>
      <c r="E38" s="11">
        <v>14</v>
      </c>
      <c r="F38" s="11">
        <v>1.6281920000000001</v>
      </c>
      <c r="G38" s="11">
        <f t="shared" si="5"/>
        <v>1.6281920000000001</v>
      </c>
      <c r="I38" s="11">
        <v>13</v>
      </c>
      <c r="J38" s="11">
        <v>1.5184329999999999</v>
      </c>
      <c r="K38" s="11">
        <f t="shared" si="6"/>
        <v>-2</v>
      </c>
      <c r="L38" s="11" t="s">
        <v>2</v>
      </c>
      <c r="M38" s="11">
        <v>14</v>
      </c>
      <c r="N38" s="11">
        <v>1.475878</v>
      </c>
      <c r="O38" s="11">
        <f t="shared" si="7"/>
        <v>-2</v>
      </c>
      <c r="P38" s="11" t="s">
        <v>2</v>
      </c>
    </row>
    <row r="39" spans="1:16" x14ac:dyDescent="0.3">
      <c r="A39" s="11">
        <v>13.5</v>
      </c>
      <c r="B39" s="11">
        <v>1.4395500000000001</v>
      </c>
      <c r="C39" s="11">
        <f t="shared" si="4"/>
        <v>1.4395500000000001</v>
      </c>
      <c r="E39" s="11">
        <v>14.5</v>
      </c>
      <c r="F39" s="11">
        <v>1.6526989999999999</v>
      </c>
      <c r="G39" s="11">
        <f t="shared" si="5"/>
        <v>1.6526989999999999</v>
      </c>
      <c r="I39" s="11">
        <v>13.5</v>
      </c>
      <c r="J39" s="11">
        <v>1.5590850000000001</v>
      </c>
      <c r="K39" s="11">
        <f t="shared" si="6"/>
        <v>-2</v>
      </c>
      <c r="L39" s="11" t="s">
        <v>2</v>
      </c>
      <c r="M39" s="11">
        <v>14.5</v>
      </c>
      <c r="N39" s="11">
        <v>1.491949</v>
      </c>
      <c r="O39" s="11">
        <f t="shared" si="7"/>
        <v>-2</v>
      </c>
      <c r="P39" s="11" t="s">
        <v>2</v>
      </c>
    </row>
    <row r="40" spans="1:16" x14ac:dyDescent="0.3">
      <c r="A40" s="11">
        <v>14</v>
      </c>
      <c r="B40" s="11">
        <v>1.480086</v>
      </c>
      <c r="C40" s="11">
        <f t="shared" si="4"/>
        <v>1.480086</v>
      </c>
      <c r="E40" s="11">
        <v>15</v>
      </c>
      <c r="F40" s="11">
        <v>1.672688</v>
      </c>
      <c r="G40" s="11">
        <f t="shared" si="5"/>
        <v>1.672688</v>
      </c>
      <c r="I40" s="11">
        <v>14</v>
      </c>
      <c r="J40" s="11">
        <v>1.5976589999999999</v>
      </c>
      <c r="K40" s="11">
        <f t="shared" si="6"/>
        <v>-2</v>
      </c>
      <c r="L40" s="11" t="s">
        <v>2</v>
      </c>
      <c r="M40" s="11">
        <v>15</v>
      </c>
      <c r="N40" s="11">
        <v>1.5062009999999999</v>
      </c>
      <c r="O40" s="11">
        <f t="shared" si="7"/>
        <v>-2</v>
      </c>
      <c r="P40" s="11" t="s">
        <v>2</v>
      </c>
    </row>
    <row r="41" spans="1:16" x14ac:dyDescent="0.3">
      <c r="A41" s="11">
        <v>14.5</v>
      </c>
      <c r="B41" s="11">
        <v>1.5154190000000001</v>
      </c>
      <c r="C41" s="11">
        <f t="shared" si="4"/>
        <v>1.5154190000000001</v>
      </c>
      <c r="E41" s="11">
        <v>15.5</v>
      </c>
      <c r="F41" s="11">
        <v>1.69014</v>
      </c>
      <c r="G41" s="11">
        <f t="shared" si="5"/>
        <v>1.69014</v>
      </c>
      <c r="I41" s="11">
        <v>14.5</v>
      </c>
      <c r="J41" s="11">
        <v>1.6316079999999999</v>
      </c>
      <c r="K41" s="11">
        <f t="shared" si="6"/>
        <v>-2</v>
      </c>
      <c r="L41" s="11" t="s">
        <v>2</v>
      </c>
      <c r="M41" s="11">
        <v>15.5</v>
      </c>
      <c r="N41" s="11">
        <v>1.520054</v>
      </c>
      <c r="O41" s="11">
        <f t="shared" si="7"/>
        <v>-2</v>
      </c>
      <c r="P41" s="11" t="s">
        <v>2</v>
      </c>
    </row>
    <row r="42" spans="1:16" x14ac:dyDescent="0.3">
      <c r="A42" s="11">
        <v>15</v>
      </c>
      <c r="B42" s="11">
        <v>1.5447409999999999</v>
      </c>
      <c r="C42" s="11">
        <f t="shared" si="4"/>
        <v>1.5447409999999999</v>
      </c>
      <c r="E42" s="11">
        <v>16</v>
      </c>
      <c r="F42" s="11">
        <v>1.702979</v>
      </c>
      <c r="G42" s="11">
        <f t="shared" si="5"/>
        <v>1.702979</v>
      </c>
      <c r="I42" s="11">
        <v>15</v>
      </c>
      <c r="J42" s="11">
        <v>1.659178</v>
      </c>
      <c r="K42" s="11">
        <f t="shared" si="6"/>
        <v>-2</v>
      </c>
      <c r="L42" s="11" t="s">
        <v>2</v>
      </c>
      <c r="M42" s="11">
        <v>16</v>
      </c>
      <c r="N42" s="11">
        <v>1.53207</v>
      </c>
      <c r="O42" s="11">
        <f t="shared" si="7"/>
        <v>-2</v>
      </c>
      <c r="P42" s="11" t="s">
        <v>2</v>
      </c>
    </row>
    <row r="43" spans="1:16" x14ac:dyDescent="0.3">
      <c r="A43" s="11">
        <v>15.5</v>
      </c>
      <c r="B43" s="11">
        <v>1.563712</v>
      </c>
      <c r="C43" s="11">
        <f t="shared" si="4"/>
        <v>1.563712</v>
      </c>
      <c r="E43" s="11">
        <v>16.5</v>
      </c>
      <c r="F43" s="11">
        <v>1.7108460000000001</v>
      </c>
      <c r="G43" s="11">
        <f t="shared" si="5"/>
        <v>1.7108460000000001</v>
      </c>
      <c r="I43" s="11">
        <v>15.5</v>
      </c>
      <c r="J43" s="11">
        <v>1.679899</v>
      </c>
      <c r="K43" s="11">
        <f t="shared" si="6"/>
        <v>-2</v>
      </c>
      <c r="L43" s="11" t="s">
        <v>2</v>
      </c>
      <c r="M43" s="11">
        <v>16.5</v>
      </c>
      <c r="N43" s="11">
        <v>1.543391</v>
      </c>
      <c r="O43" s="11">
        <f t="shared" si="7"/>
        <v>-2</v>
      </c>
      <c r="P43" s="11" t="s">
        <v>2</v>
      </c>
    </row>
    <row r="44" spans="1:16" x14ac:dyDescent="0.3">
      <c r="A44" s="11">
        <v>16</v>
      </c>
      <c r="B44" s="11">
        <v>1.5777810000000001</v>
      </c>
      <c r="C44" s="11">
        <f t="shared" si="4"/>
        <v>1.5777810000000001</v>
      </c>
      <c r="E44" s="11">
        <v>17</v>
      </c>
      <c r="F44" s="11">
        <v>1.7105790000000001</v>
      </c>
      <c r="G44" s="11">
        <f t="shared" si="5"/>
        <v>1.7105790000000001</v>
      </c>
      <c r="I44" s="11">
        <v>16</v>
      </c>
      <c r="J44" s="11">
        <v>1.7028810000000001</v>
      </c>
      <c r="K44" s="11">
        <f t="shared" si="6"/>
        <v>-2</v>
      </c>
      <c r="L44" s="11" t="s">
        <v>2</v>
      </c>
      <c r="M44" s="11">
        <v>17</v>
      </c>
      <c r="N44" s="11">
        <v>1.554678</v>
      </c>
      <c r="O44" s="11">
        <f t="shared" si="7"/>
        <v>-2</v>
      </c>
      <c r="P44" s="11" t="s">
        <v>2</v>
      </c>
    </row>
    <row r="45" spans="1:16" x14ac:dyDescent="0.3">
      <c r="A45" s="11">
        <v>16.5</v>
      </c>
      <c r="B45" s="11">
        <v>1.585545</v>
      </c>
      <c r="C45" s="11">
        <f t="shared" si="4"/>
        <v>1.585545</v>
      </c>
      <c r="E45" s="11">
        <v>17.5</v>
      </c>
      <c r="F45" s="11">
        <v>1.7043699999999999</v>
      </c>
      <c r="G45" s="11">
        <f t="shared" si="5"/>
        <v>1.7043699999999999</v>
      </c>
      <c r="I45" s="11">
        <v>16.5</v>
      </c>
      <c r="J45" s="11">
        <v>1.7188870000000001</v>
      </c>
      <c r="K45" s="11">
        <f t="shared" si="6"/>
        <v>-2</v>
      </c>
      <c r="L45" s="11" t="s">
        <v>2</v>
      </c>
      <c r="M45" s="11">
        <v>17.5</v>
      </c>
      <c r="N45" s="11">
        <v>1.5662290000000001</v>
      </c>
      <c r="O45" s="11">
        <f t="shared" si="7"/>
        <v>-2</v>
      </c>
      <c r="P45" s="11" t="s">
        <v>2</v>
      </c>
    </row>
    <row r="46" spans="1:16" x14ac:dyDescent="0.3">
      <c r="A46" s="11">
        <v>17</v>
      </c>
      <c r="B46" s="11">
        <v>1.5852459999999999</v>
      </c>
      <c r="C46" s="11">
        <f t="shared" si="4"/>
        <v>1.5852459999999999</v>
      </c>
      <c r="E46" s="11">
        <v>18</v>
      </c>
      <c r="F46" s="11">
        <v>1.706683</v>
      </c>
      <c r="G46" s="11">
        <f t="shared" si="5"/>
        <v>1.706683</v>
      </c>
      <c r="I46" s="11">
        <v>17</v>
      </c>
      <c r="J46" s="11">
        <v>1.727363</v>
      </c>
      <c r="K46" s="11">
        <f t="shared" si="6"/>
        <v>-2</v>
      </c>
      <c r="L46" s="11" t="s">
        <v>2</v>
      </c>
      <c r="M46" s="11">
        <v>18</v>
      </c>
      <c r="N46" s="11">
        <v>1.574552</v>
      </c>
      <c r="O46" s="11">
        <f t="shared" si="7"/>
        <v>-2</v>
      </c>
      <c r="P46" s="11" t="s">
        <v>2</v>
      </c>
    </row>
    <row r="47" spans="1:16" x14ac:dyDescent="0.3">
      <c r="A47" s="11">
        <v>17.5</v>
      </c>
      <c r="B47" s="11">
        <v>1.5757589999999999</v>
      </c>
      <c r="C47" s="11">
        <f t="shared" si="4"/>
        <v>1.5757589999999999</v>
      </c>
      <c r="E47" s="11">
        <v>18.5</v>
      </c>
      <c r="F47" s="11">
        <v>1.7033309999999999</v>
      </c>
      <c r="G47" s="11">
        <f t="shared" si="5"/>
        <v>1.7033309999999999</v>
      </c>
      <c r="I47" s="11">
        <v>17.5</v>
      </c>
      <c r="J47" s="11">
        <v>1.736974</v>
      </c>
      <c r="K47" s="11">
        <f t="shared" si="6"/>
        <v>-2</v>
      </c>
      <c r="L47" s="11" t="s">
        <v>2</v>
      </c>
      <c r="M47" s="11">
        <v>18.5</v>
      </c>
      <c r="N47" s="11">
        <v>1.580368</v>
      </c>
      <c r="O47" s="11">
        <f t="shared" si="7"/>
        <v>-2</v>
      </c>
      <c r="P47" s="11" t="s">
        <v>2</v>
      </c>
    </row>
    <row r="48" spans="1:16" x14ac:dyDescent="0.3">
      <c r="A48" s="11">
        <v>18</v>
      </c>
      <c r="B48" s="11">
        <v>1.5534669999999999</v>
      </c>
      <c r="C48" s="11">
        <f t="shared" si="4"/>
        <v>1.5534669999999999</v>
      </c>
      <c r="E48" s="11">
        <v>19</v>
      </c>
      <c r="F48" s="11">
        <v>1.694952</v>
      </c>
      <c r="G48" s="11">
        <f t="shared" si="5"/>
        <v>1.694952</v>
      </c>
      <c r="I48" s="11">
        <v>18</v>
      </c>
      <c r="J48" s="11">
        <v>1.739411</v>
      </c>
      <c r="K48" s="11">
        <f t="shared" si="6"/>
        <v>-2</v>
      </c>
      <c r="L48" s="11" t="s">
        <v>2</v>
      </c>
      <c r="M48" s="11">
        <v>19</v>
      </c>
      <c r="N48" s="11">
        <v>1.5843050000000001</v>
      </c>
      <c r="O48" s="11">
        <f t="shared" si="7"/>
        <v>-2</v>
      </c>
      <c r="P48" s="11" t="s">
        <v>2</v>
      </c>
    </row>
    <row r="49" spans="1:16" x14ac:dyDescent="0.3">
      <c r="A49" s="11">
        <v>18.5</v>
      </c>
      <c r="B49" s="11">
        <v>1.518119</v>
      </c>
      <c r="C49" s="11">
        <f t="shared" si="4"/>
        <v>1.518119</v>
      </c>
      <c r="E49" s="11">
        <v>19.5</v>
      </c>
      <c r="F49" s="11">
        <v>1.6834709999999999</v>
      </c>
      <c r="G49" s="11">
        <f t="shared" si="5"/>
        <v>1.6834709999999999</v>
      </c>
      <c r="I49" s="11">
        <v>18.5</v>
      </c>
      <c r="J49" s="11">
        <v>1.730434</v>
      </c>
      <c r="K49" s="11">
        <f t="shared" si="6"/>
        <v>-2</v>
      </c>
      <c r="L49" s="11" t="s">
        <v>2</v>
      </c>
      <c r="M49" s="11">
        <v>19.5</v>
      </c>
      <c r="N49" s="11">
        <v>1.5862959999999999</v>
      </c>
      <c r="O49" s="11">
        <f t="shared" si="7"/>
        <v>-2</v>
      </c>
      <c r="P49" s="11" t="s">
        <v>2</v>
      </c>
    </row>
    <row r="50" spans="1:16" x14ac:dyDescent="0.3">
      <c r="A50" s="11">
        <v>19</v>
      </c>
      <c r="B50" s="11">
        <v>1.467603</v>
      </c>
      <c r="C50" s="11">
        <f t="shared" si="4"/>
        <v>1.467603</v>
      </c>
      <c r="E50" s="11">
        <v>20</v>
      </c>
      <c r="F50" s="11">
        <v>1.6608259999999999</v>
      </c>
      <c r="G50" s="11">
        <f t="shared" si="5"/>
        <v>1.6608259999999999</v>
      </c>
      <c r="I50" s="11">
        <v>19</v>
      </c>
      <c r="J50" s="11">
        <v>1.705373</v>
      </c>
      <c r="K50" s="11">
        <f t="shared" si="6"/>
        <v>-2</v>
      </c>
      <c r="L50" s="11" t="s">
        <v>2</v>
      </c>
      <c r="M50" s="11">
        <v>20</v>
      </c>
      <c r="N50" s="11">
        <v>1.5869219999999999</v>
      </c>
      <c r="O50" s="11">
        <f t="shared" si="7"/>
        <v>-2</v>
      </c>
      <c r="P50" s="11" t="s">
        <v>2</v>
      </c>
    </row>
    <row r="51" spans="1:16" x14ac:dyDescent="0.3">
      <c r="A51" s="11">
        <v>19.5</v>
      </c>
      <c r="B51" s="11">
        <v>1.4068320000000001</v>
      </c>
      <c r="C51" s="11">
        <f t="shared" si="4"/>
        <v>1.4068320000000001</v>
      </c>
      <c r="E51" s="11">
        <v>20.5</v>
      </c>
      <c r="F51" s="11">
        <v>1.635554</v>
      </c>
      <c r="G51" s="11">
        <f t="shared" si="5"/>
        <v>1.635554</v>
      </c>
      <c r="I51" s="11">
        <v>19.5</v>
      </c>
      <c r="J51" s="11">
        <v>1.658215</v>
      </c>
      <c r="K51" s="11">
        <f t="shared" si="6"/>
        <v>-2</v>
      </c>
      <c r="L51" s="11" t="s">
        <v>2</v>
      </c>
      <c r="M51" s="11">
        <v>20.5</v>
      </c>
      <c r="N51" s="11">
        <v>1.5873660000000001</v>
      </c>
      <c r="O51" s="11">
        <f t="shared" si="7"/>
        <v>-2</v>
      </c>
      <c r="P51" s="11" t="s">
        <v>2</v>
      </c>
    </row>
    <row r="52" spans="1:16" x14ac:dyDescent="0.3">
      <c r="A52" s="11">
        <v>20</v>
      </c>
      <c r="B52" s="11">
        <v>1.338066</v>
      </c>
      <c r="C52" s="11">
        <f t="shared" si="4"/>
        <v>1.338066</v>
      </c>
      <c r="E52" s="11">
        <v>21</v>
      </c>
      <c r="F52" s="11">
        <v>1.6033269999999999</v>
      </c>
      <c r="G52" s="11">
        <f t="shared" si="5"/>
        <v>1.6033269999999999</v>
      </c>
      <c r="I52" s="11">
        <v>20</v>
      </c>
      <c r="J52" s="11">
        <v>1.584328</v>
      </c>
      <c r="K52" s="11">
        <f t="shared" si="6"/>
        <v>-2</v>
      </c>
      <c r="L52" s="11" t="s">
        <v>2</v>
      </c>
      <c r="M52" s="11">
        <v>21</v>
      </c>
      <c r="N52" s="11">
        <v>1.5803339999999999</v>
      </c>
      <c r="O52" s="11">
        <f t="shared" si="7"/>
        <v>-2</v>
      </c>
      <c r="P52" s="11" t="s">
        <v>2</v>
      </c>
    </row>
    <row r="53" spans="1:16" x14ac:dyDescent="0.3">
      <c r="A53" s="11">
        <v>20.5</v>
      </c>
      <c r="B53" s="11">
        <v>1.2652680000000001</v>
      </c>
      <c r="C53" s="11">
        <f t="shared" si="4"/>
        <v>1.2652680000000001</v>
      </c>
      <c r="E53" s="11">
        <v>21.5</v>
      </c>
      <c r="F53" s="11">
        <v>1.5616479999999999</v>
      </c>
      <c r="G53" s="11">
        <f t="shared" si="5"/>
        <v>1.5616479999999999</v>
      </c>
      <c r="I53" s="11">
        <v>20.5</v>
      </c>
      <c r="J53" s="11">
        <v>1.495044</v>
      </c>
      <c r="K53" s="11">
        <f t="shared" si="6"/>
        <v>-2</v>
      </c>
      <c r="L53" s="11" t="s">
        <v>2</v>
      </c>
      <c r="M53" s="11">
        <v>21.5</v>
      </c>
      <c r="N53" s="11">
        <v>1.570039</v>
      </c>
      <c r="O53" s="11">
        <f t="shared" si="7"/>
        <v>-2</v>
      </c>
      <c r="P53" s="11" t="s">
        <v>2</v>
      </c>
    </row>
    <row r="54" spans="1:16" x14ac:dyDescent="0.3">
      <c r="A54" s="11">
        <v>21</v>
      </c>
      <c r="B54" s="11">
        <v>1.1986810000000001</v>
      </c>
      <c r="C54" s="11">
        <f t="shared" si="4"/>
        <v>1.1986810000000001</v>
      </c>
      <c r="E54" s="11">
        <v>22</v>
      </c>
      <c r="F54" s="11">
        <v>1.524732</v>
      </c>
      <c r="G54" s="11">
        <f t="shared" si="5"/>
        <v>1.524732</v>
      </c>
      <c r="I54" s="11">
        <v>21</v>
      </c>
      <c r="J54" s="11">
        <v>1.4182110000000001</v>
      </c>
      <c r="K54" s="11">
        <f t="shared" si="6"/>
        <v>-2</v>
      </c>
      <c r="L54" s="11" t="s">
        <v>2</v>
      </c>
      <c r="M54" s="11">
        <v>22</v>
      </c>
      <c r="N54" s="11">
        <v>1.556335</v>
      </c>
      <c r="O54" s="11">
        <f t="shared" si="7"/>
        <v>-2</v>
      </c>
      <c r="P54" s="11" t="s">
        <v>2</v>
      </c>
    </row>
    <row r="55" spans="1:16" x14ac:dyDescent="0.3">
      <c r="A55" s="11">
        <v>21.5</v>
      </c>
      <c r="B55" s="11">
        <v>1.1388039999999999</v>
      </c>
      <c r="C55" s="11">
        <f t="shared" si="4"/>
        <v>1.1388039999999999</v>
      </c>
      <c r="E55" s="11">
        <v>22.5</v>
      </c>
      <c r="F55" s="11">
        <v>1.4785539999999999</v>
      </c>
      <c r="G55" s="11">
        <f t="shared" si="5"/>
        <v>1.4785539999999999</v>
      </c>
      <c r="I55" s="11">
        <v>21.5</v>
      </c>
      <c r="J55" s="11">
        <v>1.366889</v>
      </c>
      <c r="K55" s="11">
        <f t="shared" si="6"/>
        <v>-2</v>
      </c>
      <c r="L55" s="11" t="s">
        <v>2</v>
      </c>
      <c r="M55" s="11">
        <v>22.5</v>
      </c>
      <c r="N55" s="11">
        <v>1.5376879999999999</v>
      </c>
      <c r="O55" s="11">
        <f t="shared" si="7"/>
        <v>-2</v>
      </c>
      <c r="P55" s="11" t="s">
        <v>2</v>
      </c>
    </row>
    <row r="56" spans="1:16" x14ac:dyDescent="0.3">
      <c r="A56" s="11">
        <v>22</v>
      </c>
      <c r="B56" s="11">
        <v>1.0899589999999999</v>
      </c>
      <c r="C56" s="11">
        <f t="shared" si="4"/>
        <v>1.0899589999999999</v>
      </c>
      <c r="E56" s="11">
        <v>23</v>
      </c>
      <c r="F56" s="11">
        <v>1.4306559999999999</v>
      </c>
      <c r="G56" s="11">
        <f t="shared" si="5"/>
        <v>1.4306559999999999</v>
      </c>
      <c r="I56" s="11">
        <v>22</v>
      </c>
      <c r="J56" s="11">
        <v>1.330978</v>
      </c>
      <c r="K56" s="11">
        <f t="shared" si="6"/>
        <v>-2</v>
      </c>
      <c r="L56" s="11" t="s">
        <v>2</v>
      </c>
      <c r="M56" s="11">
        <v>23</v>
      </c>
      <c r="N56" s="11">
        <v>1.5069090000000001</v>
      </c>
      <c r="O56" s="11">
        <f t="shared" si="7"/>
        <v>-2</v>
      </c>
      <c r="P56" s="11" t="s">
        <v>2</v>
      </c>
    </row>
    <row r="57" spans="1:16" x14ac:dyDescent="0.3">
      <c r="A57" s="11">
        <v>23.5</v>
      </c>
      <c r="B57" s="11">
        <v>0.95355749999999995</v>
      </c>
      <c r="C57" s="11">
        <f t="shared" si="4"/>
        <v>0.95355749999999995</v>
      </c>
      <c r="E57" s="11">
        <v>23.5</v>
      </c>
      <c r="F57" s="11">
        <v>1.3957850000000001</v>
      </c>
      <c r="G57" s="11">
        <f t="shared" si="5"/>
        <v>1.3957850000000001</v>
      </c>
      <c r="I57" s="11">
        <v>22.5</v>
      </c>
      <c r="J57" s="11">
        <v>1.3041</v>
      </c>
      <c r="K57" s="11">
        <f t="shared" si="6"/>
        <v>-2</v>
      </c>
      <c r="L57" s="11" t="s">
        <v>2</v>
      </c>
      <c r="M57" s="11">
        <v>23.5</v>
      </c>
      <c r="N57" s="11">
        <v>1.4824999999999999</v>
      </c>
      <c r="O57" s="11">
        <f t="shared" si="7"/>
        <v>-2</v>
      </c>
      <c r="P57" s="11" t="s">
        <v>2</v>
      </c>
    </row>
    <row r="58" spans="1:16" x14ac:dyDescent="0.3">
      <c r="B58" s="11" t="s">
        <v>2</v>
      </c>
      <c r="I58" s="11">
        <v>23</v>
      </c>
      <c r="J58" s="11">
        <v>1.285617</v>
      </c>
      <c r="K58" s="11">
        <f t="shared" si="6"/>
        <v>-2</v>
      </c>
      <c r="L58" s="11" t="s">
        <v>2</v>
      </c>
      <c r="P58" s="11" t="s">
        <v>2</v>
      </c>
    </row>
    <row r="59" spans="1:16" x14ac:dyDescent="0.3">
      <c r="B59" s="11" t="s">
        <v>2</v>
      </c>
      <c r="I59" s="11">
        <v>23.5</v>
      </c>
      <c r="J59" s="11">
        <v>1.266405</v>
      </c>
      <c r="K59" s="11">
        <f t="shared" si="6"/>
        <v>-2</v>
      </c>
      <c r="L59" s="11" t="s">
        <v>2</v>
      </c>
      <c r="P59" s="11" t="s">
        <v>2</v>
      </c>
    </row>
    <row r="60" spans="1:16" x14ac:dyDescent="0.3">
      <c r="B60" s="11" t="s">
        <v>2</v>
      </c>
      <c r="L60" s="11" t="s">
        <v>2</v>
      </c>
      <c r="P60" s="11" t="s">
        <v>2</v>
      </c>
    </row>
    <row r="61" spans="1:16" x14ac:dyDescent="0.3">
      <c r="B61" s="11" t="s">
        <v>2</v>
      </c>
      <c r="L61" s="11" t="s">
        <v>2</v>
      </c>
      <c r="P61" s="11" t="s">
        <v>2</v>
      </c>
    </row>
    <row r="62" spans="1:16" x14ac:dyDescent="0.3">
      <c r="B62" s="11" t="s">
        <v>2</v>
      </c>
      <c r="E62" s="11" t="s">
        <v>2</v>
      </c>
      <c r="F62" s="11" t="s">
        <v>2</v>
      </c>
      <c r="L62" s="11" t="s">
        <v>2</v>
      </c>
      <c r="M62" s="11" t="s">
        <v>2</v>
      </c>
      <c r="N62" s="11" t="s">
        <v>2</v>
      </c>
      <c r="P62" s="11" t="s">
        <v>2</v>
      </c>
    </row>
  </sheetData>
  <sheetProtection algorithmName="SHA-512" hashValue="P16NPMHigh3ov13a0cw6fzwrOIo11oyDLkX3OUoEUiy92ZKipM2UyP1n1dLbaK7wU99rdXb8J/qhGLsqftAqJQ==" saltValue="CZVOXttShOLCoqcpwZqyy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61A1D-C509-4256-9CFB-243278477B1A}">
  <sheetPr codeName="Sheet2"/>
  <dimension ref="M1:N8"/>
  <sheetViews>
    <sheetView showGridLines="0" showRowColHeaders="0" zoomScale="120" zoomScaleNormal="120" workbookViewId="0">
      <selection activeCell="B17" sqref="B17"/>
    </sheetView>
  </sheetViews>
  <sheetFormatPr defaultRowHeight="14.4" x14ac:dyDescent="0.3"/>
  <cols>
    <col min="9" max="9" width="8.109375" customWidth="1"/>
    <col min="10" max="10" width="7.44140625" customWidth="1"/>
    <col min="12" max="12" width="8.77734375" customWidth="1"/>
    <col min="13" max="13" width="12" customWidth="1"/>
    <col min="14" max="14" width="15.77734375" customWidth="1"/>
  </cols>
  <sheetData>
    <row r="1" spans="13:14" ht="12" customHeight="1" x14ac:dyDescent="0.3">
      <c r="N1" s="4"/>
    </row>
    <row r="2" spans="13:14" ht="90" customHeight="1" x14ac:dyDescent="0.3">
      <c r="M2" s="5"/>
      <c r="N2" s="7"/>
    </row>
    <row r="3" spans="13:14" ht="4.95" customHeight="1" x14ac:dyDescent="0.3">
      <c r="N3" s="6"/>
    </row>
    <row r="4" spans="13:14" ht="24" customHeight="1" x14ac:dyDescent="0.3">
      <c r="M4" s="5"/>
      <c r="N4" s="7"/>
    </row>
    <row r="8" spans="13:14" ht="16.2" x14ac:dyDescent="0.3">
      <c r="N8" s="9"/>
    </row>
  </sheetData>
  <sheetProtection algorithmName="SHA-512" hashValue="hfiPNqIy7rJAzluNI1Ocg03fnPs+c5Im5rWlNecpXebw7qFZpy2a+XukdnIp4BrgAzydIlDe8TaV6D6BnAt0pQ==" saltValue="RC69xXnYcgDsLrcAmkTttA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13</xdr:col>
                    <xdr:colOff>83820</xdr:colOff>
                    <xdr:row>1</xdr:row>
                    <xdr:rowOff>76200</xdr:rowOff>
                  </from>
                  <to>
                    <xdr:col>13</xdr:col>
                    <xdr:colOff>960120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13</xdr:col>
                    <xdr:colOff>83820</xdr:colOff>
                    <xdr:row>1</xdr:row>
                    <xdr:rowOff>327660</xdr:rowOff>
                  </from>
                  <to>
                    <xdr:col>13</xdr:col>
                    <xdr:colOff>944880</xdr:colOff>
                    <xdr:row>1</xdr:row>
                    <xdr:rowOff>548640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13</xdr:col>
                    <xdr:colOff>91440</xdr:colOff>
                    <xdr:row>1</xdr:row>
                    <xdr:rowOff>571500</xdr:rowOff>
                  </from>
                  <to>
                    <xdr:col>13</xdr:col>
                    <xdr:colOff>990600</xdr:colOff>
                    <xdr:row>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13</xdr:col>
                    <xdr:colOff>91440</xdr:colOff>
                    <xdr:row>1</xdr:row>
                    <xdr:rowOff>815340</xdr:rowOff>
                  </from>
                  <to>
                    <xdr:col>13</xdr:col>
                    <xdr:colOff>937260</xdr:colOff>
                    <xdr:row>1</xdr:row>
                    <xdr:rowOff>1051560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print="0" autoFill="0" autoLine="0" autoPict="0" macro="[0]!cl_grid.ToggleGridlinesAndLabels">
                <anchor moveWithCells="1">
                  <from>
                    <xdr:col>13</xdr:col>
                    <xdr:colOff>91440</xdr:colOff>
                    <xdr:row>3</xdr:row>
                    <xdr:rowOff>30480</xdr:rowOff>
                  </from>
                  <to>
                    <xdr:col>13</xdr:col>
                    <xdr:colOff>982980</xdr:colOff>
                    <xdr:row>3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Q62"/>
  <sheetViews>
    <sheetView zoomScaleNormal="100" workbookViewId="0">
      <selection activeCell="S24" sqref="S24"/>
    </sheetView>
  </sheetViews>
  <sheetFormatPr defaultRowHeight="14.4" x14ac:dyDescent="0.3"/>
  <cols>
    <col min="1" max="16384" width="8.88671875" style="11"/>
  </cols>
  <sheetData>
    <row r="1" spans="1:17" x14ac:dyDescent="0.3">
      <c r="A1" s="11" t="s">
        <v>0</v>
      </c>
      <c r="B1" s="11" t="s">
        <v>1</v>
      </c>
      <c r="D1" s="11" t="s">
        <v>2</v>
      </c>
      <c r="E1" s="11" t="s">
        <v>3</v>
      </c>
      <c r="F1" s="11" t="s">
        <v>1</v>
      </c>
      <c r="H1" s="11" t="s">
        <v>2</v>
      </c>
      <c r="I1" s="11" t="s">
        <v>3</v>
      </c>
      <c r="J1" s="11" t="s">
        <v>1</v>
      </c>
      <c r="L1" s="11" t="s">
        <v>2</v>
      </c>
      <c r="M1" s="11" t="s">
        <v>3</v>
      </c>
      <c r="N1" s="11" t="s">
        <v>1</v>
      </c>
      <c r="O1" s="11" t="s">
        <v>2</v>
      </c>
      <c r="P1" s="11" t="s">
        <v>2</v>
      </c>
    </row>
    <row r="2" spans="1:17" x14ac:dyDescent="0.3">
      <c r="A2" s="11">
        <v>-5</v>
      </c>
      <c r="B2" s="11">
        <v>-2.397279E-3</v>
      </c>
      <c r="C2" s="11">
        <f t="shared" ref="C2:C46" si="0">IF($Q$2, B2, -2)</f>
        <v>-2.397279E-3</v>
      </c>
      <c r="D2" s="11" t="s">
        <v>2</v>
      </c>
      <c r="E2" s="11">
        <v>-5</v>
      </c>
      <c r="F2" s="11">
        <v>-1.2516660000000001E-2</v>
      </c>
      <c r="G2" s="11">
        <f t="shared" ref="G2:G46" si="1">IF($Q$4, F2, -2)</f>
        <v>-2</v>
      </c>
      <c r="H2" s="11" t="s">
        <v>2</v>
      </c>
      <c r="I2" s="11">
        <v>-5</v>
      </c>
      <c r="J2" s="11">
        <v>-5.2700179999999999E-2</v>
      </c>
      <c r="K2" s="11">
        <f t="shared" ref="K2:K44" si="2">IF($Q$3, J2, -2)</f>
        <v>-5.2700179999999999E-2</v>
      </c>
      <c r="L2" s="11" t="s">
        <v>2</v>
      </c>
      <c r="M2" s="11">
        <v>-5</v>
      </c>
      <c r="N2" s="11">
        <v>-3.4818590000000003E-2</v>
      </c>
      <c r="O2" s="11">
        <f>IF($Q$5, N2, -2)</f>
        <v>-2</v>
      </c>
      <c r="P2" s="11" t="s">
        <v>2</v>
      </c>
      <c r="Q2" s="10" t="b">
        <v>1</v>
      </c>
    </row>
    <row r="3" spans="1:17" x14ac:dyDescent="0.3">
      <c r="A3" s="11">
        <v>-4.5</v>
      </c>
      <c r="B3" s="11">
        <v>-1.7502590000000001E-3</v>
      </c>
      <c r="C3" s="11">
        <f t="shared" si="0"/>
        <v>-1.7502590000000001E-3</v>
      </c>
      <c r="D3" s="11" t="s">
        <v>2</v>
      </c>
      <c r="E3" s="11">
        <v>-4.5</v>
      </c>
      <c r="F3" s="11">
        <v>-1.208998E-2</v>
      </c>
      <c r="G3" s="11">
        <f t="shared" si="1"/>
        <v>-2</v>
      </c>
      <c r="H3" s="11" t="s">
        <v>2</v>
      </c>
      <c r="I3" s="11">
        <v>-4.5</v>
      </c>
      <c r="J3" s="11">
        <v>-5.2618020000000001E-2</v>
      </c>
      <c r="K3" s="11">
        <f t="shared" si="2"/>
        <v>-5.2618020000000001E-2</v>
      </c>
      <c r="L3" s="11" t="s">
        <v>2</v>
      </c>
      <c r="M3" s="11">
        <v>-4.5</v>
      </c>
      <c r="N3" s="11">
        <v>-3.5338920000000003E-2</v>
      </c>
      <c r="O3" s="11">
        <f t="shared" ref="O3:O44" si="3">IF($Q$5, N3, -2)</f>
        <v>-2</v>
      </c>
      <c r="P3" s="11" t="s">
        <v>2</v>
      </c>
      <c r="Q3" s="10" t="b">
        <v>1</v>
      </c>
    </row>
    <row r="4" spans="1:17" x14ac:dyDescent="0.3">
      <c r="A4" s="11">
        <v>-4</v>
      </c>
      <c r="B4" s="11">
        <v>-1.3737160000000001E-3</v>
      </c>
      <c r="C4" s="11">
        <f t="shared" si="0"/>
        <v>-1.3737160000000001E-3</v>
      </c>
      <c r="D4" s="11" t="s">
        <v>2</v>
      </c>
      <c r="E4" s="11">
        <v>-4</v>
      </c>
      <c r="F4" s="11">
        <v>-1.18657E-2</v>
      </c>
      <c r="G4" s="11">
        <f t="shared" si="1"/>
        <v>-2</v>
      </c>
      <c r="H4" s="11" t="s">
        <v>2</v>
      </c>
      <c r="I4" s="11">
        <v>-4</v>
      </c>
      <c r="J4" s="11">
        <v>-5.2570680000000002E-2</v>
      </c>
      <c r="K4" s="11">
        <f t="shared" si="2"/>
        <v>-5.2570680000000002E-2</v>
      </c>
      <c r="L4" s="11" t="s">
        <v>2</v>
      </c>
      <c r="M4" s="11">
        <v>-4</v>
      </c>
      <c r="N4" s="11">
        <v>-3.591362E-2</v>
      </c>
      <c r="O4" s="11">
        <f t="shared" si="3"/>
        <v>-2</v>
      </c>
      <c r="P4" s="11" t="s">
        <v>2</v>
      </c>
      <c r="Q4" s="10" t="b">
        <v>0</v>
      </c>
    </row>
    <row r="5" spans="1:17" x14ac:dyDescent="0.3">
      <c r="A5" s="11">
        <v>-3.5</v>
      </c>
      <c r="B5" s="11">
        <v>-9.5123650000000001E-4</v>
      </c>
      <c r="C5" s="11">
        <f t="shared" si="0"/>
        <v>-9.5123650000000001E-4</v>
      </c>
      <c r="D5" s="11" t="s">
        <v>2</v>
      </c>
      <c r="E5" s="11">
        <v>-3.5</v>
      </c>
      <c r="F5" s="11">
        <v>-1.161482E-2</v>
      </c>
      <c r="G5" s="11">
        <f t="shared" si="1"/>
        <v>-2</v>
      </c>
      <c r="H5" s="11" t="s">
        <v>2</v>
      </c>
      <c r="I5" s="11">
        <v>-3.5</v>
      </c>
      <c r="J5" s="11">
        <v>-5.2513650000000002E-2</v>
      </c>
      <c r="K5" s="11">
        <f t="shared" si="2"/>
        <v>-5.2513650000000002E-2</v>
      </c>
      <c r="L5" s="11" t="s">
        <v>2</v>
      </c>
      <c r="M5" s="11">
        <v>-3.5</v>
      </c>
      <c r="N5" s="11">
        <v>-3.6658620000000003E-2</v>
      </c>
      <c r="O5" s="11">
        <f t="shared" si="3"/>
        <v>-2</v>
      </c>
      <c r="P5" s="11" t="s">
        <v>2</v>
      </c>
      <c r="Q5" s="10" t="b">
        <v>0</v>
      </c>
    </row>
    <row r="6" spans="1:17" x14ac:dyDescent="0.3">
      <c r="A6" s="11">
        <v>-3</v>
      </c>
      <c r="B6" s="11">
        <v>-6.5669549999999995E-4</v>
      </c>
      <c r="C6" s="11">
        <f t="shared" si="0"/>
        <v>-6.5669549999999995E-4</v>
      </c>
      <c r="D6" s="11" t="s">
        <v>2</v>
      </c>
      <c r="E6" s="11">
        <v>-3</v>
      </c>
      <c r="F6" s="11">
        <v>-1.146352E-2</v>
      </c>
      <c r="G6" s="11">
        <f t="shared" si="1"/>
        <v>-2</v>
      </c>
      <c r="H6" s="11" t="s">
        <v>2</v>
      </c>
      <c r="I6" s="11">
        <v>-3</v>
      </c>
      <c r="J6" s="11">
        <v>-5.2496420000000002E-2</v>
      </c>
      <c r="K6" s="11">
        <f t="shared" si="2"/>
        <v>-5.2496420000000002E-2</v>
      </c>
      <c r="L6" s="11" t="s">
        <v>2</v>
      </c>
      <c r="M6" s="11">
        <v>-3</v>
      </c>
      <c r="N6" s="11">
        <v>-3.7410739999999998E-2</v>
      </c>
      <c r="O6" s="11">
        <f t="shared" si="3"/>
        <v>-2</v>
      </c>
      <c r="P6" s="11" t="s">
        <v>2</v>
      </c>
      <c r="Q6" s="10" t="b">
        <v>0</v>
      </c>
    </row>
    <row r="7" spans="1:17" x14ac:dyDescent="0.3">
      <c r="A7" s="11">
        <v>-2.5</v>
      </c>
      <c r="B7" s="11">
        <v>-4.2154950000000002E-4</v>
      </c>
      <c r="C7" s="11">
        <f t="shared" si="0"/>
        <v>-4.2154950000000002E-4</v>
      </c>
      <c r="D7" s="11" t="s">
        <v>2</v>
      </c>
      <c r="E7" s="11">
        <v>-2.5</v>
      </c>
      <c r="F7" s="11">
        <v>-1.1351180000000001E-2</v>
      </c>
      <c r="G7" s="11">
        <f t="shared" si="1"/>
        <v>-2</v>
      </c>
      <c r="H7" s="11" t="s">
        <v>2</v>
      </c>
      <c r="I7" s="11">
        <v>-2.5</v>
      </c>
      <c r="J7" s="11">
        <v>-5.2504500000000003E-2</v>
      </c>
      <c r="K7" s="11">
        <f t="shared" si="2"/>
        <v>-5.2504500000000003E-2</v>
      </c>
      <c r="L7" s="11" t="s">
        <v>2</v>
      </c>
      <c r="M7" s="11">
        <v>-2.5</v>
      </c>
      <c r="N7" s="11">
        <v>-3.8188220000000002E-2</v>
      </c>
      <c r="O7" s="11">
        <f t="shared" si="3"/>
        <v>-2</v>
      </c>
      <c r="P7" s="11" t="s">
        <v>2</v>
      </c>
    </row>
    <row r="8" spans="1:17" x14ac:dyDescent="0.3">
      <c r="A8" s="11">
        <v>-2</v>
      </c>
      <c r="B8" s="11">
        <v>-2.7924040000000002E-4</v>
      </c>
      <c r="C8" s="11">
        <f t="shared" si="0"/>
        <v>-2.7924040000000002E-4</v>
      </c>
      <c r="D8" s="11" t="s">
        <v>2</v>
      </c>
      <c r="E8" s="11">
        <v>-2</v>
      </c>
      <c r="F8" s="11">
        <v>-1.1261470000000001E-2</v>
      </c>
      <c r="G8" s="11">
        <f t="shared" si="1"/>
        <v>-2</v>
      </c>
      <c r="H8" s="11" t="s">
        <v>2</v>
      </c>
      <c r="I8" s="11">
        <v>-2</v>
      </c>
      <c r="J8" s="11">
        <v>-5.25447E-2</v>
      </c>
      <c r="K8" s="11">
        <f t="shared" si="2"/>
        <v>-5.25447E-2</v>
      </c>
      <c r="L8" s="11" t="s">
        <v>2</v>
      </c>
      <c r="M8" s="11">
        <v>-2</v>
      </c>
      <c r="N8" s="11">
        <v>-3.8921839999999999E-2</v>
      </c>
      <c r="O8" s="11">
        <f t="shared" si="3"/>
        <v>-2</v>
      </c>
      <c r="P8" s="11" t="s">
        <v>2</v>
      </c>
    </row>
    <row r="9" spans="1:17" x14ac:dyDescent="0.3">
      <c r="A9" s="11">
        <v>-1.5</v>
      </c>
      <c r="B9" s="11">
        <v>-1.3938850000000001E-4</v>
      </c>
      <c r="C9" s="11">
        <f t="shared" si="0"/>
        <v>-1.3938850000000001E-4</v>
      </c>
      <c r="D9" s="11" t="s">
        <v>2</v>
      </c>
      <c r="E9" s="11">
        <v>-1.5</v>
      </c>
      <c r="F9" s="11">
        <v>-1.120522E-2</v>
      </c>
      <c r="G9" s="11">
        <f t="shared" si="1"/>
        <v>-2</v>
      </c>
      <c r="H9" s="11" t="s">
        <v>2</v>
      </c>
      <c r="I9" s="11">
        <v>-1.5</v>
      </c>
      <c r="J9" s="11">
        <v>-5.2602780000000002E-2</v>
      </c>
      <c r="K9" s="11">
        <f t="shared" si="2"/>
        <v>-5.2602780000000002E-2</v>
      </c>
      <c r="L9" s="11" t="s">
        <v>2</v>
      </c>
      <c r="M9" s="11">
        <v>-1.5</v>
      </c>
      <c r="N9" s="11">
        <v>-3.9625639999999997E-2</v>
      </c>
      <c r="O9" s="11">
        <f t="shared" si="3"/>
        <v>-2</v>
      </c>
      <c r="P9" s="11" t="s">
        <v>2</v>
      </c>
    </row>
    <row r="10" spans="1:17" x14ac:dyDescent="0.3">
      <c r="A10" s="11">
        <v>-1</v>
      </c>
      <c r="B10" s="12">
        <v>-7.0850719999999997E-5</v>
      </c>
      <c r="C10" s="11">
        <f t="shared" si="0"/>
        <v>-7.0850719999999997E-5</v>
      </c>
      <c r="D10" s="11" t="s">
        <v>2</v>
      </c>
      <c r="E10" s="11">
        <v>-1</v>
      </c>
      <c r="F10" s="11">
        <v>-1.114132E-2</v>
      </c>
      <c r="G10" s="11">
        <f t="shared" si="1"/>
        <v>-2</v>
      </c>
      <c r="H10" s="11" t="s">
        <v>2</v>
      </c>
      <c r="I10" s="11">
        <v>-1</v>
      </c>
      <c r="J10" s="11">
        <v>-5.2660199999999997E-2</v>
      </c>
      <c r="K10" s="11">
        <f t="shared" si="2"/>
        <v>-5.2660199999999997E-2</v>
      </c>
      <c r="L10" s="11" t="s">
        <v>2</v>
      </c>
      <c r="M10" s="11">
        <v>-1</v>
      </c>
      <c r="N10" s="11">
        <v>-4.0393940000000003E-2</v>
      </c>
      <c r="O10" s="11">
        <f t="shared" si="3"/>
        <v>-2</v>
      </c>
      <c r="P10" s="11" t="s">
        <v>2</v>
      </c>
    </row>
    <row r="11" spans="1:17" x14ac:dyDescent="0.3">
      <c r="A11" s="11">
        <v>-0.5</v>
      </c>
      <c r="B11" s="12">
        <v>-2.8733290000000001E-5</v>
      </c>
      <c r="C11" s="11">
        <f t="shared" si="0"/>
        <v>-2.8733290000000001E-5</v>
      </c>
      <c r="D11" s="11" t="s">
        <v>2</v>
      </c>
      <c r="E11" s="11">
        <v>-0.5</v>
      </c>
      <c r="F11" s="11">
        <v>-1.1012360000000001E-2</v>
      </c>
      <c r="G11" s="11">
        <f t="shared" si="1"/>
        <v>-2</v>
      </c>
      <c r="H11" s="11" t="s">
        <v>2</v>
      </c>
      <c r="I11" s="11">
        <v>-0.5</v>
      </c>
      <c r="J11" s="11">
        <v>-5.2720599999999999E-2</v>
      </c>
      <c r="K11" s="11">
        <f t="shared" si="2"/>
        <v>-5.2720599999999999E-2</v>
      </c>
      <c r="L11" s="11" t="s">
        <v>2</v>
      </c>
      <c r="M11" s="11">
        <v>-0.5</v>
      </c>
      <c r="N11" s="11">
        <v>-4.1074119999999999E-2</v>
      </c>
      <c r="O11" s="11">
        <f t="shared" si="3"/>
        <v>-2</v>
      </c>
      <c r="P11" s="11" t="s">
        <v>2</v>
      </c>
    </row>
    <row r="12" spans="1:17" x14ac:dyDescent="0.3">
      <c r="A12" s="11">
        <v>0</v>
      </c>
      <c r="B12" s="12">
        <v>6.0242649999999995E-11</v>
      </c>
      <c r="C12" s="11">
        <f t="shared" si="0"/>
        <v>6.0242649999999995E-11</v>
      </c>
      <c r="D12" s="11" t="s">
        <v>2</v>
      </c>
      <c r="E12" s="11">
        <v>0</v>
      </c>
      <c r="F12" s="11">
        <v>-1.0200900000000001E-2</v>
      </c>
      <c r="G12" s="11">
        <f t="shared" si="1"/>
        <v>-2</v>
      </c>
      <c r="H12" s="11" t="s">
        <v>2</v>
      </c>
      <c r="I12" s="11">
        <v>0</v>
      </c>
      <c r="J12" s="11">
        <v>-5.2783549999999999E-2</v>
      </c>
      <c r="K12" s="11">
        <f t="shared" si="2"/>
        <v>-5.2783549999999999E-2</v>
      </c>
      <c r="L12" s="11" t="s">
        <v>2</v>
      </c>
      <c r="M12" s="11">
        <v>0</v>
      </c>
      <c r="N12" s="11">
        <v>-4.1807730000000001E-2</v>
      </c>
      <c r="O12" s="11">
        <f t="shared" si="3"/>
        <v>-2</v>
      </c>
      <c r="P12" s="11" t="s">
        <v>2</v>
      </c>
    </row>
    <row r="13" spans="1:17" x14ac:dyDescent="0.3">
      <c r="A13" s="11">
        <v>0.5</v>
      </c>
      <c r="B13" s="12">
        <v>2.8642639999999999E-5</v>
      </c>
      <c r="C13" s="11">
        <f t="shared" si="0"/>
        <v>2.8642639999999999E-5</v>
      </c>
      <c r="D13" s="11" t="s">
        <v>2</v>
      </c>
      <c r="E13" s="11">
        <v>0.5</v>
      </c>
      <c r="F13" s="11">
        <v>-9.9142299999999996E-3</v>
      </c>
      <c r="G13" s="11">
        <f t="shared" si="1"/>
        <v>-2</v>
      </c>
      <c r="H13" s="11" t="s">
        <v>2</v>
      </c>
      <c r="I13" s="11">
        <v>0.5</v>
      </c>
      <c r="J13" s="11">
        <v>-5.2804900000000002E-2</v>
      </c>
      <c r="K13" s="11">
        <f t="shared" si="2"/>
        <v>-5.2804900000000002E-2</v>
      </c>
      <c r="L13" s="11" t="s">
        <v>2</v>
      </c>
      <c r="M13" s="11">
        <v>0.5</v>
      </c>
      <c r="N13" s="11">
        <v>-4.2487869999999997E-2</v>
      </c>
      <c r="O13" s="11">
        <f t="shared" si="3"/>
        <v>-2</v>
      </c>
      <c r="P13" s="11" t="s">
        <v>2</v>
      </c>
    </row>
    <row r="14" spans="1:17" x14ac:dyDescent="0.3">
      <c r="A14" s="11">
        <v>1</v>
      </c>
      <c r="B14" s="12">
        <v>7.0489670000000002E-5</v>
      </c>
      <c r="C14" s="11">
        <f t="shared" si="0"/>
        <v>7.0489670000000002E-5</v>
      </c>
      <c r="D14" s="11" t="s">
        <v>2</v>
      </c>
      <c r="E14" s="11">
        <v>1</v>
      </c>
      <c r="F14" s="11">
        <v>-9.6952070000000008E-3</v>
      </c>
      <c r="G14" s="11">
        <f t="shared" si="1"/>
        <v>-2</v>
      </c>
      <c r="H14" s="11" t="s">
        <v>2</v>
      </c>
      <c r="I14" s="11">
        <v>1</v>
      </c>
      <c r="J14" s="11">
        <v>-5.280435E-2</v>
      </c>
      <c r="K14" s="11">
        <f t="shared" si="2"/>
        <v>-5.280435E-2</v>
      </c>
      <c r="L14" s="11" t="s">
        <v>2</v>
      </c>
      <c r="M14" s="11">
        <v>1</v>
      </c>
      <c r="N14" s="11">
        <v>-4.3188079999999997E-2</v>
      </c>
      <c r="O14" s="11">
        <f t="shared" si="3"/>
        <v>-2</v>
      </c>
      <c r="P14" s="11" t="s">
        <v>2</v>
      </c>
    </row>
    <row r="15" spans="1:17" x14ac:dyDescent="0.3">
      <c r="A15" s="11">
        <v>1.5</v>
      </c>
      <c r="B15" s="11">
        <v>1.3856130000000001E-4</v>
      </c>
      <c r="C15" s="11">
        <f t="shared" si="0"/>
        <v>1.3856130000000001E-4</v>
      </c>
      <c r="D15" s="11" t="s">
        <v>2</v>
      </c>
      <c r="E15" s="11">
        <v>1.5</v>
      </c>
      <c r="F15" s="11">
        <v>-9.4723849999999998E-3</v>
      </c>
      <c r="G15" s="11">
        <f t="shared" si="1"/>
        <v>-2</v>
      </c>
      <c r="H15" s="11" t="s">
        <v>2</v>
      </c>
      <c r="I15" s="11">
        <v>1.5</v>
      </c>
      <c r="J15" s="11">
        <v>-5.2772649999999997E-2</v>
      </c>
      <c r="K15" s="11">
        <f t="shared" si="2"/>
        <v>-5.2772649999999997E-2</v>
      </c>
      <c r="L15" s="11" t="s">
        <v>2</v>
      </c>
      <c r="M15" s="11">
        <v>1.5</v>
      </c>
      <c r="N15" s="11">
        <v>-4.388719E-2</v>
      </c>
      <c r="O15" s="11">
        <f t="shared" si="3"/>
        <v>-2</v>
      </c>
      <c r="P15" s="11" t="s">
        <v>2</v>
      </c>
    </row>
    <row r="16" spans="1:17" x14ac:dyDescent="0.3">
      <c r="A16" s="11">
        <v>2</v>
      </c>
      <c r="B16" s="11">
        <v>2.7773119999999999E-4</v>
      </c>
      <c r="C16" s="11">
        <f t="shared" si="0"/>
        <v>2.7773119999999999E-4</v>
      </c>
      <c r="D16" s="11" t="s">
        <v>2</v>
      </c>
      <c r="E16" s="11">
        <v>2</v>
      </c>
      <c r="F16" s="11">
        <v>-9.0503279999999998E-3</v>
      </c>
      <c r="G16" s="11">
        <f t="shared" si="1"/>
        <v>-2</v>
      </c>
      <c r="H16" s="11" t="s">
        <v>2</v>
      </c>
      <c r="I16" s="11">
        <v>2</v>
      </c>
      <c r="J16" s="11">
        <v>-5.2642410000000001E-2</v>
      </c>
      <c r="K16" s="11">
        <f t="shared" si="2"/>
        <v>-5.2642410000000001E-2</v>
      </c>
      <c r="L16" s="11" t="s">
        <v>2</v>
      </c>
      <c r="M16" s="11">
        <v>2</v>
      </c>
      <c r="N16" s="11">
        <v>-4.4509460000000001E-2</v>
      </c>
      <c r="O16" s="11">
        <f t="shared" si="3"/>
        <v>-2</v>
      </c>
      <c r="P16" s="11" t="s">
        <v>2</v>
      </c>
    </row>
    <row r="17" spans="1:16" x14ac:dyDescent="0.3">
      <c r="A17" s="11">
        <v>2.5</v>
      </c>
      <c r="B17" s="11">
        <v>4.1916780000000002E-4</v>
      </c>
      <c r="C17" s="11">
        <f t="shared" si="0"/>
        <v>4.1916780000000002E-4</v>
      </c>
      <c r="D17" s="11" t="s">
        <v>2</v>
      </c>
      <c r="E17" s="11">
        <v>2.5</v>
      </c>
      <c r="F17" s="11">
        <v>-8.856414E-3</v>
      </c>
      <c r="G17" s="11">
        <f t="shared" si="1"/>
        <v>-2</v>
      </c>
      <c r="H17" s="11" t="s">
        <v>2</v>
      </c>
      <c r="I17" s="11">
        <v>2.5</v>
      </c>
      <c r="J17" s="11">
        <v>-5.2319989999999997E-2</v>
      </c>
      <c r="K17" s="11">
        <f t="shared" si="2"/>
        <v>-5.2319989999999997E-2</v>
      </c>
      <c r="L17" s="11" t="s">
        <v>2</v>
      </c>
      <c r="M17" s="11">
        <v>2.5</v>
      </c>
      <c r="N17" s="11">
        <v>-4.511093E-2</v>
      </c>
      <c r="O17" s="11">
        <f t="shared" si="3"/>
        <v>-2</v>
      </c>
      <c r="P17" s="11" t="s">
        <v>2</v>
      </c>
    </row>
    <row r="18" spans="1:16" x14ac:dyDescent="0.3">
      <c r="A18" s="11">
        <v>3</v>
      </c>
      <c r="B18" s="11">
        <v>6.532075E-4</v>
      </c>
      <c r="C18" s="11">
        <f t="shared" si="0"/>
        <v>6.532075E-4</v>
      </c>
      <c r="D18" s="11" t="s">
        <v>2</v>
      </c>
      <c r="E18" s="11">
        <v>3</v>
      </c>
      <c r="F18" s="11">
        <v>-8.7323169999999999E-3</v>
      </c>
      <c r="G18" s="11">
        <f t="shared" si="1"/>
        <v>-2</v>
      </c>
      <c r="H18" s="11" t="s">
        <v>2</v>
      </c>
      <c r="I18" s="11">
        <v>3</v>
      </c>
      <c r="J18" s="11">
        <v>-5.1632270000000001E-2</v>
      </c>
      <c r="K18" s="11">
        <f t="shared" si="2"/>
        <v>-5.1632270000000001E-2</v>
      </c>
      <c r="L18" s="11" t="s">
        <v>2</v>
      </c>
      <c r="M18" s="11">
        <v>3</v>
      </c>
      <c r="N18" s="11">
        <v>-4.5618840000000001E-2</v>
      </c>
      <c r="O18" s="11">
        <f t="shared" si="3"/>
        <v>-2</v>
      </c>
      <c r="P18" s="11" t="s">
        <v>2</v>
      </c>
    </row>
    <row r="19" spans="1:16" x14ac:dyDescent="0.3">
      <c r="A19" s="11">
        <v>3.5</v>
      </c>
      <c r="B19" s="11">
        <v>9.4638260000000005E-4</v>
      </c>
      <c r="C19" s="11">
        <f t="shared" si="0"/>
        <v>9.4638260000000005E-4</v>
      </c>
      <c r="D19" s="11" t="s">
        <v>2</v>
      </c>
      <c r="E19" s="11">
        <v>3.5</v>
      </c>
      <c r="F19" s="11">
        <v>-8.5023730000000006E-3</v>
      </c>
      <c r="G19" s="11">
        <f t="shared" si="1"/>
        <v>-2</v>
      </c>
      <c r="H19" s="11" t="s">
        <v>2</v>
      </c>
      <c r="I19" s="11">
        <v>3.5</v>
      </c>
      <c r="J19" s="11">
        <v>-5.0477059999999997E-2</v>
      </c>
      <c r="K19" s="11">
        <f t="shared" si="2"/>
        <v>-5.0477059999999997E-2</v>
      </c>
      <c r="L19" s="11" t="s">
        <v>2</v>
      </c>
      <c r="M19" s="11">
        <v>3.5</v>
      </c>
      <c r="N19" s="11">
        <v>-4.6145850000000002E-2</v>
      </c>
      <c r="O19" s="11">
        <f t="shared" si="3"/>
        <v>-2</v>
      </c>
      <c r="P19" s="11" t="s">
        <v>2</v>
      </c>
    </row>
    <row r="20" spans="1:16" x14ac:dyDescent="0.3">
      <c r="A20" s="11">
        <v>4</v>
      </c>
      <c r="B20" s="11">
        <v>1.367304E-3</v>
      </c>
      <c r="C20" s="11">
        <f t="shared" si="0"/>
        <v>1.367304E-3</v>
      </c>
      <c r="D20" s="11" t="s">
        <v>2</v>
      </c>
      <c r="E20" s="11">
        <v>4</v>
      </c>
      <c r="F20" s="11">
        <v>-8.1631540000000006E-3</v>
      </c>
      <c r="G20" s="11">
        <f t="shared" si="1"/>
        <v>-2</v>
      </c>
      <c r="H20" s="11" t="s">
        <v>2</v>
      </c>
      <c r="I20" s="11">
        <v>4</v>
      </c>
      <c r="J20" s="11">
        <v>-4.9721599999999998E-2</v>
      </c>
      <c r="K20" s="11">
        <f t="shared" si="2"/>
        <v>-4.9721599999999998E-2</v>
      </c>
      <c r="L20" s="11" t="s">
        <v>2</v>
      </c>
      <c r="M20" s="11">
        <v>4</v>
      </c>
      <c r="N20" s="11">
        <v>-4.6316410000000002E-2</v>
      </c>
      <c r="O20" s="11">
        <f t="shared" si="3"/>
        <v>-2</v>
      </c>
      <c r="P20" s="11" t="s">
        <v>2</v>
      </c>
    </row>
    <row r="21" spans="1:16" x14ac:dyDescent="0.3">
      <c r="A21" s="11">
        <v>4.5</v>
      </c>
      <c r="B21" s="11">
        <v>1.742188E-3</v>
      </c>
      <c r="C21" s="11">
        <f t="shared" si="0"/>
        <v>1.742188E-3</v>
      </c>
      <c r="D21" s="11" t="s">
        <v>2</v>
      </c>
      <c r="E21" s="11">
        <v>4.5</v>
      </c>
      <c r="F21" s="11">
        <v>-7.6908330000000002E-3</v>
      </c>
      <c r="G21" s="11">
        <f t="shared" si="1"/>
        <v>-2</v>
      </c>
      <c r="H21" s="11" t="s">
        <v>2</v>
      </c>
      <c r="I21" s="11">
        <v>5</v>
      </c>
      <c r="J21" s="11">
        <v>-5.3866900000000002E-2</v>
      </c>
      <c r="K21" s="11">
        <f t="shared" si="2"/>
        <v>-5.3866900000000002E-2</v>
      </c>
      <c r="L21" s="11" t="s">
        <v>2</v>
      </c>
      <c r="M21" s="11">
        <v>4.5</v>
      </c>
      <c r="N21" s="11">
        <v>-4.623302E-2</v>
      </c>
      <c r="O21" s="11">
        <f t="shared" si="3"/>
        <v>-2</v>
      </c>
      <c r="P21" s="11" t="s">
        <v>2</v>
      </c>
    </row>
    <row r="22" spans="1:16" x14ac:dyDescent="0.3">
      <c r="A22" s="11">
        <v>5</v>
      </c>
      <c r="B22" s="11">
        <v>2.3871370000000001E-3</v>
      </c>
      <c r="C22" s="11">
        <f t="shared" si="0"/>
        <v>2.3871370000000001E-3</v>
      </c>
      <c r="D22" s="11" t="s">
        <v>2</v>
      </c>
      <c r="E22" s="11">
        <v>5</v>
      </c>
      <c r="F22" s="11">
        <v>-7.3765760000000001E-3</v>
      </c>
      <c r="G22" s="11">
        <f t="shared" si="1"/>
        <v>-2</v>
      </c>
      <c r="H22" s="11" t="s">
        <v>2</v>
      </c>
      <c r="I22" s="11">
        <v>5.5</v>
      </c>
      <c r="J22" s="11">
        <v>-5.4895810000000003E-2</v>
      </c>
      <c r="K22" s="11">
        <f t="shared" si="2"/>
        <v>-5.4895810000000003E-2</v>
      </c>
      <c r="L22" s="11" t="s">
        <v>2</v>
      </c>
      <c r="M22" s="11">
        <v>5</v>
      </c>
      <c r="N22" s="11">
        <v>-4.6081480000000001E-2</v>
      </c>
      <c r="O22" s="11">
        <f t="shared" si="3"/>
        <v>-2</v>
      </c>
      <c r="P22" s="11" t="s">
        <v>2</v>
      </c>
    </row>
    <row r="23" spans="1:16" x14ac:dyDescent="0.3">
      <c r="A23" s="11">
        <v>5.5</v>
      </c>
      <c r="B23" s="11">
        <v>3.070279E-3</v>
      </c>
      <c r="C23" s="11">
        <f t="shared" si="0"/>
        <v>3.070279E-3</v>
      </c>
      <c r="D23" s="11" t="s">
        <v>2</v>
      </c>
      <c r="E23" s="11">
        <v>5.5</v>
      </c>
      <c r="F23" s="11">
        <v>-7.573471E-3</v>
      </c>
      <c r="G23" s="11">
        <f t="shared" si="1"/>
        <v>-2</v>
      </c>
      <c r="H23" s="11" t="s">
        <v>2</v>
      </c>
      <c r="I23" s="11">
        <v>6</v>
      </c>
      <c r="J23" s="11">
        <v>-5.2977150000000001E-2</v>
      </c>
      <c r="K23" s="11">
        <f t="shared" si="2"/>
        <v>-5.2977150000000001E-2</v>
      </c>
      <c r="L23" s="11" t="s">
        <v>2</v>
      </c>
      <c r="M23" s="11">
        <v>5.5</v>
      </c>
      <c r="N23" s="11">
        <v>-4.5940160000000001E-2</v>
      </c>
      <c r="O23" s="11">
        <f t="shared" si="3"/>
        <v>-2</v>
      </c>
      <c r="P23" s="11" t="s">
        <v>2</v>
      </c>
    </row>
    <row r="24" spans="1:16" x14ac:dyDescent="0.3">
      <c r="A24" s="11">
        <v>6</v>
      </c>
      <c r="B24" s="11">
        <v>3.7603649999999999E-3</v>
      </c>
      <c r="C24" s="11">
        <f t="shared" si="0"/>
        <v>3.7603649999999999E-3</v>
      </c>
      <c r="D24" s="11" t="s">
        <v>2</v>
      </c>
      <c r="E24" s="11">
        <v>6</v>
      </c>
      <c r="F24" s="11">
        <v>-9.0714100000000002E-3</v>
      </c>
      <c r="G24" s="11">
        <f t="shared" si="1"/>
        <v>-2</v>
      </c>
      <c r="H24" s="11" t="s">
        <v>2</v>
      </c>
      <c r="I24" s="11">
        <v>6.5</v>
      </c>
      <c r="J24" s="11">
        <v>-5.157548E-2</v>
      </c>
      <c r="K24" s="11">
        <f t="shared" si="2"/>
        <v>-5.157548E-2</v>
      </c>
      <c r="L24" s="11" t="s">
        <v>2</v>
      </c>
      <c r="M24" s="11">
        <v>6</v>
      </c>
      <c r="N24" s="11">
        <v>-4.5877960000000002E-2</v>
      </c>
      <c r="O24" s="11">
        <f t="shared" si="3"/>
        <v>-2</v>
      </c>
      <c r="P24" s="11" t="s">
        <v>2</v>
      </c>
    </row>
    <row r="25" spans="1:16" x14ac:dyDescent="0.3">
      <c r="A25" s="11">
        <v>6.5</v>
      </c>
      <c r="B25" s="11">
        <v>4.2482739999999998E-3</v>
      </c>
      <c r="C25" s="11">
        <f t="shared" si="0"/>
        <v>4.2482739999999998E-3</v>
      </c>
      <c r="D25" s="11" t="s">
        <v>2</v>
      </c>
      <c r="E25" s="11">
        <v>6.5</v>
      </c>
      <c r="F25" s="11">
        <v>-1.130566E-2</v>
      </c>
      <c r="G25" s="11">
        <f t="shared" si="1"/>
        <v>-2</v>
      </c>
      <c r="H25" s="11" t="s">
        <v>2</v>
      </c>
      <c r="I25" s="11">
        <v>7</v>
      </c>
      <c r="J25" s="11">
        <v>-5.0434979999999997E-2</v>
      </c>
      <c r="K25" s="11">
        <f t="shared" si="2"/>
        <v>-5.0434979999999997E-2</v>
      </c>
      <c r="L25" s="11" t="s">
        <v>2</v>
      </c>
      <c r="M25" s="11">
        <v>6.5</v>
      </c>
      <c r="N25" s="11">
        <v>-4.5716510000000002E-2</v>
      </c>
      <c r="O25" s="11">
        <f t="shared" si="3"/>
        <v>-2</v>
      </c>
      <c r="P25" s="11" t="s">
        <v>2</v>
      </c>
    </row>
    <row r="26" spans="1:16" x14ac:dyDescent="0.3">
      <c r="A26" s="11">
        <v>7</v>
      </c>
      <c r="B26" s="11">
        <v>3.3222210000000002E-3</v>
      </c>
      <c r="C26" s="11">
        <f t="shared" si="0"/>
        <v>3.3222210000000002E-3</v>
      </c>
      <c r="D26" s="11" t="s">
        <v>2</v>
      </c>
      <c r="E26" s="11">
        <v>7</v>
      </c>
      <c r="F26" s="11">
        <v>-1.359575E-2</v>
      </c>
      <c r="G26" s="11">
        <f t="shared" si="1"/>
        <v>-2</v>
      </c>
      <c r="H26" s="11" t="s">
        <v>2</v>
      </c>
      <c r="I26" s="11">
        <v>7.5</v>
      </c>
      <c r="J26" s="11">
        <v>-4.9520840000000003E-2</v>
      </c>
      <c r="K26" s="11">
        <f t="shared" si="2"/>
        <v>-4.9520840000000003E-2</v>
      </c>
      <c r="L26" s="11" t="s">
        <v>2</v>
      </c>
      <c r="M26" s="11">
        <v>7</v>
      </c>
      <c r="N26" s="11">
        <v>-4.5669830000000002E-2</v>
      </c>
      <c r="O26" s="11">
        <f t="shared" si="3"/>
        <v>-2</v>
      </c>
      <c r="P26" s="11" t="s">
        <v>2</v>
      </c>
    </row>
    <row r="27" spans="1:16" x14ac:dyDescent="0.3">
      <c r="A27" s="11">
        <v>7.5</v>
      </c>
      <c r="B27" s="11">
        <v>2.079567E-3</v>
      </c>
      <c r="C27" s="11">
        <f t="shared" si="0"/>
        <v>2.079567E-3</v>
      </c>
      <c r="D27" s="11" t="s">
        <v>2</v>
      </c>
      <c r="E27" s="11">
        <v>7.5</v>
      </c>
      <c r="F27" s="11">
        <v>-1.5746329999999999E-2</v>
      </c>
      <c r="G27" s="11">
        <f t="shared" si="1"/>
        <v>-2</v>
      </c>
      <c r="H27" s="11" t="s">
        <v>2</v>
      </c>
      <c r="I27" s="11">
        <v>8</v>
      </c>
      <c r="J27" s="11">
        <v>-4.8686699999999999E-2</v>
      </c>
      <c r="K27" s="11">
        <f t="shared" si="2"/>
        <v>-4.8686699999999999E-2</v>
      </c>
      <c r="L27" s="11" t="s">
        <v>2</v>
      </c>
      <c r="M27" s="11">
        <v>7.5</v>
      </c>
      <c r="N27" s="11">
        <v>-4.5612729999999997E-2</v>
      </c>
      <c r="O27" s="11">
        <f t="shared" si="3"/>
        <v>-2</v>
      </c>
      <c r="P27" s="11" t="s">
        <v>2</v>
      </c>
    </row>
    <row r="28" spans="1:16" x14ac:dyDescent="0.3">
      <c r="A28" s="11">
        <v>8</v>
      </c>
      <c r="B28" s="11">
        <v>-1.388448E-4</v>
      </c>
      <c r="C28" s="11">
        <f t="shared" si="0"/>
        <v>-1.388448E-4</v>
      </c>
      <c r="D28" s="11" t="s">
        <v>2</v>
      </c>
      <c r="E28" s="11">
        <v>8</v>
      </c>
      <c r="F28" s="11">
        <v>-1.7992399999999999E-2</v>
      </c>
      <c r="G28" s="11">
        <f t="shared" si="1"/>
        <v>-2</v>
      </c>
      <c r="H28" s="11" t="s">
        <v>2</v>
      </c>
      <c r="I28" s="11">
        <v>8.5</v>
      </c>
      <c r="J28" s="11">
        <v>-4.7946839999999998E-2</v>
      </c>
      <c r="K28" s="11">
        <f t="shared" si="2"/>
        <v>-4.7946839999999998E-2</v>
      </c>
      <c r="L28" s="11" t="s">
        <v>2</v>
      </c>
      <c r="M28" s="11">
        <v>8</v>
      </c>
      <c r="N28" s="11">
        <v>-4.5519919999999998E-2</v>
      </c>
      <c r="O28" s="11">
        <f t="shared" si="3"/>
        <v>-2</v>
      </c>
      <c r="P28" s="11" t="s">
        <v>2</v>
      </c>
    </row>
    <row r="29" spans="1:16" x14ac:dyDescent="0.3">
      <c r="A29" s="11">
        <v>8.5</v>
      </c>
      <c r="B29" s="11">
        <v>-2.1360419999999999E-3</v>
      </c>
      <c r="C29" s="11">
        <f t="shared" si="0"/>
        <v>-2.1360419999999999E-3</v>
      </c>
      <c r="D29" s="11" t="s">
        <v>2</v>
      </c>
      <c r="E29" s="11">
        <v>8.5</v>
      </c>
      <c r="F29" s="11">
        <v>-1.8291990000000001E-2</v>
      </c>
      <c r="G29" s="11">
        <f t="shared" si="1"/>
        <v>-2</v>
      </c>
      <c r="H29" s="11" t="s">
        <v>2</v>
      </c>
      <c r="I29" s="11">
        <v>9</v>
      </c>
      <c r="J29" s="11">
        <v>-4.7000130000000001E-2</v>
      </c>
      <c r="K29" s="11">
        <f t="shared" si="2"/>
        <v>-4.7000130000000001E-2</v>
      </c>
      <c r="L29" s="11" t="s">
        <v>2</v>
      </c>
      <c r="M29" s="11">
        <v>8.5</v>
      </c>
      <c r="N29" s="11">
        <v>-4.4803460000000003E-2</v>
      </c>
      <c r="O29" s="11">
        <f t="shared" si="3"/>
        <v>-2</v>
      </c>
      <c r="P29" s="11" t="s">
        <v>2</v>
      </c>
    </row>
    <row r="30" spans="1:16" x14ac:dyDescent="0.3">
      <c r="A30" s="11">
        <v>9</v>
      </c>
      <c r="B30" s="11">
        <v>-3.8011569999999999E-3</v>
      </c>
      <c r="C30" s="11">
        <f t="shared" si="0"/>
        <v>-3.8011569999999999E-3</v>
      </c>
      <c r="D30" s="11" t="s">
        <v>2</v>
      </c>
      <c r="E30" s="11">
        <v>9</v>
      </c>
      <c r="F30" s="11">
        <v>-1.6402750000000001E-2</v>
      </c>
      <c r="G30" s="11">
        <f t="shared" si="1"/>
        <v>-2</v>
      </c>
      <c r="H30" s="11" t="s">
        <v>2</v>
      </c>
      <c r="I30" s="11">
        <v>9.5</v>
      </c>
      <c r="J30" s="11">
        <v>-4.6169130000000003E-2</v>
      </c>
      <c r="K30" s="11">
        <f t="shared" si="2"/>
        <v>-4.6169130000000003E-2</v>
      </c>
      <c r="L30" s="11" t="s">
        <v>2</v>
      </c>
      <c r="M30" s="11">
        <v>10</v>
      </c>
      <c r="N30" s="11">
        <v>-4.3277740000000002E-2</v>
      </c>
      <c r="O30" s="11">
        <f t="shared" si="3"/>
        <v>-2</v>
      </c>
      <c r="P30" s="11" t="s">
        <v>2</v>
      </c>
    </row>
    <row r="31" spans="1:16" x14ac:dyDescent="0.3">
      <c r="A31" s="11">
        <v>9.5</v>
      </c>
      <c r="B31" s="11">
        <v>-3.6605299999999999E-3</v>
      </c>
      <c r="C31" s="11">
        <f t="shared" si="0"/>
        <v>-3.6605299999999999E-3</v>
      </c>
      <c r="D31" s="11" t="s">
        <v>2</v>
      </c>
      <c r="E31" s="11">
        <v>9.5</v>
      </c>
      <c r="F31" s="11">
        <v>-1.4668759999999999E-2</v>
      </c>
      <c r="G31" s="11">
        <f t="shared" si="1"/>
        <v>-2</v>
      </c>
      <c r="H31" s="11" t="s">
        <v>2</v>
      </c>
      <c r="I31" s="11">
        <v>10</v>
      </c>
      <c r="J31" s="11">
        <v>-4.4920170000000002E-2</v>
      </c>
      <c r="K31" s="11">
        <f t="shared" si="2"/>
        <v>-4.4920170000000002E-2</v>
      </c>
      <c r="L31" s="11" t="s">
        <v>2</v>
      </c>
      <c r="M31" s="11">
        <v>10.5</v>
      </c>
      <c r="N31" s="11">
        <v>-4.2559260000000002E-2</v>
      </c>
      <c r="O31" s="11">
        <f t="shared" si="3"/>
        <v>-2</v>
      </c>
      <c r="P31" s="11" t="s">
        <v>2</v>
      </c>
    </row>
    <row r="32" spans="1:16" x14ac:dyDescent="0.3">
      <c r="A32" s="11">
        <v>10</v>
      </c>
      <c r="B32" s="11">
        <v>-1.3613939999999999E-3</v>
      </c>
      <c r="C32" s="11">
        <f t="shared" si="0"/>
        <v>-1.3613939999999999E-3</v>
      </c>
      <c r="D32" s="11" t="s">
        <v>2</v>
      </c>
      <c r="E32" s="11">
        <v>10</v>
      </c>
      <c r="F32" s="11">
        <v>-1.3184660000000001E-2</v>
      </c>
      <c r="G32" s="11">
        <f t="shared" si="1"/>
        <v>-2</v>
      </c>
      <c r="H32" s="11" t="s">
        <v>2</v>
      </c>
      <c r="I32" s="11">
        <v>10.5</v>
      </c>
      <c r="J32" s="11">
        <v>-4.3919989999999999E-2</v>
      </c>
      <c r="K32" s="11">
        <f t="shared" si="2"/>
        <v>-4.3919989999999999E-2</v>
      </c>
      <c r="L32" s="11" t="s">
        <v>2</v>
      </c>
      <c r="M32" s="11">
        <v>11</v>
      </c>
      <c r="N32" s="11">
        <v>-4.1519380000000002E-2</v>
      </c>
      <c r="O32" s="11">
        <f t="shared" si="3"/>
        <v>-2</v>
      </c>
      <c r="P32" s="11" t="s">
        <v>2</v>
      </c>
    </row>
    <row r="33" spans="1:16" x14ac:dyDescent="0.3">
      <c r="A33" s="11">
        <v>10.5</v>
      </c>
      <c r="B33" s="11">
        <v>7.9516540000000005E-4</v>
      </c>
      <c r="C33" s="11">
        <f t="shared" si="0"/>
        <v>7.9516540000000005E-4</v>
      </c>
      <c r="D33" s="11" t="s">
        <v>2</v>
      </c>
      <c r="E33" s="11">
        <v>10.5</v>
      </c>
      <c r="F33" s="11">
        <v>-1.181624E-2</v>
      </c>
      <c r="G33" s="11">
        <f t="shared" si="1"/>
        <v>-2</v>
      </c>
      <c r="H33" s="11" t="s">
        <v>2</v>
      </c>
      <c r="I33" s="11">
        <v>11</v>
      </c>
      <c r="J33" s="11">
        <v>-4.2664010000000002E-2</v>
      </c>
      <c r="K33" s="11">
        <f t="shared" si="2"/>
        <v>-4.2664010000000002E-2</v>
      </c>
      <c r="L33" s="11" t="s">
        <v>2</v>
      </c>
      <c r="M33" s="11">
        <v>11.5</v>
      </c>
      <c r="N33" s="11">
        <v>-3.8560530000000003E-2</v>
      </c>
      <c r="O33" s="11">
        <f t="shared" si="3"/>
        <v>-2</v>
      </c>
      <c r="P33" s="11" t="s">
        <v>2</v>
      </c>
    </row>
    <row r="34" spans="1:16" x14ac:dyDescent="0.3">
      <c r="A34" s="11">
        <v>11</v>
      </c>
      <c r="B34" s="11">
        <v>2.7569420000000001E-3</v>
      </c>
      <c r="C34" s="11">
        <f t="shared" si="0"/>
        <v>2.7569420000000001E-3</v>
      </c>
      <c r="D34" s="11" t="s">
        <v>2</v>
      </c>
      <c r="E34" s="11">
        <v>11</v>
      </c>
      <c r="F34" s="11">
        <v>-1.059802E-2</v>
      </c>
      <c r="G34" s="11">
        <f t="shared" si="1"/>
        <v>-2</v>
      </c>
      <c r="H34" s="11" t="s">
        <v>2</v>
      </c>
      <c r="I34" s="11">
        <v>11.5</v>
      </c>
      <c r="J34" s="11">
        <v>-4.0903130000000003E-2</v>
      </c>
      <c r="K34" s="11">
        <f t="shared" si="2"/>
        <v>-4.0903130000000003E-2</v>
      </c>
      <c r="L34" s="11" t="s">
        <v>2</v>
      </c>
      <c r="M34" s="11">
        <v>12</v>
      </c>
      <c r="N34" s="11">
        <v>-3.2421529999999997E-2</v>
      </c>
      <c r="O34" s="11">
        <f t="shared" si="3"/>
        <v>-2</v>
      </c>
      <c r="P34" s="11" t="s">
        <v>2</v>
      </c>
    </row>
    <row r="35" spans="1:16" x14ac:dyDescent="0.3">
      <c r="A35" s="11">
        <v>11.5</v>
      </c>
      <c r="B35" s="11">
        <v>4.4097499999999996E-3</v>
      </c>
      <c r="C35" s="11">
        <f t="shared" si="0"/>
        <v>4.4097499999999996E-3</v>
      </c>
      <c r="D35" s="11" t="s">
        <v>2</v>
      </c>
      <c r="E35" s="11">
        <v>11.5</v>
      </c>
      <c r="F35" s="11">
        <v>-9.3071620000000008E-3</v>
      </c>
      <c r="G35" s="11">
        <f t="shared" si="1"/>
        <v>-2</v>
      </c>
      <c r="H35" s="11" t="s">
        <v>2</v>
      </c>
      <c r="I35" s="11">
        <v>12</v>
      </c>
      <c r="J35" s="11">
        <v>-3.8666840000000001E-2</v>
      </c>
      <c r="K35" s="11">
        <f t="shared" si="2"/>
        <v>-3.8666840000000001E-2</v>
      </c>
      <c r="L35" s="11" t="s">
        <v>2</v>
      </c>
      <c r="M35" s="11">
        <v>12.5</v>
      </c>
      <c r="N35" s="11">
        <v>-2.6793589999999999E-2</v>
      </c>
      <c r="O35" s="11">
        <f t="shared" si="3"/>
        <v>-2</v>
      </c>
      <c r="P35" s="11" t="s">
        <v>2</v>
      </c>
    </row>
    <row r="36" spans="1:16" x14ac:dyDescent="0.3">
      <c r="A36" s="11">
        <v>12</v>
      </c>
      <c r="B36" s="11">
        <v>5.4483719999999999E-3</v>
      </c>
      <c r="C36" s="11">
        <f t="shared" si="0"/>
        <v>5.4483719999999999E-3</v>
      </c>
      <c r="D36" s="11" t="s">
        <v>2</v>
      </c>
      <c r="E36" s="11">
        <v>12</v>
      </c>
      <c r="F36" s="11">
        <v>-7.9821000000000007E-3</v>
      </c>
      <c r="G36" s="11">
        <f t="shared" si="1"/>
        <v>-2</v>
      </c>
      <c r="H36" s="11" t="s">
        <v>2</v>
      </c>
      <c r="I36" s="11">
        <v>13</v>
      </c>
      <c r="J36" s="11">
        <v>-3.4136640000000003E-2</v>
      </c>
      <c r="K36" s="11">
        <f t="shared" si="2"/>
        <v>-3.4136640000000003E-2</v>
      </c>
      <c r="L36" s="11" t="s">
        <v>2</v>
      </c>
      <c r="M36" s="11">
        <v>13</v>
      </c>
      <c r="N36" s="11">
        <v>-2.342381E-2</v>
      </c>
      <c r="O36" s="11">
        <f t="shared" si="3"/>
        <v>-2</v>
      </c>
      <c r="P36" s="11" t="s">
        <v>2</v>
      </c>
    </row>
    <row r="37" spans="1:16" x14ac:dyDescent="0.3">
      <c r="A37" s="11">
        <v>12.5</v>
      </c>
      <c r="B37" s="11">
        <v>6.4808019999999999E-3</v>
      </c>
      <c r="C37" s="11">
        <f t="shared" si="0"/>
        <v>6.4808019999999999E-3</v>
      </c>
      <c r="D37" s="11" t="s">
        <v>2</v>
      </c>
      <c r="E37" s="11">
        <v>12.5</v>
      </c>
      <c r="F37" s="11">
        <v>-6.5436770000000003E-3</v>
      </c>
      <c r="G37" s="11">
        <f t="shared" si="1"/>
        <v>-2</v>
      </c>
      <c r="H37" s="11" t="s">
        <v>2</v>
      </c>
      <c r="I37" s="11">
        <v>13.5</v>
      </c>
      <c r="J37" s="11">
        <v>-3.093624E-2</v>
      </c>
      <c r="K37" s="11">
        <f t="shared" si="2"/>
        <v>-3.093624E-2</v>
      </c>
      <c r="L37" s="11" t="s">
        <v>2</v>
      </c>
      <c r="M37" s="11">
        <v>13.5</v>
      </c>
      <c r="N37" s="11">
        <v>-2.0881070000000002E-2</v>
      </c>
      <c r="O37" s="11">
        <f t="shared" si="3"/>
        <v>-2</v>
      </c>
      <c r="P37" s="11" t="s">
        <v>2</v>
      </c>
    </row>
    <row r="38" spans="1:16" x14ac:dyDescent="0.3">
      <c r="A38" s="11">
        <v>13</v>
      </c>
      <c r="B38" s="11">
        <v>7.6041859999999998E-3</v>
      </c>
      <c r="C38" s="11">
        <f t="shared" si="0"/>
        <v>7.6041859999999998E-3</v>
      </c>
      <c r="D38" s="11" t="s">
        <v>2</v>
      </c>
      <c r="E38" s="11">
        <v>13</v>
      </c>
      <c r="F38" s="11">
        <v>-5.0522969999999999E-3</v>
      </c>
      <c r="G38" s="11">
        <f t="shared" si="1"/>
        <v>-2</v>
      </c>
      <c r="H38" s="11" t="s">
        <v>2</v>
      </c>
      <c r="I38" s="11">
        <v>14</v>
      </c>
      <c r="J38" s="11">
        <v>-2.7519620000000002E-2</v>
      </c>
      <c r="K38" s="11">
        <f t="shared" si="2"/>
        <v>-2.7519620000000002E-2</v>
      </c>
      <c r="L38" s="11" t="s">
        <v>2</v>
      </c>
      <c r="M38" s="11">
        <v>14</v>
      </c>
      <c r="N38" s="11">
        <v>-1.8762560000000001E-2</v>
      </c>
      <c r="O38" s="11">
        <f t="shared" si="3"/>
        <v>-2</v>
      </c>
      <c r="P38" s="11" t="s">
        <v>2</v>
      </c>
    </row>
    <row r="39" spans="1:16" x14ac:dyDescent="0.3">
      <c r="A39" s="11">
        <v>13.5</v>
      </c>
      <c r="B39" s="11">
        <v>8.9731350000000001E-3</v>
      </c>
      <c r="C39" s="11">
        <f t="shared" si="0"/>
        <v>8.9731350000000001E-3</v>
      </c>
      <c r="D39" s="11" t="s">
        <v>2</v>
      </c>
      <c r="E39" s="11">
        <v>13.5</v>
      </c>
      <c r="F39" s="11">
        <v>-3.36558E-3</v>
      </c>
      <c r="G39" s="11">
        <f t="shared" si="1"/>
        <v>-2</v>
      </c>
      <c r="H39" s="11" t="s">
        <v>2</v>
      </c>
      <c r="I39" s="11">
        <v>14.5</v>
      </c>
      <c r="J39" s="11">
        <v>-2.37272E-2</v>
      </c>
      <c r="K39" s="11">
        <f t="shared" si="2"/>
        <v>-2.37272E-2</v>
      </c>
      <c r="L39" s="11" t="s">
        <v>2</v>
      </c>
      <c r="M39" s="11">
        <v>14.5</v>
      </c>
      <c r="N39" s="11">
        <v>-1.7032700000000001E-2</v>
      </c>
      <c r="O39" s="11">
        <f t="shared" si="3"/>
        <v>-2</v>
      </c>
      <c r="P39" s="11" t="s">
        <v>2</v>
      </c>
    </row>
    <row r="40" spans="1:16" x14ac:dyDescent="0.3">
      <c r="A40" s="11">
        <v>14</v>
      </c>
      <c r="B40" s="11">
        <v>1.0854549999999999E-2</v>
      </c>
      <c r="C40" s="11">
        <f t="shared" si="0"/>
        <v>1.0854549999999999E-2</v>
      </c>
      <c r="D40" s="11" t="s">
        <v>2</v>
      </c>
      <c r="E40" s="11">
        <v>14</v>
      </c>
      <c r="F40" s="11">
        <v>-1.443092E-3</v>
      </c>
      <c r="G40" s="11">
        <f t="shared" si="1"/>
        <v>-2</v>
      </c>
      <c r="H40" s="11" t="s">
        <v>2</v>
      </c>
      <c r="I40" s="11">
        <v>15</v>
      </c>
      <c r="J40" s="11">
        <v>-1.984329E-2</v>
      </c>
      <c r="K40" s="11">
        <f t="shared" si="2"/>
        <v>-1.984329E-2</v>
      </c>
      <c r="L40" s="11" t="s">
        <v>2</v>
      </c>
      <c r="M40" s="11">
        <v>15</v>
      </c>
      <c r="N40" s="11">
        <v>-1.5678589999999999E-2</v>
      </c>
      <c r="O40" s="11">
        <f t="shared" si="3"/>
        <v>-2</v>
      </c>
      <c r="P40" s="11" t="s">
        <v>2</v>
      </c>
    </row>
    <row r="41" spans="1:16" x14ac:dyDescent="0.3">
      <c r="A41" s="11">
        <v>14.5</v>
      </c>
      <c r="B41" s="11">
        <v>1.342408E-2</v>
      </c>
      <c r="C41" s="11">
        <f t="shared" si="0"/>
        <v>1.342408E-2</v>
      </c>
      <c r="D41" s="11" t="s">
        <v>2</v>
      </c>
      <c r="E41" s="11">
        <v>14.5</v>
      </c>
      <c r="F41" s="11">
        <v>1.075007E-3</v>
      </c>
      <c r="G41" s="11">
        <f t="shared" si="1"/>
        <v>-2</v>
      </c>
      <c r="H41" s="11" t="s">
        <v>2</v>
      </c>
      <c r="I41" s="11">
        <v>15.5</v>
      </c>
      <c r="J41" s="11">
        <v>-1.6323379999999998E-2</v>
      </c>
      <c r="K41" s="11">
        <f t="shared" si="2"/>
        <v>-1.6323379999999998E-2</v>
      </c>
      <c r="L41" s="11" t="s">
        <v>2</v>
      </c>
      <c r="M41" s="11">
        <v>15.5</v>
      </c>
      <c r="N41" s="11">
        <v>-1.475859E-2</v>
      </c>
      <c r="O41" s="11">
        <f t="shared" si="3"/>
        <v>-2</v>
      </c>
      <c r="P41" s="11" t="s">
        <v>2</v>
      </c>
    </row>
    <row r="42" spans="1:16" x14ac:dyDescent="0.3">
      <c r="A42" s="11">
        <v>15</v>
      </c>
      <c r="B42" s="11">
        <v>1.6807989999999998E-2</v>
      </c>
      <c r="C42" s="11">
        <f t="shared" si="0"/>
        <v>1.6807989999999998E-2</v>
      </c>
      <c r="D42" s="11" t="s">
        <v>2</v>
      </c>
      <c r="E42" s="11">
        <v>15</v>
      </c>
      <c r="F42" s="11">
        <v>4.6339529999999997E-3</v>
      </c>
      <c r="G42" s="11">
        <f t="shared" si="1"/>
        <v>-2</v>
      </c>
      <c r="H42" s="11" t="s">
        <v>2</v>
      </c>
      <c r="I42" s="11">
        <v>16</v>
      </c>
      <c r="J42" s="11">
        <v>-1.3071569999999999E-2</v>
      </c>
      <c r="K42" s="11">
        <f t="shared" si="2"/>
        <v>-1.3071569999999999E-2</v>
      </c>
      <c r="L42" s="11" t="s">
        <v>2</v>
      </c>
      <c r="M42" s="11">
        <v>16</v>
      </c>
      <c r="N42" s="11">
        <v>-1.4179789999999999E-2</v>
      </c>
      <c r="O42" s="11">
        <f t="shared" si="3"/>
        <v>-2</v>
      </c>
      <c r="P42" s="11" t="s">
        <v>2</v>
      </c>
    </row>
    <row r="43" spans="1:16" x14ac:dyDescent="0.3">
      <c r="A43" s="11">
        <v>15.5</v>
      </c>
      <c r="B43" s="11">
        <v>2.1477400000000001E-2</v>
      </c>
      <c r="C43" s="11">
        <f t="shared" si="0"/>
        <v>2.1477400000000001E-2</v>
      </c>
      <c r="D43" s="11" t="s">
        <v>2</v>
      </c>
      <c r="E43" s="11">
        <v>15.5</v>
      </c>
      <c r="F43" s="11">
        <v>8.4945190000000007E-3</v>
      </c>
      <c r="G43" s="11">
        <f t="shared" si="1"/>
        <v>-2</v>
      </c>
      <c r="H43" s="11" t="s">
        <v>2</v>
      </c>
      <c r="I43" s="11">
        <v>16.5</v>
      </c>
      <c r="J43" s="11">
        <v>-1.0381639999999999E-2</v>
      </c>
      <c r="K43" s="11">
        <f t="shared" si="2"/>
        <v>-1.0381639999999999E-2</v>
      </c>
      <c r="L43" s="11" t="s">
        <v>2</v>
      </c>
      <c r="M43" s="11">
        <v>16.5</v>
      </c>
      <c r="N43" s="11">
        <v>-1.403605E-2</v>
      </c>
      <c r="O43" s="11">
        <f t="shared" si="3"/>
        <v>-2</v>
      </c>
      <c r="P43" s="11" t="s">
        <v>2</v>
      </c>
    </row>
    <row r="44" spans="1:16" x14ac:dyDescent="0.3">
      <c r="A44" s="11">
        <v>16</v>
      </c>
      <c r="B44" s="11">
        <v>2.570072E-2</v>
      </c>
      <c r="C44" s="11">
        <f t="shared" si="0"/>
        <v>2.570072E-2</v>
      </c>
      <c r="D44" s="11" t="s">
        <v>2</v>
      </c>
      <c r="E44" s="11">
        <v>16</v>
      </c>
      <c r="F44" s="11">
        <v>1.139919E-2</v>
      </c>
      <c r="G44" s="11">
        <f t="shared" si="1"/>
        <v>-2</v>
      </c>
      <c r="H44" s="11" t="s">
        <v>2</v>
      </c>
      <c r="I44" s="11">
        <v>17</v>
      </c>
      <c r="J44" s="11">
        <v>-8.2758599999999995E-3</v>
      </c>
      <c r="K44" s="11">
        <f t="shared" si="2"/>
        <v>-8.2758599999999995E-3</v>
      </c>
      <c r="L44" s="11" t="s">
        <v>2</v>
      </c>
      <c r="M44" s="11">
        <v>17</v>
      </c>
      <c r="N44" s="11">
        <v>-1.433192E-2</v>
      </c>
      <c r="O44" s="11">
        <f t="shared" si="3"/>
        <v>-2</v>
      </c>
      <c r="P44" s="11" t="s">
        <v>2</v>
      </c>
    </row>
    <row r="45" spans="1:16" x14ac:dyDescent="0.3">
      <c r="A45" s="11">
        <v>16.5</v>
      </c>
      <c r="B45" s="11">
        <v>2.9193340000000002E-2</v>
      </c>
      <c r="C45" s="11">
        <f t="shared" si="0"/>
        <v>2.9193340000000002E-2</v>
      </c>
      <c r="D45" s="11" t="s">
        <v>2</v>
      </c>
      <c r="E45" s="11">
        <v>16.5</v>
      </c>
      <c r="F45" s="11">
        <v>1.4137190000000001E-2</v>
      </c>
      <c r="G45" s="11">
        <f t="shared" si="1"/>
        <v>-2</v>
      </c>
      <c r="H45" s="11" t="s">
        <v>2</v>
      </c>
    </row>
    <row r="46" spans="1:16" x14ac:dyDescent="0.3">
      <c r="A46" s="11">
        <v>17</v>
      </c>
      <c r="B46" s="11">
        <v>3.1380480000000002E-2</v>
      </c>
      <c r="C46" s="11">
        <f t="shared" si="0"/>
        <v>3.1380480000000002E-2</v>
      </c>
      <c r="D46" s="11" t="s">
        <v>2</v>
      </c>
      <c r="E46" s="11">
        <v>17</v>
      </c>
      <c r="F46" s="11">
        <v>1.6248039999999998E-2</v>
      </c>
      <c r="G46" s="11">
        <f t="shared" si="1"/>
        <v>-2</v>
      </c>
      <c r="H46" s="11" t="s">
        <v>2</v>
      </c>
    </row>
    <row r="47" spans="1:16" x14ac:dyDescent="0.3">
      <c r="D47" s="11" t="s">
        <v>2</v>
      </c>
      <c r="H47" s="11" t="s">
        <v>2</v>
      </c>
    </row>
    <row r="48" spans="1:16" x14ac:dyDescent="0.3">
      <c r="D48" s="11" t="s">
        <v>2</v>
      </c>
      <c r="H48" s="11" t="s">
        <v>2</v>
      </c>
    </row>
    <row r="49" spans="2:14" x14ac:dyDescent="0.3">
      <c r="H49" s="11" t="s">
        <v>2</v>
      </c>
    </row>
    <row r="50" spans="2:14" x14ac:dyDescent="0.3">
      <c r="H50" s="11" t="s">
        <v>2</v>
      </c>
    </row>
    <row r="51" spans="2:14" x14ac:dyDescent="0.3">
      <c r="H51" s="11" t="s">
        <v>2</v>
      </c>
    </row>
    <row r="52" spans="2:14" x14ac:dyDescent="0.3">
      <c r="H52" s="11" t="s">
        <v>2</v>
      </c>
    </row>
    <row r="53" spans="2:14" x14ac:dyDescent="0.3">
      <c r="H53" s="11" t="s">
        <v>2</v>
      </c>
    </row>
    <row r="54" spans="2:14" x14ac:dyDescent="0.3">
      <c r="H54" s="11" t="s">
        <v>2</v>
      </c>
    </row>
    <row r="55" spans="2:14" x14ac:dyDescent="0.3">
      <c r="H55" s="11" t="s">
        <v>2</v>
      </c>
    </row>
    <row r="56" spans="2:14" x14ac:dyDescent="0.3">
      <c r="D56" s="11" t="s">
        <v>2</v>
      </c>
      <c r="H56" s="11" t="s">
        <v>2</v>
      </c>
    </row>
    <row r="57" spans="2:14" x14ac:dyDescent="0.3">
      <c r="D57" s="11" t="s">
        <v>2</v>
      </c>
      <c r="H57" s="11" t="s">
        <v>2</v>
      </c>
    </row>
    <row r="58" spans="2:14" x14ac:dyDescent="0.3">
      <c r="B58" s="11" t="s">
        <v>2</v>
      </c>
      <c r="D58" s="11" t="s">
        <v>2</v>
      </c>
      <c r="H58" s="11" t="s">
        <v>2</v>
      </c>
    </row>
    <row r="59" spans="2:14" x14ac:dyDescent="0.3">
      <c r="B59" s="11" t="s">
        <v>2</v>
      </c>
      <c r="D59" s="11" t="s">
        <v>2</v>
      </c>
      <c r="H59" s="11" t="s">
        <v>2</v>
      </c>
    </row>
    <row r="60" spans="2:14" x14ac:dyDescent="0.3">
      <c r="B60" s="11" t="s">
        <v>2</v>
      </c>
      <c r="D60" s="11" t="s">
        <v>2</v>
      </c>
      <c r="H60" s="11" t="s">
        <v>2</v>
      </c>
    </row>
    <row r="61" spans="2:14" x14ac:dyDescent="0.3">
      <c r="B61" s="11" t="s">
        <v>2</v>
      </c>
      <c r="D61" s="11" t="s">
        <v>2</v>
      </c>
      <c r="H61" s="11" t="s">
        <v>2</v>
      </c>
      <c r="I61" s="11" t="s">
        <v>2</v>
      </c>
      <c r="J61" s="11" t="s">
        <v>2</v>
      </c>
      <c r="M61" s="11" t="s">
        <v>2</v>
      </c>
      <c r="N61" s="11" t="s">
        <v>2</v>
      </c>
    </row>
    <row r="62" spans="2:14" x14ac:dyDescent="0.3">
      <c r="B62" s="11" t="s">
        <v>2</v>
      </c>
      <c r="D62" s="11" t="s">
        <v>2</v>
      </c>
      <c r="H62" s="11" t="s">
        <v>2</v>
      </c>
      <c r="I62" s="11" t="s">
        <v>2</v>
      </c>
      <c r="J62" s="11" t="s">
        <v>2</v>
      </c>
      <c r="M62" s="11" t="s">
        <v>2</v>
      </c>
      <c r="N62" s="11" t="s">
        <v>2</v>
      </c>
    </row>
  </sheetData>
  <sheetProtection algorithmName="SHA-512" hashValue="NL/BowHOqmQ1s6thk1a+unqxQdk6/g95C0gqHw5rYLR9tpyqZh6YvtVNNXKDxarAikjopAC65dTK8KUQwDwFnQ==" saltValue="BdptAwQ2lA6QGKNXbQ7BIw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97D6C-2C21-42A4-B1FA-A09F3FA10159}">
  <sheetPr codeName="Sheet5"/>
  <dimension ref="N1:P4"/>
  <sheetViews>
    <sheetView showGridLines="0" showRowColHeaders="0" zoomScale="120" zoomScaleNormal="120" workbookViewId="0">
      <selection activeCell="A21" sqref="A21"/>
    </sheetView>
  </sheetViews>
  <sheetFormatPr defaultRowHeight="14.4" x14ac:dyDescent="0.3"/>
  <cols>
    <col min="9" max="9" width="7.44140625" customWidth="1"/>
    <col min="10" max="11" width="7.33203125" customWidth="1"/>
    <col min="12" max="12" width="6.88671875" customWidth="1"/>
    <col min="13" max="13" width="6.6640625" customWidth="1"/>
    <col min="14" max="14" width="9.5546875" customWidth="1"/>
    <col min="15" max="15" width="15.77734375" customWidth="1"/>
  </cols>
  <sheetData>
    <row r="1" spans="14:16" ht="12.6" customHeight="1" x14ac:dyDescent="0.3">
      <c r="O1" s="4"/>
    </row>
    <row r="2" spans="14:16" ht="90" customHeight="1" x14ac:dyDescent="0.3">
      <c r="N2" s="5"/>
      <c r="O2" s="7"/>
    </row>
    <row r="3" spans="14:16" ht="4.95" customHeight="1" x14ac:dyDescent="0.3">
      <c r="O3" s="6"/>
    </row>
    <row r="4" spans="14:16" ht="24" customHeight="1" x14ac:dyDescent="0.3">
      <c r="N4" s="5"/>
      <c r="O4" s="7"/>
      <c r="P4" s="8"/>
    </row>
  </sheetData>
  <sheetProtection algorithmName="SHA-512" hashValue="qFB4+8+JbxxAam4vnxY8T7pRRXBhOcJWFdMhhr5Oxx+L72sijN2cFWIYcNacRWpkJscYQXcd1akXcKsGvhJCsg==" saltValue="H7Q9CEyjoP1MHjssEUkl4w==" spinCount="100000"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3" name="Check Box 11">
              <controlPr defaultSize="0" autoFill="0" autoLine="0" autoPict="0">
                <anchor moveWithCells="1">
                  <from>
                    <xdr:col>14</xdr:col>
                    <xdr:colOff>106680</xdr:colOff>
                    <xdr:row>1</xdr:row>
                    <xdr:rowOff>99060</xdr:rowOff>
                  </from>
                  <to>
                    <xdr:col>14</xdr:col>
                    <xdr:colOff>1013460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4" name="Check Box 12">
              <controlPr defaultSize="0" autoFill="0" autoLine="0" autoPict="0">
                <anchor moveWithCells="1">
                  <from>
                    <xdr:col>14</xdr:col>
                    <xdr:colOff>106680</xdr:colOff>
                    <xdr:row>1</xdr:row>
                    <xdr:rowOff>335280</xdr:rowOff>
                  </from>
                  <to>
                    <xdr:col>14</xdr:col>
                    <xdr:colOff>1051560</xdr:colOff>
                    <xdr:row>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Check Box 13">
              <controlPr defaultSize="0" autoFill="0" autoLine="0" autoPict="0">
                <anchor moveWithCells="1">
                  <from>
                    <xdr:col>14</xdr:col>
                    <xdr:colOff>106680</xdr:colOff>
                    <xdr:row>1</xdr:row>
                    <xdr:rowOff>571500</xdr:rowOff>
                  </from>
                  <to>
                    <xdr:col>15</xdr:col>
                    <xdr:colOff>22860</xdr:colOff>
                    <xdr:row>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Check Box 14">
              <controlPr defaultSize="0" autoFill="0" autoLine="0" autoPict="0">
                <anchor moveWithCells="1">
                  <from>
                    <xdr:col>14</xdr:col>
                    <xdr:colOff>106680</xdr:colOff>
                    <xdr:row>1</xdr:row>
                    <xdr:rowOff>815340</xdr:rowOff>
                  </from>
                  <to>
                    <xdr:col>14</xdr:col>
                    <xdr:colOff>990600</xdr:colOff>
                    <xdr:row>1</xdr:row>
                    <xdr:rowOff>1051560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Check Box 15">
              <controlPr defaultSize="0" autoFill="0" autoLine="0" autoPict="0" macro="[0]!cm_grid.ToggleGridlinesAndLabels">
                <anchor moveWithCells="1">
                  <from>
                    <xdr:col>14</xdr:col>
                    <xdr:colOff>106680</xdr:colOff>
                    <xdr:row>3</xdr:row>
                    <xdr:rowOff>22860</xdr:rowOff>
                  </from>
                  <to>
                    <xdr:col>14</xdr:col>
                    <xdr:colOff>960120</xdr:colOff>
                    <xdr:row>3</xdr:row>
                    <xdr:rowOff>281940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C9C64-9BFC-4B94-9128-9311A22AD51E}">
  <sheetPr codeName="Sheet6"/>
  <dimension ref="A1:R62"/>
  <sheetViews>
    <sheetView zoomScale="75" zoomScaleNormal="75" workbookViewId="0">
      <selection activeCell="U32" sqref="U32"/>
    </sheetView>
  </sheetViews>
  <sheetFormatPr defaultRowHeight="14.4" x14ac:dyDescent="0.3"/>
  <cols>
    <col min="1" max="16384" width="8.88671875" style="11"/>
  </cols>
  <sheetData>
    <row r="1" spans="1:18" x14ac:dyDescent="0.3">
      <c r="A1" s="11" t="s">
        <v>4</v>
      </c>
      <c r="B1" s="11" t="s">
        <v>1</v>
      </c>
      <c r="D1" s="11" t="s">
        <v>2</v>
      </c>
      <c r="E1" s="11" t="s">
        <v>5</v>
      </c>
      <c r="F1" s="11" t="s">
        <v>1</v>
      </c>
      <c r="H1" s="11" t="s">
        <v>2</v>
      </c>
      <c r="I1" s="11" t="s">
        <v>5</v>
      </c>
      <c r="J1" s="11" t="s">
        <v>1</v>
      </c>
      <c r="L1" s="11" t="s">
        <v>2</v>
      </c>
      <c r="M1" s="11" t="s">
        <v>5</v>
      </c>
      <c r="N1" s="11" t="s">
        <v>1</v>
      </c>
      <c r="O1" s="11" t="s">
        <v>2</v>
      </c>
      <c r="P1" s="11" t="s">
        <v>2</v>
      </c>
    </row>
    <row r="2" spans="1:18" x14ac:dyDescent="0.3">
      <c r="A2" s="11">
        <v>6.8179080000000001E-3</v>
      </c>
      <c r="B2" s="11">
        <v>-0.54974520000000004</v>
      </c>
      <c r="C2" s="11">
        <f>IF($Q$2, B2, -2)</f>
        <v>-0.54974520000000004</v>
      </c>
      <c r="D2" s="11" t="s">
        <v>2</v>
      </c>
      <c r="E2" s="11">
        <v>7.7559209999999998E-3</v>
      </c>
      <c r="F2" s="11">
        <v>-0.4214754</v>
      </c>
      <c r="G2" s="11">
        <f>IF($Q$4, F2, -2)</f>
        <v>-2</v>
      </c>
      <c r="H2" s="11" t="s">
        <v>2</v>
      </c>
      <c r="I2" s="11">
        <v>6.7657309999999997E-3</v>
      </c>
      <c r="J2" s="11">
        <v>-0.31959549999999998</v>
      </c>
      <c r="K2" s="11">
        <f>IF($Q$3, J2, -2)</f>
        <v>-0.31959549999999998</v>
      </c>
      <c r="L2" s="11" t="s">
        <v>2</v>
      </c>
      <c r="M2" s="11">
        <v>7.5002089999999999E-3</v>
      </c>
      <c r="N2" s="11">
        <v>-0.3968971</v>
      </c>
      <c r="O2" s="11">
        <f>IF($Q$5, N2, -2)</f>
        <v>-2</v>
      </c>
      <c r="P2" s="11" t="s">
        <v>2</v>
      </c>
      <c r="Q2" s="10" t="b">
        <v>1</v>
      </c>
    </row>
    <row r="3" spans="1:18" ht="18" x14ac:dyDescent="0.35">
      <c r="A3" s="11">
        <v>6.4715780000000004E-3</v>
      </c>
      <c r="B3" s="11">
        <v>-0.49655060000000001</v>
      </c>
      <c r="C3" s="11">
        <f t="shared" ref="C3:C46" si="0">IF($Q$2, B3, -2)</f>
        <v>-0.49655060000000001</v>
      </c>
      <c r="D3" s="11" t="s">
        <v>2</v>
      </c>
      <c r="E3" s="11">
        <v>7.5550540000000003E-3</v>
      </c>
      <c r="F3" s="11">
        <v>-0.3667744</v>
      </c>
      <c r="G3" s="11">
        <f t="shared" ref="G3:G47" si="1">IF($Q$4, F3, -2)</f>
        <v>-2</v>
      </c>
      <c r="H3" s="11" t="s">
        <v>2</v>
      </c>
      <c r="I3" s="11">
        <v>6.5518110000000003E-3</v>
      </c>
      <c r="J3" s="11">
        <v>-0.26360339999999999</v>
      </c>
      <c r="K3" s="11">
        <f t="shared" ref="K3:K43" si="2">IF($Q$3, J3, -2)</f>
        <v>-0.26360339999999999</v>
      </c>
      <c r="L3" s="11" t="s">
        <v>2</v>
      </c>
      <c r="M3" s="11">
        <v>6.9895460000000001E-3</v>
      </c>
      <c r="N3" s="11">
        <v>-0.34034700000000001</v>
      </c>
      <c r="O3" s="11">
        <f t="shared" ref="O3:O40" si="3">IF($Q$5, N3, -2)</f>
        <v>-2</v>
      </c>
      <c r="P3" s="11" t="s">
        <v>2</v>
      </c>
      <c r="Q3" s="10" t="b">
        <v>1</v>
      </c>
      <c r="R3" s="13"/>
    </row>
    <row r="4" spans="1:18" x14ac:dyDescent="0.3">
      <c r="A4" s="11">
        <v>6.1959490000000001E-3</v>
      </c>
      <c r="B4" s="11">
        <v>-0.44203900000000002</v>
      </c>
      <c r="C4" s="11">
        <f t="shared" si="0"/>
        <v>-0.44203900000000002</v>
      </c>
      <c r="D4" s="11" t="s">
        <v>2</v>
      </c>
      <c r="E4" s="11">
        <v>7.4679120000000002E-3</v>
      </c>
      <c r="F4" s="11">
        <v>-0.31114560000000002</v>
      </c>
      <c r="G4" s="11">
        <f t="shared" si="1"/>
        <v>-2</v>
      </c>
      <c r="H4" s="11" t="s">
        <v>2</v>
      </c>
      <c r="I4" s="11">
        <v>6.3669809999999999E-3</v>
      </c>
      <c r="J4" s="11">
        <v>-0.20746000000000001</v>
      </c>
      <c r="K4" s="11">
        <f t="shared" si="2"/>
        <v>-0.20746000000000001</v>
      </c>
      <c r="L4" s="11" t="s">
        <v>2</v>
      </c>
      <c r="M4" s="11">
        <v>6.3531250000000003E-3</v>
      </c>
      <c r="N4" s="11">
        <v>-0.28437069999999998</v>
      </c>
      <c r="O4" s="11">
        <f t="shared" si="3"/>
        <v>-2</v>
      </c>
      <c r="P4" s="11" t="s">
        <v>2</v>
      </c>
      <c r="Q4" s="10" t="b">
        <v>0</v>
      </c>
    </row>
    <row r="5" spans="1:18" x14ac:dyDescent="0.3">
      <c r="A5" s="11">
        <v>5.9039230000000002E-3</v>
      </c>
      <c r="B5" s="11">
        <v>-0.38794210000000001</v>
      </c>
      <c r="C5" s="11">
        <f t="shared" si="0"/>
        <v>-0.38794210000000001</v>
      </c>
      <c r="D5" s="11" t="s">
        <v>2</v>
      </c>
      <c r="E5" s="11">
        <v>7.3635130000000003E-3</v>
      </c>
      <c r="F5" s="11">
        <v>-0.25573679999999999</v>
      </c>
      <c r="G5" s="11">
        <f t="shared" si="1"/>
        <v>-2</v>
      </c>
      <c r="H5" s="11" t="s">
        <v>2</v>
      </c>
      <c r="I5" s="11">
        <v>6.2034619999999999E-3</v>
      </c>
      <c r="J5" s="11">
        <v>-0.15140239999999999</v>
      </c>
      <c r="K5" s="11">
        <f t="shared" si="2"/>
        <v>-0.15140239999999999</v>
      </c>
      <c r="L5" s="11" t="s">
        <v>2</v>
      </c>
      <c r="M5" s="11">
        <v>5.689309E-3</v>
      </c>
      <c r="N5" s="11">
        <v>-0.2274312</v>
      </c>
      <c r="O5" s="11">
        <f t="shared" si="3"/>
        <v>-2</v>
      </c>
      <c r="P5" s="11" t="s">
        <v>2</v>
      </c>
      <c r="Q5" s="10" t="b">
        <v>0</v>
      </c>
    </row>
    <row r="6" spans="1:18" x14ac:dyDescent="0.3">
      <c r="A6" s="11">
        <v>5.6727629999999999E-3</v>
      </c>
      <c r="B6" s="11">
        <v>-0.33323700000000001</v>
      </c>
      <c r="C6" s="11">
        <f t="shared" si="0"/>
        <v>-0.33323700000000001</v>
      </c>
      <c r="D6" s="11" t="s">
        <v>2</v>
      </c>
      <c r="E6" s="11">
        <v>7.2987989999999999E-3</v>
      </c>
      <c r="F6" s="11">
        <v>-0.19984940000000001</v>
      </c>
      <c r="G6" s="11">
        <f t="shared" si="1"/>
        <v>-2</v>
      </c>
      <c r="H6" s="11" t="s">
        <v>2</v>
      </c>
      <c r="I6" s="11">
        <v>6.0502450000000001E-3</v>
      </c>
      <c r="J6" s="11">
        <v>-9.5235710000000001E-2</v>
      </c>
      <c r="K6" s="11">
        <f t="shared" si="2"/>
        <v>-9.5235710000000001E-2</v>
      </c>
      <c r="L6" s="11" t="s">
        <v>2</v>
      </c>
      <c r="M6" s="11">
        <v>5.2111329999999997E-3</v>
      </c>
      <c r="N6" s="11">
        <v>-0.1699051</v>
      </c>
      <c r="O6" s="11">
        <f t="shared" si="3"/>
        <v>-2</v>
      </c>
      <c r="P6" s="11" t="s">
        <v>2</v>
      </c>
      <c r="Q6" s="10" t="b">
        <v>0</v>
      </c>
    </row>
    <row r="7" spans="1:18" x14ac:dyDescent="0.3">
      <c r="A7" s="11">
        <v>5.4969499999999996E-3</v>
      </c>
      <c r="B7" s="11">
        <v>-0.27825909999999998</v>
      </c>
      <c r="C7" s="11">
        <f t="shared" si="0"/>
        <v>-0.27825909999999998</v>
      </c>
      <c r="D7" s="11" t="s">
        <v>2</v>
      </c>
      <c r="E7" s="11">
        <v>7.2664649999999997E-3</v>
      </c>
      <c r="F7" s="11">
        <v>-0.14385809999999999</v>
      </c>
      <c r="G7" s="11">
        <f t="shared" si="1"/>
        <v>-2</v>
      </c>
      <c r="H7" s="11" t="s">
        <v>2</v>
      </c>
      <c r="I7" s="11">
        <v>5.9054709999999998E-3</v>
      </c>
      <c r="J7" s="11">
        <v>-3.901168E-2</v>
      </c>
      <c r="K7" s="11">
        <f t="shared" si="2"/>
        <v>-3.901168E-2</v>
      </c>
      <c r="L7" s="11" t="s">
        <v>2</v>
      </c>
      <c r="M7" s="11">
        <v>4.9230940000000003E-3</v>
      </c>
      <c r="N7" s="11">
        <v>-0.1112624</v>
      </c>
      <c r="O7" s="11">
        <f t="shared" si="3"/>
        <v>-2</v>
      </c>
      <c r="P7" s="11" t="s">
        <v>2</v>
      </c>
    </row>
    <row r="8" spans="1:18" x14ac:dyDescent="0.3">
      <c r="A8" s="11">
        <v>5.3260670000000003E-3</v>
      </c>
      <c r="B8" s="11">
        <v>-0.22289639999999999</v>
      </c>
      <c r="C8" s="11">
        <f t="shared" si="0"/>
        <v>-0.22289639999999999</v>
      </c>
      <c r="D8" s="11" t="s">
        <v>2</v>
      </c>
      <c r="E8" s="11">
        <v>7.2634070000000004E-3</v>
      </c>
      <c r="F8" s="11">
        <v>-8.7846049999999995E-2</v>
      </c>
      <c r="G8" s="11">
        <f t="shared" si="1"/>
        <v>-2</v>
      </c>
      <c r="H8" s="11" t="s">
        <v>2</v>
      </c>
      <c r="I8" s="11">
        <v>5.7858579999999996E-3</v>
      </c>
      <c r="J8" s="11">
        <v>1.7355430000000002E-2</v>
      </c>
      <c r="K8" s="11">
        <f t="shared" si="2"/>
        <v>1.7355430000000002E-2</v>
      </c>
      <c r="L8" s="11" t="s">
        <v>2</v>
      </c>
      <c r="M8" s="11">
        <v>4.8049900000000003E-3</v>
      </c>
      <c r="N8" s="11">
        <v>-5.2115660000000001E-2</v>
      </c>
      <c r="O8" s="11">
        <f t="shared" si="3"/>
        <v>-2</v>
      </c>
      <c r="P8" s="11" t="s">
        <v>2</v>
      </c>
    </row>
    <row r="9" spans="1:18" x14ac:dyDescent="0.3">
      <c r="A9" s="11">
        <v>5.2093469999999996E-3</v>
      </c>
      <c r="B9" s="11">
        <v>-0.16756960000000001</v>
      </c>
      <c r="C9" s="11">
        <f t="shared" si="0"/>
        <v>-0.16756960000000001</v>
      </c>
      <c r="D9" s="11" t="s">
        <v>2</v>
      </c>
      <c r="E9" s="11">
        <v>7.2652790000000004E-3</v>
      </c>
      <c r="F9" s="11">
        <v>-3.1709300000000003E-2</v>
      </c>
      <c r="G9" s="11">
        <f t="shared" si="1"/>
        <v>-2</v>
      </c>
      <c r="H9" s="11" t="s">
        <v>2</v>
      </c>
      <c r="I9" s="11">
        <v>5.6939010000000003E-3</v>
      </c>
      <c r="J9" s="11">
        <v>7.3790529999999993E-2</v>
      </c>
      <c r="K9" s="11">
        <f t="shared" si="2"/>
        <v>7.3790529999999993E-2</v>
      </c>
      <c r="L9" s="11" t="s">
        <v>2</v>
      </c>
      <c r="M9" s="11">
        <v>4.7432009999999998E-3</v>
      </c>
      <c r="N9" s="11">
        <v>6.8213550000000003E-3</v>
      </c>
      <c r="O9" s="11">
        <f t="shared" si="3"/>
        <v>-2</v>
      </c>
      <c r="P9" s="11" t="s">
        <v>2</v>
      </c>
    </row>
    <row r="10" spans="1:18" x14ac:dyDescent="0.3">
      <c r="A10" s="11">
        <v>5.1021959999999998E-3</v>
      </c>
      <c r="B10" s="11">
        <v>-0.1118429</v>
      </c>
      <c r="C10" s="11">
        <f t="shared" si="0"/>
        <v>-0.1118429</v>
      </c>
      <c r="D10" s="11" t="s">
        <v>2</v>
      </c>
      <c r="E10" s="11">
        <v>7.2907450000000004E-3</v>
      </c>
      <c r="F10" s="11">
        <v>2.4234249999999999E-2</v>
      </c>
      <c r="G10" s="11">
        <f t="shared" si="1"/>
        <v>-2</v>
      </c>
      <c r="H10" s="11" t="s">
        <v>2</v>
      </c>
      <c r="I10" s="11">
        <v>5.5967329999999996E-3</v>
      </c>
      <c r="J10" s="11">
        <v>0.13009860000000001</v>
      </c>
      <c r="K10" s="11">
        <f t="shared" si="2"/>
        <v>0.13009860000000001</v>
      </c>
      <c r="L10" s="11" t="s">
        <v>2</v>
      </c>
      <c r="M10" s="11">
        <v>4.6500710000000004E-3</v>
      </c>
      <c r="N10" s="11">
        <v>6.6342010000000007E-2</v>
      </c>
      <c r="O10" s="11">
        <f t="shared" si="3"/>
        <v>-2</v>
      </c>
      <c r="P10" s="11" t="s">
        <v>2</v>
      </c>
    </row>
    <row r="11" spans="1:18" x14ac:dyDescent="0.3">
      <c r="A11" s="11">
        <v>5.0523449999999998E-3</v>
      </c>
      <c r="B11" s="11">
        <v>-5.596595E-2</v>
      </c>
      <c r="C11" s="11">
        <f t="shared" si="0"/>
        <v>-5.596595E-2</v>
      </c>
      <c r="D11" s="11" t="s">
        <v>2</v>
      </c>
      <c r="E11" s="11">
        <v>7.191635E-3</v>
      </c>
      <c r="F11" s="11">
        <v>7.9537949999999996E-2</v>
      </c>
      <c r="G11" s="11">
        <f t="shared" si="1"/>
        <v>-2</v>
      </c>
      <c r="H11" s="11" t="s">
        <v>2</v>
      </c>
      <c r="I11" s="11">
        <v>5.5035329999999997E-3</v>
      </c>
      <c r="J11" s="11">
        <v>0.1863378</v>
      </c>
      <c r="K11" s="11">
        <f t="shared" si="2"/>
        <v>0.1863378</v>
      </c>
      <c r="L11" s="11" t="s">
        <v>2</v>
      </c>
      <c r="M11" s="11">
        <v>4.6864890000000003E-3</v>
      </c>
      <c r="N11" s="11">
        <v>0.12559119999999999</v>
      </c>
      <c r="O11" s="11">
        <f t="shared" si="3"/>
        <v>-2</v>
      </c>
      <c r="P11" s="11" t="s">
        <v>2</v>
      </c>
    </row>
    <row r="12" spans="1:18" x14ac:dyDescent="0.3">
      <c r="A12" s="11">
        <v>5.0689539999999996E-3</v>
      </c>
      <c r="B12" s="12">
        <v>-1.56569E-10</v>
      </c>
      <c r="C12" s="11">
        <f t="shared" si="0"/>
        <v>-1.56569E-10</v>
      </c>
      <c r="D12" s="11" t="s">
        <v>2</v>
      </c>
      <c r="E12" s="11">
        <v>6.1723999999999998E-3</v>
      </c>
      <c r="F12" s="11">
        <v>0.12876409999999999</v>
      </c>
      <c r="G12" s="11">
        <f t="shared" si="1"/>
        <v>-2</v>
      </c>
      <c r="H12" s="11" t="s">
        <v>2</v>
      </c>
      <c r="I12" s="11">
        <v>5.411885E-3</v>
      </c>
      <c r="J12" s="11">
        <v>0.24252889999999999</v>
      </c>
      <c r="K12" s="11">
        <f t="shared" si="2"/>
        <v>0.24252889999999999</v>
      </c>
      <c r="L12" s="11" t="s">
        <v>2</v>
      </c>
      <c r="M12" s="11">
        <v>4.6704679999999997E-3</v>
      </c>
      <c r="N12" s="11">
        <v>0.18489810000000001</v>
      </c>
      <c r="O12" s="11">
        <f t="shared" si="3"/>
        <v>-2</v>
      </c>
      <c r="P12" s="11" t="s">
        <v>2</v>
      </c>
    </row>
    <row r="13" spans="1:18" x14ac:dyDescent="0.3">
      <c r="A13" s="11">
        <v>5.0523410000000001E-3</v>
      </c>
      <c r="B13" s="11">
        <v>5.5966340000000003E-2</v>
      </c>
      <c r="C13" s="11">
        <f t="shared" si="0"/>
        <v>5.5966340000000003E-2</v>
      </c>
      <c r="D13" s="11" t="s">
        <v>2</v>
      </c>
      <c r="E13" s="11">
        <v>5.9246100000000003E-3</v>
      </c>
      <c r="F13" s="11">
        <v>0.1827732</v>
      </c>
      <c r="G13" s="11">
        <f t="shared" si="1"/>
        <v>-2</v>
      </c>
      <c r="H13" s="11" t="s">
        <v>2</v>
      </c>
      <c r="I13" s="11">
        <v>5.2534690000000002E-3</v>
      </c>
      <c r="J13" s="11">
        <v>0.2982783</v>
      </c>
      <c r="K13" s="11">
        <f t="shared" si="2"/>
        <v>0.2982783</v>
      </c>
      <c r="L13" s="11" t="s">
        <v>2</v>
      </c>
      <c r="M13" s="11">
        <v>4.7166370000000001E-3</v>
      </c>
      <c r="N13" s="11">
        <v>0.24418989999999999</v>
      </c>
      <c r="O13" s="11">
        <f t="shared" si="3"/>
        <v>-2</v>
      </c>
      <c r="P13" s="11" t="s">
        <v>2</v>
      </c>
    </row>
    <row r="14" spans="1:18" x14ac:dyDescent="0.3">
      <c r="A14" s="11">
        <v>5.1021840000000001E-3</v>
      </c>
      <c r="B14" s="11">
        <v>0.1118445</v>
      </c>
      <c r="C14" s="11">
        <f t="shared" si="0"/>
        <v>0.1118445</v>
      </c>
      <c r="D14" s="11" t="s">
        <v>2</v>
      </c>
      <c r="E14" s="11">
        <v>5.8159830000000003E-3</v>
      </c>
      <c r="F14" s="11">
        <v>0.2375921</v>
      </c>
      <c r="G14" s="11">
        <f t="shared" si="1"/>
        <v>-2</v>
      </c>
      <c r="H14" s="11" t="s">
        <v>2</v>
      </c>
      <c r="I14" s="11">
        <v>5.1365660000000004E-3</v>
      </c>
      <c r="J14" s="11">
        <v>0.3540586</v>
      </c>
      <c r="K14" s="11">
        <f t="shared" si="2"/>
        <v>0.3540586</v>
      </c>
      <c r="L14" s="11" t="s">
        <v>2</v>
      </c>
      <c r="M14" s="11">
        <v>4.7524960000000002E-3</v>
      </c>
      <c r="N14" s="11">
        <v>0.30321920000000002</v>
      </c>
      <c r="O14" s="11">
        <f t="shared" si="3"/>
        <v>-2</v>
      </c>
      <c r="P14" s="11" t="s">
        <v>2</v>
      </c>
    </row>
    <row r="15" spans="1:18" x14ac:dyDescent="0.3">
      <c r="A15" s="11">
        <v>5.2093319999999997E-3</v>
      </c>
      <c r="B15" s="11">
        <v>0.16757320000000001</v>
      </c>
      <c r="C15" s="11">
        <f t="shared" si="0"/>
        <v>0.16757320000000001</v>
      </c>
      <c r="D15" s="11" t="s">
        <v>2</v>
      </c>
      <c r="E15" s="11">
        <v>5.7451220000000001E-3</v>
      </c>
      <c r="F15" s="11">
        <v>0.29273860000000002</v>
      </c>
      <c r="G15" s="11">
        <f t="shared" si="1"/>
        <v>-2</v>
      </c>
      <c r="H15" s="11" t="s">
        <v>2</v>
      </c>
      <c r="I15" s="11">
        <v>5.0827049999999999E-3</v>
      </c>
      <c r="J15" s="11">
        <v>0.40986519999999999</v>
      </c>
      <c r="K15" s="11">
        <f t="shared" si="2"/>
        <v>0.40986519999999999</v>
      </c>
      <c r="L15" s="11" t="s">
        <v>2</v>
      </c>
      <c r="M15" s="11">
        <v>4.7877149999999997E-3</v>
      </c>
      <c r="N15" s="11">
        <v>0.36254720000000001</v>
      </c>
      <c r="O15" s="11">
        <f t="shared" si="3"/>
        <v>-2</v>
      </c>
      <c r="P15" s="11" t="s">
        <v>2</v>
      </c>
    </row>
    <row r="16" spans="1:18" x14ac:dyDescent="0.3">
      <c r="A16" s="11">
        <v>5.3260549999999997E-3</v>
      </c>
      <c r="B16" s="11">
        <v>0.22290289999999999</v>
      </c>
      <c r="C16" s="11">
        <f t="shared" si="0"/>
        <v>0.22290289999999999</v>
      </c>
      <c r="D16" s="11" t="s">
        <v>2</v>
      </c>
      <c r="E16" s="11">
        <v>5.6885740000000001E-3</v>
      </c>
      <c r="F16" s="11">
        <v>0.34726800000000002</v>
      </c>
      <c r="G16" s="11">
        <f t="shared" si="1"/>
        <v>-2</v>
      </c>
      <c r="H16" s="11" t="s">
        <v>2</v>
      </c>
      <c r="I16" s="11">
        <v>5.0576969999999999E-3</v>
      </c>
      <c r="J16" s="11">
        <v>0.4653043</v>
      </c>
      <c r="K16" s="11">
        <f t="shared" si="2"/>
        <v>0.4653043</v>
      </c>
      <c r="L16" s="11" t="s">
        <v>2</v>
      </c>
      <c r="M16" s="11">
        <v>4.9055030000000003E-3</v>
      </c>
      <c r="N16" s="11">
        <v>0.42117909999999997</v>
      </c>
      <c r="O16" s="11">
        <f t="shared" si="3"/>
        <v>-2</v>
      </c>
      <c r="P16" s="11" t="s">
        <v>2</v>
      </c>
    </row>
    <row r="17" spans="1:16" x14ac:dyDescent="0.3">
      <c r="A17" s="11">
        <v>5.4969509999999999E-3</v>
      </c>
      <c r="B17" s="11">
        <v>0.2782694</v>
      </c>
      <c r="C17" s="11">
        <f t="shared" si="0"/>
        <v>0.2782694</v>
      </c>
      <c r="D17" s="11" t="s">
        <v>2</v>
      </c>
      <c r="E17" s="11">
        <v>5.7576609999999999E-3</v>
      </c>
      <c r="F17" s="11">
        <v>0.40297640000000001</v>
      </c>
      <c r="G17" s="11">
        <f t="shared" si="1"/>
        <v>-2</v>
      </c>
      <c r="H17" s="11" t="s">
        <v>2</v>
      </c>
      <c r="I17" s="11">
        <v>5.050494E-3</v>
      </c>
      <c r="J17" s="11">
        <v>0.52002649999999995</v>
      </c>
      <c r="K17" s="11">
        <f t="shared" si="2"/>
        <v>0.52002649999999995</v>
      </c>
      <c r="L17" s="11" t="s">
        <v>2</v>
      </c>
      <c r="M17" s="11">
        <v>5.0318009999999998E-3</v>
      </c>
      <c r="N17" s="11">
        <v>0.47956480000000001</v>
      </c>
      <c r="O17" s="11">
        <f t="shared" si="3"/>
        <v>-2</v>
      </c>
      <c r="P17" s="11" t="s">
        <v>2</v>
      </c>
    </row>
    <row r="18" spans="1:16" x14ac:dyDescent="0.3">
      <c r="A18" s="11">
        <v>5.6728000000000004E-3</v>
      </c>
      <c r="B18" s="11">
        <v>0.33325199999999999</v>
      </c>
      <c r="C18" s="11">
        <f t="shared" si="0"/>
        <v>0.33325199999999999</v>
      </c>
      <c r="D18" s="11" t="s">
        <v>2</v>
      </c>
      <c r="E18" s="11">
        <v>5.8551970000000004E-3</v>
      </c>
      <c r="F18" s="11">
        <v>0.45900429999999998</v>
      </c>
      <c r="G18" s="11">
        <f t="shared" si="1"/>
        <v>-2</v>
      </c>
      <c r="H18" s="11" t="s">
        <v>2</v>
      </c>
      <c r="I18" s="11">
        <v>5.1094720000000003E-3</v>
      </c>
      <c r="J18" s="11">
        <v>0.57336830000000005</v>
      </c>
      <c r="K18" s="11">
        <f t="shared" si="2"/>
        <v>0.57336830000000005</v>
      </c>
      <c r="L18" s="11" t="s">
        <v>2</v>
      </c>
      <c r="M18" s="11">
        <v>5.2543609999999999E-3</v>
      </c>
      <c r="N18" s="11">
        <v>0.5373829</v>
      </c>
      <c r="O18" s="11">
        <f t="shared" si="3"/>
        <v>-2</v>
      </c>
      <c r="P18" s="11" t="s">
        <v>2</v>
      </c>
    </row>
    <row r="19" spans="1:16" x14ac:dyDescent="0.3">
      <c r="A19" s="11">
        <v>5.9039749999999997E-3</v>
      </c>
      <c r="B19" s="11">
        <v>0.387963</v>
      </c>
      <c r="C19" s="11">
        <f t="shared" si="0"/>
        <v>0.387963</v>
      </c>
      <c r="D19" s="11" t="s">
        <v>2</v>
      </c>
      <c r="E19" s="11">
        <v>5.965382E-3</v>
      </c>
      <c r="F19" s="11">
        <v>0.51457120000000001</v>
      </c>
      <c r="G19" s="11">
        <f t="shared" si="1"/>
        <v>-2</v>
      </c>
      <c r="H19" s="11" t="s">
        <v>2</v>
      </c>
      <c r="I19" s="11">
        <v>5.3286180000000002E-3</v>
      </c>
      <c r="J19" s="11">
        <v>0.6246834</v>
      </c>
      <c r="K19" s="11">
        <f t="shared" si="2"/>
        <v>0.6246834</v>
      </c>
      <c r="L19" s="11" t="s">
        <v>2</v>
      </c>
      <c r="M19" s="11">
        <v>5.4600730000000002E-3</v>
      </c>
      <c r="N19" s="11">
        <v>0.5950358</v>
      </c>
      <c r="O19" s="11">
        <f t="shared" si="3"/>
        <v>-2</v>
      </c>
      <c r="P19" s="11" t="s">
        <v>2</v>
      </c>
    </row>
    <row r="20" spans="1:16" x14ac:dyDescent="0.3">
      <c r="A20" s="11">
        <v>6.1960410000000002E-3</v>
      </c>
      <c r="B20" s="11">
        <v>0.44206659999999998</v>
      </c>
      <c r="C20" s="11">
        <f t="shared" si="0"/>
        <v>0.44206659999999998</v>
      </c>
      <c r="D20" s="11" t="s">
        <v>2</v>
      </c>
      <c r="E20" s="11">
        <v>6.1133339999999998E-3</v>
      </c>
      <c r="F20" s="11">
        <v>0.56956269999999998</v>
      </c>
      <c r="G20" s="11">
        <f t="shared" si="1"/>
        <v>-2</v>
      </c>
      <c r="H20" s="11" t="s">
        <v>2</v>
      </c>
      <c r="I20" s="11">
        <v>5.6716800000000001E-3</v>
      </c>
      <c r="J20" s="11">
        <v>0.67752520000000005</v>
      </c>
      <c r="K20" s="11">
        <f t="shared" si="2"/>
        <v>0.67752520000000005</v>
      </c>
      <c r="L20" s="11" t="s">
        <v>2</v>
      </c>
      <c r="M20" s="11">
        <v>6.0125990000000004E-3</v>
      </c>
      <c r="N20" s="11">
        <v>0.6499393</v>
      </c>
      <c r="O20" s="11">
        <f t="shared" si="3"/>
        <v>-2</v>
      </c>
      <c r="P20" s="11" t="s">
        <v>2</v>
      </c>
    </row>
    <row r="21" spans="1:16" x14ac:dyDescent="0.3">
      <c r="A21" s="11">
        <v>6.4716499999999998E-3</v>
      </c>
      <c r="B21" s="11">
        <v>0.49658560000000002</v>
      </c>
      <c r="C21" s="11">
        <f t="shared" si="0"/>
        <v>0.49658560000000002</v>
      </c>
      <c r="D21" s="11" t="s">
        <v>2</v>
      </c>
      <c r="E21" s="11">
        <v>6.2992619999999999E-3</v>
      </c>
      <c r="F21" s="11">
        <v>0.62383089999999997</v>
      </c>
      <c r="G21" s="11">
        <f t="shared" si="1"/>
        <v>-2</v>
      </c>
      <c r="H21" s="11" t="s">
        <v>2</v>
      </c>
      <c r="I21" s="11">
        <v>6.7667430000000004E-3</v>
      </c>
      <c r="J21" s="11">
        <v>0.80566519999999997</v>
      </c>
      <c r="K21" s="11">
        <f t="shared" si="2"/>
        <v>0.80566519999999997</v>
      </c>
      <c r="L21" s="11" t="s">
        <v>2</v>
      </c>
      <c r="M21" s="11">
        <v>6.8382820000000002E-3</v>
      </c>
      <c r="N21" s="11">
        <v>0.70236109999999996</v>
      </c>
      <c r="O21" s="11">
        <f t="shared" si="3"/>
        <v>-2</v>
      </c>
      <c r="P21" s="11" t="s">
        <v>2</v>
      </c>
    </row>
    <row r="22" spans="1:16" x14ac:dyDescent="0.3">
      <c r="A22" s="11">
        <v>6.8179920000000001E-3</v>
      </c>
      <c r="B22" s="11">
        <v>0.54978930000000004</v>
      </c>
      <c r="C22" s="11">
        <f t="shared" si="0"/>
        <v>0.54978930000000004</v>
      </c>
      <c r="D22" s="11" t="s">
        <v>2</v>
      </c>
      <c r="E22" s="11">
        <v>6.4658010000000002E-3</v>
      </c>
      <c r="F22" s="11">
        <v>0.67880940000000001</v>
      </c>
      <c r="G22" s="11">
        <f t="shared" si="1"/>
        <v>-2</v>
      </c>
      <c r="H22" s="11" t="s">
        <v>2</v>
      </c>
      <c r="I22" s="11">
        <v>7.3661059999999999E-3</v>
      </c>
      <c r="J22" s="11">
        <v>0.86469050000000003</v>
      </c>
      <c r="K22" s="11">
        <f t="shared" si="2"/>
        <v>0.86469050000000003</v>
      </c>
      <c r="L22" s="11" t="s">
        <v>2</v>
      </c>
      <c r="M22" s="11">
        <v>7.6723370000000004E-3</v>
      </c>
      <c r="N22" s="11">
        <v>0.75446060000000004</v>
      </c>
      <c r="O22" s="11">
        <f t="shared" si="3"/>
        <v>-2</v>
      </c>
      <c r="P22" s="11" t="s">
        <v>2</v>
      </c>
    </row>
    <row r="23" spans="1:16" x14ac:dyDescent="0.3">
      <c r="A23" s="11">
        <v>7.1360010000000003E-3</v>
      </c>
      <c r="B23" s="11">
        <v>0.60300169999999997</v>
      </c>
      <c r="C23" s="11">
        <f t="shared" si="0"/>
        <v>0.60300169999999997</v>
      </c>
      <c r="D23" s="11" t="s">
        <v>2</v>
      </c>
      <c r="E23" s="11">
        <v>6.679412E-3</v>
      </c>
      <c r="F23" s="11">
        <v>0.7356741</v>
      </c>
      <c r="G23" s="11">
        <f t="shared" si="1"/>
        <v>-2</v>
      </c>
      <c r="H23" s="11" t="s">
        <v>2</v>
      </c>
      <c r="I23" s="11">
        <v>7.9258139999999998E-3</v>
      </c>
      <c r="J23" s="11">
        <v>0.91058879999999998</v>
      </c>
      <c r="K23" s="11">
        <f t="shared" si="2"/>
        <v>0.91058879999999998</v>
      </c>
      <c r="L23" s="11" t="s">
        <v>2</v>
      </c>
      <c r="M23" s="11">
        <v>8.4318039999999993E-3</v>
      </c>
      <c r="N23" s="11">
        <v>0.80677620000000005</v>
      </c>
      <c r="O23" s="11">
        <f t="shared" si="3"/>
        <v>-2</v>
      </c>
      <c r="P23" s="11" t="s">
        <v>2</v>
      </c>
    </row>
    <row r="24" spans="1:16" x14ac:dyDescent="0.3">
      <c r="A24" s="11">
        <v>7.4837460000000003E-3</v>
      </c>
      <c r="B24" s="11">
        <v>0.65608860000000002</v>
      </c>
      <c r="C24" s="11">
        <f t="shared" si="0"/>
        <v>0.65608860000000002</v>
      </c>
      <c r="D24" s="11" t="s">
        <v>2</v>
      </c>
      <c r="E24" s="11">
        <v>6.9423610000000002E-3</v>
      </c>
      <c r="F24" s="11">
        <v>0.79784770000000005</v>
      </c>
      <c r="G24" s="11">
        <f t="shared" si="1"/>
        <v>-2</v>
      </c>
      <c r="H24" s="11" t="s">
        <v>2</v>
      </c>
      <c r="I24" s="11">
        <v>8.4142569999999996E-3</v>
      </c>
      <c r="J24" s="11">
        <v>0.95900099999999999</v>
      </c>
      <c r="K24" s="11">
        <f t="shared" si="2"/>
        <v>0.95900099999999999</v>
      </c>
      <c r="L24" s="11" t="s">
        <v>2</v>
      </c>
      <c r="M24" s="11">
        <v>9.0352599999999998E-3</v>
      </c>
      <c r="N24" s="11">
        <v>0.85992599999999997</v>
      </c>
      <c r="O24" s="11">
        <f t="shared" si="3"/>
        <v>-2</v>
      </c>
      <c r="P24" s="11" t="s">
        <v>2</v>
      </c>
    </row>
    <row r="25" spans="1:16" x14ac:dyDescent="0.3">
      <c r="A25" s="11">
        <v>7.8622499999999994E-3</v>
      </c>
      <c r="B25" s="11">
        <v>0.7098892</v>
      </c>
      <c r="C25" s="11">
        <f t="shared" si="0"/>
        <v>0.7098892</v>
      </c>
      <c r="D25" s="11" t="s">
        <v>2</v>
      </c>
      <c r="E25" s="11">
        <v>7.1918010000000003E-3</v>
      </c>
      <c r="F25" s="11">
        <v>0.86309420000000003</v>
      </c>
      <c r="G25" s="11">
        <f t="shared" si="1"/>
        <v>-2</v>
      </c>
      <c r="H25" s="11" t="s">
        <v>2</v>
      </c>
      <c r="I25" s="11">
        <v>8.9670689999999994E-3</v>
      </c>
      <c r="J25" s="11">
        <v>1.008297</v>
      </c>
      <c r="K25" s="11">
        <f t="shared" si="2"/>
        <v>1.008297</v>
      </c>
      <c r="L25" s="11" t="s">
        <v>2</v>
      </c>
      <c r="M25" s="11">
        <v>9.6689619999999997E-3</v>
      </c>
      <c r="N25" s="11">
        <v>0.9124411</v>
      </c>
      <c r="O25" s="11">
        <f t="shared" si="3"/>
        <v>-2</v>
      </c>
      <c r="P25" s="11" t="s">
        <v>2</v>
      </c>
    </row>
    <row r="26" spans="1:16" x14ac:dyDescent="0.3">
      <c r="A26" s="11">
        <v>8.3099049999999994E-3</v>
      </c>
      <c r="B26" s="11">
        <v>0.76951130000000001</v>
      </c>
      <c r="C26" s="11">
        <f t="shared" si="0"/>
        <v>0.76951130000000001</v>
      </c>
      <c r="D26" s="11" t="s">
        <v>2</v>
      </c>
      <c r="E26" s="11">
        <v>7.4654370000000001E-3</v>
      </c>
      <c r="F26" s="11">
        <v>0.92837550000000002</v>
      </c>
      <c r="G26" s="11">
        <f t="shared" si="1"/>
        <v>-2</v>
      </c>
      <c r="H26" s="11" t="s">
        <v>2</v>
      </c>
      <c r="I26" s="11">
        <v>9.49061E-3</v>
      </c>
      <c r="J26" s="11">
        <v>1.0585629999999999</v>
      </c>
      <c r="K26" s="11">
        <f t="shared" si="2"/>
        <v>1.0585629999999999</v>
      </c>
      <c r="L26" s="11" t="s">
        <v>2</v>
      </c>
      <c r="M26" s="11">
        <v>1.0145899999999999E-2</v>
      </c>
      <c r="N26" s="11">
        <v>0.96589800000000003</v>
      </c>
      <c r="O26" s="11">
        <f t="shared" si="3"/>
        <v>-2</v>
      </c>
      <c r="P26" s="11" t="s">
        <v>2</v>
      </c>
    </row>
    <row r="27" spans="1:16" x14ac:dyDescent="0.3">
      <c r="A27" s="11">
        <v>8.7294039999999996E-3</v>
      </c>
      <c r="B27" s="11">
        <v>0.83040460000000005</v>
      </c>
      <c r="C27" s="11">
        <f t="shared" si="0"/>
        <v>0.83040460000000005</v>
      </c>
      <c r="D27" s="11" t="s">
        <v>2</v>
      </c>
      <c r="E27" s="11">
        <v>7.7746819999999998E-3</v>
      </c>
      <c r="F27" s="11">
        <v>0.9927821</v>
      </c>
      <c r="G27" s="11">
        <f t="shared" si="1"/>
        <v>-2</v>
      </c>
      <c r="H27" s="11" t="s">
        <v>2</v>
      </c>
      <c r="I27" s="11">
        <v>1.000849E-2</v>
      </c>
      <c r="J27" s="11">
        <v>1.10903</v>
      </c>
      <c r="K27" s="11">
        <f t="shared" si="2"/>
        <v>1.10903</v>
      </c>
      <c r="L27" s="11" t="s">
        <v>2</v>
      </c>
      <c r="M27" s="11">
        <v>1.0583169999999999E-2</v>
      </c>
      <c r="N27" s="11">
        <v>1.0194289999999999</v>
      </c>
      <c r="O27" s="11">
        <f t="shared" si="3"/>
        <v>-2</v>
      </c>
      <c r="P27" s="11" t="s">
        <v>2</v>
      </c>
    </row>
    <row r="28" spans="1:16" x14ac:dyDescent="0.3">
      <c r="A28" s="11">
        <v>9.2014769999999996E-3</v>
      </c>
      <c r="B28" s="11">
        <v>0.89541009999999999</v>
      </c>
      <c r="C28" s="11">
        <f t="shared" si="0"/>
        <v>0.89541009999999999</v>
      </c>
      <c r="D28" s="11" t="s">
        <v>2</v>
      </c>
      <c r="E28" s="11">
        <v>8.1212630000000001E-3</v>
      </c>
      <c r="F28" s="11">
        <v>1.05731</v>
      </c>
      <c r="G28" s="11">
        <f t="shared" si="1"/>
        <v>-2</v>
      </c>
      <c r="H28" s="11" t="s">
        <v>2</v>
      </c>
      <c r="I28" s="11">
        <v>1.048251E-2</v>
      </c>
      <c r="J28" s="11">
        <v>1.159883</v>
      </c>
      <c r="K28" s="11">
        <f t="shared" si="2"/>
        <v>1.159883</v>
      </c>
      <c r="L28" s="11" t="s">
        <v>2</v>
      </c>
      <c r="M28" s="11">
        <v>1.1013510000000001E-2</v>
      </c>
      <c r="N28" s="11">
        <v>1.0724199999999999</v>
      </c>
      <c r="O28" s="11">
        <f t="shared" si="3"/>
        <v>-2</v>
      </c>
      <c r="P28" s="11" t="s">
        <v>2</v>
      </c>
    </row>
    <row r="29" spans="1:16" x14ac:dyDescent="0.3">
      <c r="A29" s="11">
        <v>9.6673130000000003E-3</v>
      </c>
      <c r="B29" s="11">
        <v>0.95922600000000002</v>
      </c>
      <c r="C29" s="11">
        <f t="shared" si="0"/>
        <v>0.95922600000000002</v>
      </c>
      <c r="D29" s="11" t="s">
        <v>2</v>
      </c>
      <c r="E29" s="11">
        <v>8.4881030000000003E-3</v>
      </c>
      <c r="F29" s="11">
        <v>1.1127819999999999</v>
      </c>
      <c r="G29" s="11">
        <f t="shared" si="1"/>
        <v>-2</v>
      </c>
      <c r="H29" s="11" t="s">
        <v>2</v>
      </c>
      <c r="I29" s="11">
        <v>1.1064579999999999E-2</v>
      </c>
      <c r="J29" s="11">
        <v>1.2093259999999999</v>
      </c>
      <c r="K29" s="11">
        <f t="shared" si="2"/>
        <v>1.2093259999999999</v>
      </c>
      <c r="L29" s="11" t="s">
        <v>2</v>
      </c>
      <c r="M29" s="11">
        <v>1.176955E-2</v>
      </c>
      <c r="N29" s="11">
        <v>1.121677</v>
      </c>
      <c r="O29" s="11">
        <f t="shared" si="3"/>
        <v>-2</v>
      </c>
      <c r="P29" s="11" t="s">
        <v>2</v>
      </c>
    </row>
    <row r="30" spans="1:16" x14ac:dyDescent="0.3">
      <c r="A30" s="11">
        <v>1.031749E-2</v>
      </c>
      <c r="B30" s="11">
        <v>1.0212220000000001</v>
      </c>
      <c r="C30" s="11">
        <f t="shared" si="0"/>
        <v>1.0212220000000001</v>
      </c>
      <c r="D30" s="11" t="s">
        <v>2</v>
      </c>
      <c r="E30" s="11">
        <v>8.8744340000000005E-3</v>
      </c>
      <c r="F30" s="11">
        <v>1.1581539999999999</v>
      </c>
      <c r="G30" s="11">
        <f t="shared" si="1"/>
        <v>-2</v>
      </c>
      <c r="H30" s="11" t="s">
        <v>2</v>
      </c>
      <c r="I30" s="11">
        <v>1.1572280000000001E-2</v>
      </c>
      <c r="J30" s="11">
        <v>1.2591870000000001</v>
      </c>
      <c r="K30" s="11">
        <f t="shared" si="2"/>
        <v>1.2591870000000001</v>
      </c>
      <c r="L30" s="11" t="s">
        <v>2</v>
      </c>
      <c r="M30" s="11">
        <v>1.334218E-2</v>
      </c>
      <c r="N30" s="11">
        <v>1.2715350000000001</v>
      </c>
      <c r="O30" s="11">
        <f t="shared" si="3"/>
        <v>-2</v>
      </c>
      <c r="P30" s="11" t="s">
        <v>2</v>
      </c>
    </row>
    <row r="31" spans="1:16" x14ac:dyDescent="0.3">
      <c r="A31" s="11">
        <v>1.071768E-2</v>
      </c>
      <c r="B31" s="11">
        <v>1.075062</v>
      </c>
      <c r="C31" s="11">
        <f t="shared" si="0"/>
        <v>1.075062</v>
      </c>
      <c r="D31" s="11" t="s">
        <v>2</v>
      </c>
      <c r="E31" s="11">
        <v>9.3390230000000001E-3</v>
      </c>
      <c r="F31" s="11">
        <v>1.2038740000000001</v>
      </c>
      <c r="G31" s="11">
        <f t="shared" si="1"/>
        <v>-2</v>
      </c>
      <c r="H31" s="11" t="s">
        <v>2</v>
      </c>
      <c r="I31" s="11">
        <v>1.227135E-2</v>
      </c>
      <c r="J31" s="11">
        <v>1.306419</v>
      </c>
      <c r="K31" s="11">
        <f t="shared" si="2"/>
        <v>1.306419</v>
      </c>
      <c r="L31" s="11" t="s">
        <v>2</v>
      </c>
      <c r="M31" s="11">
        <v>1.385816E-2</v>
      </c>
      <c r="N31" s="11">
        <v>1.319701</v>
      </c>
      <c r="O31" s="11">
        <f t="shared" si="3"/>
        <v>-2</v>
      </c>
      <c r="P31" s="11" t="s">
        <v>2</v>
      </c>
    </row>
    <row r="32" spans="1:16" x14ac:dyDescent="0.3">
      <c r="A32" s="11">
        <v>1.1162979999999999E-2</v>
      </c>
      <c r="B32" s="11">
        <v>1.1187780000000001</v>
      </c>
      <c r="C32" s="11">
        <f t="shared" si="0"/>
        <v>1.1187780000000001</v>
      </c>
      <c r="D32" s="11" t="s">
        <v>2</v>
      </c>
      <c r="E32" s="11">
        <v>9.8297720000000005E-3</v>
      </c>
      <c r="F32" s="11">
        <v>1.250491</v>
      </c>
      <c r="G32" s="11">
        <f t="shared" si="1"/>
        <v>-2</v>
      </c>
      <c r="H32" s="11" t="s">
        <v>2</v>
      </c>
      <c r="I32" s="11">
        <v>1.2811019999999999E-2</v>
      </c>
      <c r="J32" s="11">
        <v>1.354849</v>
      </c>
      <c r="K32" s="11">
        <f t="shared" si="2"/>
        <v>1.354849</v>
      </c>
      <c r="L32" s="11" t="s">
        <v>2</v>
      </c>
      <c r="M32" s="11">
        <v>1.444027E-2</v>
      </c>
      <c r="N32" s="11">
        <v>1.365507</v>
      </c>
      <c r="O32" s="11">
        <f t="shared" si="3"/>
        <v>-2</v>
      </c>
      <c r="P32" s="11" t="s">
        <v>2</v>
      </c>
    </row>
    <row r="33" spans="1:16" x14ac:dyDescent="0.3">
      <c r="A33" s="11">
        <v>1.176875E-2</v>
      </c>
      <c r="B33" s="11">
        <v>1.1626030000000001</v>
      </c>
      <c r="C33" s="11">
        <f t="shared" si="0"/>
        <v>1.1626030000000001</v>
      </c>
      <c r="D33" s="11" t="s">
        <v>2</v>
      </c>
      <c r="E33" s="11">
        <v>1.0481519999999999E-2</v>
      </c>
      <c r="F33" s="11">
        <v>1.2968090000000001</v>
      </c>
      <c r="G33" s="11">
        <f t="shared" si="1"/>
        <v>-2</v>
      </c>
      <c r="H33" s="11" t="s">
        <v>2</v>
      </c>
      <c r="I33" s="11">
        <v>1.344267E-2</v>
      </c>
      <c r="J33" s="11">
        <v>1.4014629999999999</v>
      </c>
      <c r="K33" s="11">
        <f t="shared" si="2"/>
        <v>1.4014629999999999</v>
      </c>
      <c r="L33" s="11" t="s">
        <v>2</v>
      </c>
      <c r="M33" s="11">
        <v>1.5671770000000002E-2</v>
      </c>
      <c r="N33" s="11">
        <v>1.398474</v>
      </c>
      <c r="O33" s="11">
        <f t="shared" si="3"/>
        <v>-2</v>
      </c>
      <c r="P33" s="11" t="s">
        <v>2</v>
      </c>
    </row>
    <row r="34" spans="1:16" x14ac:dyDescent="0.3">
      <c r="A34" s="11">
        <v>1.251289E-2</v>
      </c>
      <c r="B34" s="11">
        <v>1.2069510000000001</v>
      </c>
      <c r="C34" s="11">
        <f t="shared" si="0"/>
        <v>1.2069510000000001</v>
      </c>
      <c r="D34" s="11" t="s">
        <v>2</v>
      </c>
      <c r="E34" s="11">
        <v>1.122808E-2</v>
      </c>
      <c r="F34" s="11">
        <v>1.3431770000000001</v>
      </c>
      <c r="G34" s="11">
        <f t="shared" si="1"/>
        <v>-2</v>
      </c>
      <c r="H34" s="11" t="s">
        <v>2</v>
      </c>
      <c r="I34" s="11">
        <v>1.426234E-2</v>
      </c>
      <c r="J34" s="11">
        <v>1.444779</v>
      </c>
      <c r="K34" s="11">
        <f t="shared" si="2"/>
        <v>1.444779</v>
      </c>
      <c r="L34" s="11" t="s">
        <v>2</v>
      </c>
      <c r="M34" s="11">
        <v>1.6978650000000001E-2</v>
      </c>
      <c r="N34" s="11">
        <v>1.412785</v>
      </c>
      <c r="O34" s="11">
        <f t="shared" si="3"/>
        <v>-2</v>
      </c>
      <c r="P34" s="11" t="s">
        <v>2</v>
      </c>
    </row>
    <row r="35" spans="1:16" x14ac:dyDescent="0.3">
      <c r="A35" s="11">
        <v>1.333697E-2</v>
      </c>
      <c r="B35" s="11">
        <v>1.252173</v>
      </c>
      <c r="C35" s="11">
        <f t="shared" si="0"/>
        <v>1.252173</v>
      </c>
      <c r="D35" s="11" t="s">
        <v>2</v>
      </c>
      <c r="E35" s="11">
        <v>1.210812E-2</v>
      </c>
      <c r="F35" s="11">
        <v>1.388347</v>
      </c>
      <c r="G35" s="11">
        <f t="shared" si="1"/>
        <v>-2</v>
      </c>
      <c r="H35" s="11" t="s">
        <v>2</v>
      </c>
      <c r="I35" s="11">
        <v>1.521026E-2</v>
      </c>
      <c r="J35" s="11">
        <v>1.485209</v>
      </c>
      <c r="K35" s="11">
        <f t="shared" si="2"/>
        <v>1.485209</v>
      </c>
      <c r="L35" s="11" t="s">
        <v>2</v>
      </c>
      <c r="M35" s="11">
        <v>1.8756180000000001E-2</v>
      </c>
      <c r="N35" s="11">
        <v>1.422507</v>
      </c>
      <c r="O35" s="11">
        <f t="shared" si="3"/>
        <v>-2</v>
      </c>
      <c r="P35" s="11" t="s">
        <v>2</v>
      </c>
    </row>
    <row r="36" spans="1:16" x14ac:dyDescent="0.3">
      <c r="A36" s="11">
        <v>1.3890649999999999E-2</v>
      </c>
      <c r="B36" s="11">
        <v>1.3003279999999999</v>
      </c>
      <c r="C36" s="11">
        <f t="shared" si="0"/>
        <v>1.3003279999999999</v>
      </c>
      <c r="D36" s="11" t="s">
        <v>2</v>
      </c>
      <c r="E36" s="11">
        <v>1.303151E-2</v>
      </c>
      <c r="F36" s="11">
        <v>1.43279</v>
      </c>
      <c r="G36" s="11">
        <f t="shared" si="1"/>
        <v>-2</v>
      </c>
      <c r="H36" s="11" t="s">
        <v>2</v>
      </c>
      <c r="I36" s="11">
        <v>1.6628770000000001E-2</v>
      </c>
      <c r="J36" s="11">
        <v>1.5647610000000001</v>
      </c>
      <c r="K36" s="11">
        <f t="shared" si="2"/>
        <v>1.5647610000000001</v>
      </c>
      <c r="L36" s="11" t="s">
        <v>2</v>
      </c>
      <c r="M36" s="11">
        <v>2.0931020000000002E-2</v>
      </c>
      <c r="N36" s="11">
        <v>1.439316</v>
      </c>
      <c r="O36" s="11">
        <f t="shared" si="3"/>
        <v>-2</v>
      </c>
      <c r="P36" s="11" t="s">
        <v>2</v>
      </c>
    </row>
    <row r="37" spans="1:16" x14ac:dyDescent="0.3">
      <c r="A37" s="11">
        <v>1.44701E-2</v>
      </c>
      <c r="B37" s="11">
        <v>1.348088</v>
      </c>
      <c r="C37" s="11">
        <f t="shared" si="0"/>
        <v>1.348088</v>
      </c>
      <c r="D37" s="11" t="s">
        <v>2</v>
      </c>
      <c r="E37" s="11">
        <v>1.4009509999999999E-2</v>
      </c>
      <c r="F37" s="11">
        <v>1.475997</v>
      </c>
      <c r="G37" s="11">
        <f t="shared" si="1"/>
        <v>-2</v>
      </c>
      <c r="H37" s="11" t="s">
        <v>2</v>
      </c>
      <c r="I37" s="11">
        <v>1.7476060000000002E-2</v>
      </c>
      <c r="J37" s="11">
        <v>1.5982320000000001</v>
      </c>
      <c r="K37" s="11">
        <f t="shared" si="2"/>
        <v>1.5982320000000001</v>
      </c>
      <c r="L37" s="11" t="s">
        <v>2</v>
      </c>
      <c r="M37" s="11">
        <v>2.3233940000000002E-2</v>
      </c>
      <c r="N37" s="11">
        <v>1.4581010000000001</v>
      </c>
      <c r="O37" s="11">
        <f t="shared" si="3"/>
        <v>-2</v>
      </c>
      <c r="P37" s="11" t="s">
        <v>2</v>
      </c>
    </row>
    <row r="38" spans="1:16" x14ac:dyDescent="0.3">
      <c r="A38" s="11">
        <v>1.5104579999999999E-2</v>
      </c>
      <c r="B38" s="11">
        <v>1.3948640000000001</v>
      </c>
      <c r="C38" s="11">
        <f t="shared" si="0"/>
        <v>1.3948640000000001</v>
      </c>
      <c r="D38" s="11" t="s">
        <v>2</v>
      </c>
      <c r="E38" s="11">
        <v>1.497296E-2</v>
      </c>
      <c r="F38" s="11">
        <v>1.5184329999999999</v>
      </c>
      <c r="G38" s="11">
        <f t="shared" si="1"/>
        <v>-2</v>
      </c>
      <c r="H38" s="11" t="s">
        <v>2</v>
      </c>
      <c r="I38" s="11">
        <v>1.857056E-2</v>
      </c>
      <c r="J38" s="11">
        <v>1.6281920000000001</v>
      </c>
      <c r="K38" s="11">
        <f t="shared" si="2"/>
        <v>1.6281920000000001</v>
      </c>
      <c r="L38" s="11" t="s">
        <v>2</v>
      </c>
      <c r="M38" s="11">
        <v>2.5821259999999999E-2</v>
      </c>
      <c r="N38" s="11">
        <v>1.475878</v>
      </c>
      <c r="O38" s="11">
        <f t="shared" si="3"/>
        <v>-2</v>
      </c>
      <c r="P38" s="11" t="s">
        <v>2</v>
      </c>
    </row>
    <row r="39" spans="1:16" x14ac:dyDescent="0.3">
      <c r="A39" s="11">
        <v>1.5869939999999999E-2</v>
      </c>
      <c r="B39" s="11">
        <v>1.4395500000000001</v>
      </c>
      <c r="C39" s="11">
        <f t="shared" si="0"/>
        <v>1.4395500000000001</v>
      </c>
      <c r="D39" s="11" t="s">
        <v>2</v>
      </c>
      <c r="E39" s="11">
        <v>1.5982980000000001E-2</v>
      </c>
      <c r="F39" s="11">
        <v>1.5590850000000001</v>
      </c>
      <c r="G39" s="11">
        <f t="shared" si="1"/>
        <v>-2</v>
      </c>
      <c r="H39" s="11" t="s">
        <v>2</v>
      </c>
      <c r="I39" s="11">
        <v>2.0046729999999999E-2</v>
      </c>
      <c r="J39" s="11">
        <v>1.6526989999999999</v>
      </c>
      <c r="K39" s="11">
        <f t="shared" si="2"/>
        <v>1.6526989999999999</v>
      </c>
      <c r="L39" s="11" t="s">
        <v>2</v>
      </c>
      <c r="M39" s="11">
        <v>2.8729979999999999E-2</v>
      </c>
      <c r="N39" s="11">
        <v>1.491949</v>
      </c>
      <c r="O39" s="11">
        <f t="shared" si="3"/>
        <v>-2</v>
      </c>
      <c r="P39" s="11" t="s">
        <v>2</v>
      </c>
    </row>
    <row r="40" spans="1:16" x14ac:dyDescent="0.3">
      <c r="A40" s="11">
        <v>1.6905719999999999E-2</v>
      </c>
      <c r="B40" s="11">
        <v>1.480086</v>
      </c>
      <c r="C40" s="11">
        <f t="shared" si="0"/>
        <v>1.480086</v>
      </c>
      <c r="D40" s="11" t="s">
        <v>2</v>
      </c>
      <c r="E40" s="11">
        <v>1.7030099999999999E-2</v>
      </c>
      <c r="F40" s="11">
        <v>1.5976589999999999</v>
      </c>
      <c r="G40" s="11">
        <f t="shared" si="1"/>
        <v>-2</v>
      </c>
      <c r="H40" s="11" t="s">
        <v>2</v>
      </c>
      <c r="I40" s="11">
        <v>2.191587E-2</v>
      </c>
      <c r="J40" s="11">
        <v>1.672688</v>
      </c>
      <c r="K40" s="11">
        <f t="shared" si="2"/>
        <v>1.672688</v>
      </c>
      <c r="L40" s="11" t="s">
        <v>2</v>
      </c>
      <c r="M40" s="11">
        <v>3.1968379999999998E-2</v>
      </c>
      <c r="N40" s="11">
        <v>1.5062009999999999</v>
      </c>
      <c r="O40" s="11">
        <f t="shared" si="3"/>
        <v>-2</v>
      </c>
      <c r="P40" s="11" t="s">
        <v>2</v>
      </c>
    </row>
    <row r="41" spans="1:16" x14ac:dyDescent="0.3">
      <c r="A41" s="11">
        <v>1.8237090000000001E-2</v>
      </c>
      <c r="B41" s="11">
        <v>1.5154190000000001</v>
      </c>
      <c r="C41" s="11">
        <f t="shared" si="0"/>
        <v>1.5154190000000001</v>
      </c>
      <c r="D41" s="11" t="s">
        <v>2</v>
      </c>
      <c r="E41" s="11">
        <v>1.8218749999999999E-2</v>
      </c>
      <c r="F41" s="11">
        <v>1.6316079999999999</v>
      </c>
      <c r="G41" s="11">
        <f t="shared" si="1"/>
        <v>-2</v>
      </c>
      <c r="H41" s="11" t="s">
        <v>2</v>
      </c>
      <c r="I41" s="11">
        <v>2.4156489999999999E-2</v>
      </c>
      <c r="J41" s="11">
        <v>1.69014</v>
      </c>
      <c r="K41" s="11">
        <f t="shared" si="2"/>
        <v>1.69014</v>
      </c>
      <c r="L41" s="11" t="s">
        <v>2</v>
      </c>
    </row>
    <row r="42" spans="1:16" x14ac:dyDescent="0.3">
      <c r="A42" s="11">
        <v>1.968632E-2</v>
      </c>
      <c r="B42" s="11">
        <v>1.5447409999999999</v>
      </c>
      <c r="C42" s="11">
        <f t="shared" si="0"/>
        <v>1.5447409999999999</v>
      </c>
      <c r="D42" s="11" t="s">
        <v>2</v>
      </c>
      <c r="E42" s="11">
        <v>1.9363910000000002E-2</v>
      </c>
      <c r="F42" s="11">
        <v>1.659178</v>
      </c>
      <c r="G42" s="11">
        <f t="shared" si="1"/>
        <v>-2</v>
      </c>
      <c r="H42" s="11" t="s">
        <v>2</v>
      </c>
      <c r="I42" s="11">
        <v>2.6909120000000002E-2</v>
      </c>
      <c r="J42" s="11">
        <v>1.702979</v>
      </c>
      <c r="K42" s="11">
        <f t="shared" si="2"/>
        <v>1.702979</v>
      </c>
      <c r="L42" s="11" t="s">
        <v>2</v>
      </c>
    </row>
    <row r="43" spans="1:16" x14ac:dyDescent="0.3">
      <c r="A43" s="11">
        <v>2.1360980000000002E-2</v>
      </c>
      <c r="B43" s="11">
        <v>1.563712</v>
      </c>
      <c r="C43" s="11">
        <f t="shared" si="0"/>
        <v>1.563712</v>
      </c>
      <c r="D43" s="11" t="s">
        <v>2</v>
      </c>
      <c r="E43" s="11">
        <v>2.0994160000000001E-2</v>
      </c>
      <c r="F43" s="11">
        <v>1.679899</v>
      </c>
      <c r="G43" s="11">
        <f t="shared" si="1"/>
        <v>-2</v>
      </c>
      <c r="H43" s="11" t="s">
        <v>2</v>
      </c>
      <c r="I43" s="11">
        <v>3.0413530000000001E-2</v>
      </c>
      <c r="J43" s="11">
        <v>1.7108460000000001</v>
      </c>
      <c r="K43" s="11">
        <f t="shared" si="2"/>
        <v>1.7108460000000001</v>
      </c>
      <c r="L43" s="11" t="s">
        <v>2</v>
      </c>
    </row>
    <row r="44" spans="1:16" x14ac:dyDescent="0.3">
      <c r="A44" s="11">
        <v>2.3541260000000001E-2</v>
      </c>
      <c r="B44" s="11">
        <v>1.5777810000000001</v>
      </c>
      <c r="C44" s="11">
        <f t="shared" si="0"/>
        <v>1.5777810000000001</v>
      </c>
      <c r="D44" s="11" t="s">
        <v>2</v>
      </c>
      <c r="E44" s="11">
        <v>2.2641379999999999E-2</v>
      </c>
      <c r="F44" s="11">
        <v>1.7028810000000001</v>
      </c>
      <c r="G44" s="11">
        <f t="shared" si="1"/>
        <v>-2</v>
      </c>
      <c r="H44" s="11" t="s">
        <v>2</v>
      </c>
      <c r="L44" s="11" t="s">
        <v>2</v>
      </c>
    </row>
    <row r="45" spans="1:16" x14ac:dyDescent="0.3">
      <c r="A45" s="11">
        <v>2.649058E-2</v>
      </c>
      <c r="B45" s="11">
        <v>1.585545</v>
      </c>
      <c r="C45" s="11">
        <f t="shared" si="0"/>
        <v>1.585545</v>
      </c>
      <c r="D45" s="11" t="s">
        <v>2</v>
      </c>
      <c r="E45" s="11">
        <v>2.497796E-2</v>
      </c>
      <c r="F45" s="11">
        <v>1.7188870000000001</v>
      </c>
      <c r="G45" s="11">
        <f t="shared" si="1"/>
        <v>-2</v>
      </c>
      <c r="H45" s="11" t="s">
        <v>2</v>
      </c>
      <c r="L45" s="11" t="s">
        <v>2</v>
      </c>
    </row>
    <row r="46" spans="1:16" x14ac:dyDescent="0.3">
      <c r="A46" s="11">
        <v>3.0660799999999998E-2</v>
      </c>
      <c r="B46" s="11">
        <v>1.5852459999999999</v>
      </c>
      <c r="C46" s="11">
        <f t="shared" si="0"/>
        <v>1.5852459999999999</v>
      </c>
      <c r="D46" s="11" t="s">
        <v>2</v>
      </c>
      <c r="E46" s="11">
        <v>2.8276059999999999E-2</v>
      </c>
      <c r="F46" s="11">
        <v>1.727363</v>
      </c>
      <c r="G46" s="11">
        <f t="shared" si="1"/>
        <v>-2</v>
      </c>
      <c r="H46" s="11" t="s">
        <v>2</v>
      </c>
      <c r="L46" s="11" t="s">
        <v>2</v>
      </c>
    </row>
    <row r="47" spans="1:16" x14ac:dyDescent="0.3">
      <c r="E47" s="11">
        <v>3.1960080000000002E-2</v>
      </c>
      <c r="F47" s="11">
        <v>1.736974</v>
      </c>
      <c r="G47" s="11">
        <f t="shared" si="1"/>
        <v>-2</v>
      </c>
      <c r="H47" s="11" t="s">
        <v>2</v>
      </c>
      <c r="L47" s="11" t="s">
        <v>2</v>
      </c>
    </row>
    <row r="48" spans="1:16" x14ac:dyDescent="0.3">
      <c r="H48" s="11" t="s">
        <v>2</v>
      </c>
      <c r="L48" s="11" t="s">
        <v>2</v>
      </c>
    </row>
    <row r="49" spans="2:16" x14ac:dyDescent="0.3">
      <c r="H49" s="11" t="s">
        <v>2</v>
      </c>
      <c r="L49" s="11" t="s">
        <v>2</v>
      </c>
    </row>
    <row r="50" spans="2:16" x14ac:dyDescent="0.3">
      <c r="H50" s="11" t="s">
        <v>2</v>
      </c>
      <c r="L50" s="11" t="s">
        <v>2</v>
      </c>
    </row>
    <row r="51" spans="2:16" x14ac:dyDescent="0.3">
      <c r="H51" s="11" t="s">
        <v>2</v>
      </c>
      <c r="L51" s="11" t="s">
        <v>2</v>
      </c>
    </row>
    <row r="52" spans="2:16" x14ac:dyDescent="0.3">
      <c r="H52" s="11" t="s">
        <v>2</v>
      </c>
      <c r="L52" s="11" t="s">
        <v>2</v>
      </c>
    </row>
    <row r="53" spans="2:16" x14ac:dyDescent="0.3">
      <c r="H53" s="11" t="s">
        <v>2</v>
      </c>
      <c r="L53" s="11" t="s">
        <v>2</v>
      </c>
    </row>
    <row r="54" spans="2:16" x14ac:dyDescent="0.3">
      <c r="H54" s="11" t="s">
        <v>2</v>
      </c>
      <c r="L54" s="11" t="s">
        <v>2</v>
      </c>
    </row>
    <row r="55" spans="2:16" x14ac:dyDescent="0.3">
      <c r="H55" s="11" t="s">
        <v>2</v>
      </c>
      <c r="L55" s="11" t="s">
        <v>2</v>
      </c>
    </row>
    <row r="56" spans="2:16" x14ac:dyDescent="0.3">
      <c r="H56" s="11" t="s">
        <v>2</v>
      </c>
      <c r="L56" s="11" t="s">
        <v>2</v>
      </c>
    </row>
    <row r="57" spans="2:16" x14ac:dyDescent="0.3">
      <c r="H57" s="11" t="s">
        <v>2</v>
      </c>
      <c r="L57" s="11" t="s">
        <v>2</v>
      </c>
    </row>
    <row r="58" spans="2:16" x14ac:dyDescent="0.3">
      <c r="B58" s="11" t="s">
        <v>2</v>
      </c>
      <c r="C58" s="11" t="str">
        <f t="shared" ref="C58:C62" si="4">IF($Q$2, B58, -2)</f>
        <v xml:space="preserve"> </v>
      </c>
      <c r="D58" s="11" t="s">
        <v>2</v>
      </c>
      <c r="H58" s="11" t="s">
        <v>2</v>
      </c>
      <c r="L58" s="11" t="s">
        <v>2</v>
      </c>
    </row>
    <row r="59" spans="2:16" x14ac:dyDescent="0.3">
      <c r="B59" s="11" t="s">
        <v>2</v>
      </c>
      <c r="C59" s="11" t="str">
        <f t="shared" si="4"/>
        <v xml:space="preserve"> </v>
      </c>
      <c r="D59" s="11" t="s">
        <v>2</v>
      </c>
      <c r="H59" s="11" t="s">
        <v>2</v>
      </c>
      <c r="L59" s="11" t="s">
        <v>2</v>
      </c>
    </row>
    <row r="60" spans="2:16" x14ac:dyDescent="0.3">
      <c r="B60" s="11" t="s">
        <v>2</v>
      </c>
      <c r="C60" s="11" t="str">
        <f t="shared" si="4"/>
        <v xml:space="preserve"> </v>
      </c>
      <c r="D60" s="11" t="s">
        <v>2</v>
      </c>
      <c r="H60" s="11" t="s">
        <v>2</v>
      </c>
      <c r="L60" s="11" t="s">
        <v>2</v>
      </c>
    </row>
    <row r="61" spans="2:16" x14ac:dyDescent="0.3">
      <c r="B61" s="11" t="s">
        <v>2</v>
      </c>
      <c r="C61" s="11" t="str">
        <f t="shared" si="4"/>
        <v xml:space="preserve"> </v>
      </c>
      <c r="D61" s="11" t="s">
        <v>2</v>
      </c>
      <c r="H61" s="11" t="s">
        <v>2</v>
      </c>
      <c r="I61" s="11" t="s">
        <v>2</v>
      </c>
      <c r="J61" s="11" t="s">
        <v>2</v>
      </c>
      <c r="L61" s="11" t="s">
        <v>2</v>
      </c>
      <c r="M61" s="11" t="s">
        <v>2</v>
      </c>
      <c r="N61" s="11" t="s">
        <v>2</v>
      </c>
    </row>
    <row r="62" spans="2:16" x14ac:dyDescent="0.3">
      <c r="B62" s="11" t="s">
        <v>2</v>
      </c>
      <c r="C62" s="11" t="str">
        <f t="shared" si="4"/>
        <v xml:space="preserve"> </v>
      </c>
      <c r="D62" s="11" t="s">
        <v>2</v>
      </c>
      <c r="H62" s="11" t="s">
        <v>2</v>
      </c>
      <c r="I62" s="11" t="s">
        <v>2</v>
      </c>
      <c r="J62" s="11" t="s">
        <v>2</v>
      </c>
      <c r="L62" s="11" t="s">
        <v>2</v>
      </c>
      <c r="M62" s="11" t="s">
        <v>2</v>
      </c>
      <c r="N62" s="11" t="s">
        <v>2</v>
      </c>
      <c r="O62" s="11">
        <f t="shared" ref="O62" si="5">IF($Q$5, N62, 3)</f>
        <v>3</v>
      </c>
      <c r="P62" s="11" t="s">
        <v>2</v>
      </c>
    </row>
  </sheetData>
  <sheetProtection algorithmName="SHA-512" hashValue="B0q4vcEc9HV12T/sZjwgJaefyQUymPVrb6GjVAE5EkjkOaWfkIfW2oHSUhtva3COTDRnwO9Y1MU7l0dzucNWHw==" saltValue="NSqPY4cuOM43wWNnbh3w1A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78792-AF82-4075-AC2E-90E536403F32}">
  <sheetPr codeName="Sheet7"/>
  <dimension ref="N1:O4"/>
  <sheetViews>
    <sheetView showGridLines="0" showRowColHeaders="0" zoomScale="120" zoomScaleNormal="120" workbookViewId="0">
      <selection activeCell="A19" sqref="A19"/>
    </sheetView>
  </sheetViews>
  <sheetFormatPr defaultRowHeight="14.4" x14ac:dyDescent="0.3"/>
  <cols>
    <col min="9" max="9" width="8" customWidth="1"/>
    <col min="10" max="10" width="7" customWidth="1"/>
    <col min="11" max="11" width="7.5546875" customWidth="1"/>
    <col min="12" max="12" width="5.44140625" customWidth="1"/>
    <col min="13" max="13" width="7.33203125" customWidth="1"/>
    <col min="14" max="14" width="13" customWidth="1"/>
    <col min="15" max="15" width="15.77734375" customWidth="1"/>
  </cols>
  <sheetData>
    <row r="1" spans="14:15" ht="12" customHeight="1" x14ac:dyDescent="0.3">
      <c r="O1" s="4"/>
    </row>
    <row r="2" spans="14:15" ht="90" customHeight="1" x14ac:dyDescent="0.3">
      <c r="N2" s="5"/>
      <c r="O2" s="7"/>
    </row>
    <row r="3" spans="14:15" ht="4.95" customHeight="1" x14ac:dyDescent="0.3">
      <c r="O3" s="6"/>
    </row>
    <row r="4" spans="14:15" ht="24" customHeight="1" x14ac:dyDescent="0.3">
      <c r="N4" s="5"/>
      <c r="O4" s="7"/>
    </row>
  </sheetData>
  <sheetProtection algorithmName="SHA-512" hashValue="os0VFO2vDA8jCWBpN4hEzzPnJtRjkznyQm5CQBIuA3TEKem3XbJC/0Cv3ULo6QNR2xcohHJXiljarjnFOvgNEg==" saltValue="KJpaatazcteaS6BhI31srg==" spinCount="100000"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3" name="Check Box 6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91440</xdr:rowOff>
                  </from>
                  <to>
                    <xdr:col>14</xdr:col>
                    <xdr:colOff>929640</xdr:colOff>
                    <xdr:row>1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Check Box 7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335280</xdr:rowOff>
                  </from>
                  <to>
                    <xdr:col>14</xdr:col>
                    <xdr:colOff>944880</xdr:colOff>
                    <xdr:row>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Check Box 8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579120</xdr:rowOff>
                  </from>
                  <to>
                    <xdr:col>14</xdr:col>
                    <xdr:colOff>1005840</xdr:colOff>
                    <xdr:row>1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Check Box 9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815340</xdr:rowOff>
                  </from>
                  <to>
                    <xdr:col>14</xdr:col>
                    <xdr:colOff>1005840</xdr:colOff>
                    <xdr:row>1</xdr:row>
                    <xdr:rowOff>1051560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Check Box 10">
              <controlPr defaultSize="0" autoFill="0" autoLine="0" autoPict="0" macro="[0]!dragpolar_grid.ToggleGridlinesAndLabels">
                <anchor moveWithCells="1">
                  <from>
                    <xdr:col>14</xdr:col>
                    <xdr:colOff>99060</xdr:colOff>
                    <xdr:row>3</xdr:row>
                    <xdr:rowOff>45720</xdr:rowOff>
                  </from>
                  <to>
                    <xdr:col>14</xdr:col>
                    <xdr:colOff>990600</xdr:colOff>
                    <xdr:row>3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73984-E0D5-4920-81EF-AFC055F26512}">
  <sheetPr codeName="Sheet8"/>
  <dimension ref="A1:Q76"/>
  <sheetViews>
    <sheetView zoomScale="80" zoomScaleNormal="80" workbookViewId="0">
      <selection activeCell="U33" sqref="U33"/>
    </sheetView>
  </sheetViews>
  <sheetFormatPr defaultRowHeight="14.4" x14ac:dyDescent="0.3"/>
  <cols>
    <col min="1" max="16384" width="8.88671875" style="11"/>
  </cols>
  <sheetData>
    <row r="1" spans="1:17" x14ac:dyDescent="0.3">
      <c r="A1" s="11" t="s">
        <v>6</v>
      </c>
      <c r="B1" s="11" t="s">
        <v>1</v>
      </c>
      <c r="D1" s="11" t="s">
        <v>2</v>
      </c>
      <c r="E1" s="11" t="s">
        <v>7</v>
      </c>
      <c r="F1" s="11" t="s">
        <v>1</v>
      </c>
      <c r="H1" s="11" t="s">
        <v>2</v>
      </c>
      <c r="I1" s="11" t="s">
        <v>7</v>
      </c>
      <c r="J1" s="11" t="s">
        <v>1</v>
      </c>
      <c r="L1" s="11" t="s">
        <v>2</v>
      </c>
      <c r="M1" s="11" t="s">
        <v>7</v>
      </c>
      <c r="N1" s="11" t="s">
        <v>1</v>
      </c>
      <c r="O1" s="11" t="s">
        <v>2</v>
      </c>
      <c r="P1" s="11" t="s">
        <v>2</v>
      </c>
    </row>
    <row r="2" spans="1:17" x14ac:dyDescent="0.3">
      <c r="A2" s="11">
        <v>-5</v>
      </c>
      <c r="B2" s="11">
        <v>-80.632530000000003</v>
      </c>
      <c r="C2" s="11">
        <f>IF($Q$2, B2, -200)</f>
        <v>-80.632530000000003</v>
      </c>
      <c r="D2" s="11" t="s">
        <v>2</v>
      </c>
      <c r="E2" s="11">
        <v>-5</v>
      </c>
      <c r="F2" s="11">
        <v>-54.342410000000001</v>
      </c>
      <c r="G2" s="11">
        <f>IF($Q$4, F2, -200)</f>
        <v>-200</v>
      </c>
      <c r="H2" s="11" t="s">
        <v>2</v>
      </c>
      <c r="I2" s="11">
        <v>-5</v>
      </c>
      <c r="J2" s="11">
        <v>-47.237389999999998</v>
      </c>
      <c r="K2" s="11">
        <f>IF($Q$3, J2, -200)</f>
        <v>-47.237389999999998</v>
      </c>
      <c r="L2" s="11" t="s">
        <v>2</v>
      </c>
      <c r="M2" s="11">
        <v>-5</v>
      </c>
      <c r="N2" s="11">
        <v>-52.918140000000001</v>
      </c>
      <c r="O2" s="11">
        <f>IF($Q$5, N2, -200)</f>
        <v>-200</v>
      </c>
      <c r="P2" s="11" t="s">
        <v>2</v>
      </c>
      <c r="Q2" s="10" t="b">
        <v>1</v>
      </c>
    </row>
    <row r="3" spans="1:17" x14ac:dyDescent="0.3">
      <c r="A3" s="11">
        <v>-4.5</v>
      </c>
      <c r="B3" s="11">
        <v>-76.727900000000005</v>
      </c>
      <c r="C3" s="11">
        <f t="shared" ref="C3:C58" si="0">IF($Q$2, B3, -200)</f>
        <v>-76.727900000000005</v>
      </c>
      <c r="D3" s="11" t="s">
        <v>2</v>
      </c>
      <c r="E3" s="11">
        <v>-4.5</v>
      </c>
      <c r="F3" s="11">
        <v>-48.546900000000001</v>
      </c>
      <c r="G3" s="11">
        <f t="shared" ref="G3:G58" si="1">IF($Q$4, F3, -200)</f>
        <v>-200</v>
      </c>
      <c r="H3" s="11" t="s">
        <v>2</v>
      </c>
      <c r="I3" s="11">
        <v>-4.5</v>
      </c>
      <c r="J3" s="11">
        <v>-40.233669999999996</v>
      </c>
      <c r="K3" s="11">
        <f t="shared" ref="K3:K62" si="2">IF($Q$3, J3, -200)</f>
        <v>-40.233669999999996</v>
      </c>
      <c r="L3" s="11" t="s">
        <v>2</v>
      </c>
      <c r="M3" s="11">
        <v>-4.5</v>
      </c>
      <c r="N3" s="11">
        <v>-48.693710000000003</v>
      </c>
      <c r="O3" s="11">
        <f t="shared" ref="O3:O60" si="3">IF($Q$5, N3, -200)</f>
        <v>-200</v>
      </c>
      <c r="P3" s="11" t="s">
        <v>2</v>
      </c>
      <c r="Q3" s="10" t="b">
        <v>1</v>
      </c>
    </row>
    <row r="4" spans="1:17" x14ac:dyDescent="0.3">
      <c r="A4" s="11">
        <v>-4</v>
      </c>
      <c r="B4" s="11">
        <v>-71.343220000000002</v>
      </c>
      <c r="C4" s="11">
        <f t="shared" si="0"/>
        <v>-71.343220000000002</v>
      </c>
      <c r="D4" s="11" t="s">
        <v>2</v>
      </c>
      <c r="E4" s="11">
        <v>-4</v>
      </c>
      <c r="F4" s="11">
        <v>-41.66433</v>
      </c>
      <c r="G4" s="11">
        <f t="shared" si="1"/>
        <v>-200</v>
      </c>
      <c r="H4" s="11" t="s">
        <v>2</v>
      </c>
      <c r="I4" s="11">
        <v>-4</v>
      </c>
      <c r="J4" s="11">
        <v>-32.583730000000003</v>
      </c>
      <c r="K4" s="11">
        <f t="shared" si="2"/>
        <v>-32.583730000000003</v>
      </c>
      <c r="L4" s="11" t="s">
        <v>2</v>
      </c>
      <c r="M4" s="11">
        <v>-4</v>
      </c>
      <c r="N4" s="11">
        <v>-44.760759999999998</v>
      </c>
      <c r="O4" s="11">
        <f t="shared" si="3"/>
        <v>-200</v>
      </c>
      <c r="P4" s="11" t="s">
        <v>2</v>
      </c>
      <c r="Q4" s="10" t="b">
        <v>0</v>
      </c>
    </row>
    <row r="5" spans="1:17" x14ac:dyDescent="0.3">
      <c r="A5" s="11">
        <v>-3.5</v>
      </c>
      <c r="B5" s="11">
        <v>-65.709199999999996</v>
      </c>
      <c r="C5" s="11">
        <f t="shared" si="0"/>
        <v>-65.709199999999996</v>
      </c>
      <c r="D5" s="11" t="s">
        <v>2</v>
      </c>
      <c r="E5" s="11">
        <v>-3.5</v>
      </c>
      <c r="F5" s="11">
        <v>-34.730269999999997</v>
      </c>
      <c r="G5" s="11">
        <f t="shared" si="1"/>
        <v>-200</v>
      </c>
      <c r="H5" s="11" t="s">
        <v>2</v>
      </c>
      <c r="I5" s="11">
        <v>-3.5</v>
      </c>
      <c r="J5" s="11">
        <v>-24.406110000000002</v>
      </c>
      <c r="K5" s="11">
        <f t="shared" si="2"/>
        <v>-24.406110000000002</v>
      </c>
      <c r="L5" s="11" t="s">
        <v>2</v>
      </c>
      <c r="M5" s="11">
        <v>-3.5</v>
      </c>
      <c r="N5" s="11">
        <v>-39.975189999999998</v>
      </c>
      <c r="O5" s="11">
        <f t="shared" si="3"/>
        <v>-200</v>
      </c>
      <c r="P5" s="11" t="s">
        <v>2</v>
      </c>
      <c r="Q5" s="10" t="b">
        <v>0</v>
      </c>
    </row>
    <row r="6" spans="1:17" x14ac:dyDescent="0.3">
      <c r="A6" s="11">
        <v>-3</v>
      </c>
      <c r="B6" s="11">
        <v>-58.743340000000003</v>
      </c>
      <c r="C6" s="11">
        <f t="shared" si="0"/>
        <v>-58.743340000000003</v>
      </c>
      <c r="D6" s="11" t="s">
        <v>2</v>
      </c>
      <c r="E6" s="11">
        <v>-3</v>
      </c>
      <c r="F6" s="11">
        <v>-27.381139999999998</v>
      </c>
      <c r="G6" s="11">
        <f t="shared" si="1"/>
        <v>-200</v>
      </c>
      <c r="H6" s="11" t="s">
        <v>2</v>
      </c>
      <c r="I6" s="11">
        <v>-3</v>
      </c>
      <c r="J6" s="11">
        <v>-15.7408</v>
      </c>
      <c r="K6" s="11">
        <f t="shared" si="2"/>
        <v>-15.7408</v>
      </c>
      <c r="L6" s="11" t="s">
        <v>2</v>
      </c>
      <c r="M6" s="11">
        <v>-3</v>
      </c>
      <c r="N6" s="11">
        <v>-32.60425</v>
      </c>
      <c r="O6" s="11">
        <f t="shared" si="3"/>
        <v>-200</v>
      </c>
      <c r="P6" s="11" t="s">
        <v>2</v>
      </c>
      <c r="Q6" s="10" t="b">
        <v>0</v>
      </c>
    </row>
    <row r="7" spans="1:17" x14ac:dyDescent="0.3">
      <c r="A7" s="11">
        <v>-2.5</v>
      </c>
      <c r="B7" s="11">
        <v>-50.620629999999998</v>
      </c>
      <c r="C7" s="11">
        <f t="shared" si="0"/>
        <v>-50.620629999999998</v>
      </c>
      <c r="D7" s="11" t="s">
        <v>2</v>
      </c>
      <c r="E7" s="11">
        <v>-2.5</v>
      </c>
      <c r="F7" s="11">
        <v>-19.797529999999998</v>
      </c>
      <c r="G7" s="11">
        <f t="shared" si="1"/>
        <v>-200</v>
      </c>
      <c r="H7" s="11" t="s">
        <v>2</v>
      </c>
      <c r="I7" s="11">
        <v>-2.5</v>
      </c>
      <c r="J7" s="11">
        <v>-6.6060230000000004</v>
      </c>
      <c r="K7" s="11">
        <f t="shared" si="2"/>
        <v>-6.6060230000000004</v>
      </c>
      <c r="L7" s="11" t="s">
        <v>2</v>
      </c>
      <c r="M7" s="11">
        <v>-2.5</v>
      </c>
      <c r="N7" s="11">
        <v>-22.600090000000002</v>
      </c>
      <c r="O7" s="11">
        <f t="shared" si="3"/>
        <v>-200</v>
      </c>
      <c r="P7" s="11" t="s">
        <v>2</v>
      </c>
    </row>
    <row r="8" spans="1:17" x14ac:dyDescent="0.3">
      <c r="A8" s="11">
        <v>-2</v>
      </c>
      <c r="B8" s="11">
        <v>-41.850090000000002</v>
      </c>
      <c r="C8" s="11">
        <f t="shared" si="0"/>
        <v>-41.850090000000002</v>
      </c>
      <c r="D8" s="11" t="s">
        <v>2</v>
      </c>
      <c r="E8" s="11">
        <v>-2</v>
      </c>
      <c r="F8" s="11">
        <v>-12.094329999999999</v>
      </c>
      <c r="G8" s="11">
        <f t="shared" si="1"/>
        <v>-200</v>
      </c>
      <c r="H8" s="11" t="s">
        <v>2</v>
      </c>
      <c r="I8" s="11">
        <v>-2.1535739999999999</v>
      </c>
      <c r="J8" s="12">
        <v>-8.0190489999999997E-14</v>
      </c>
      <c r="K8" s="11">
        <f t="shared" si="2"/>
        <v>-8.0190489999999997E-14</v>
      </c>
      <c r="L8" s="11" t="s">
        <v>2</v>
      </c>
      <c r="M8" s="11">
        <v>-2</v>
      </c>
      <c r="N8" s="11">
        <v>-10.84615</v>
      </c>
      <c r="O8" s="11">
        <f t="shared" si="3"/>
        <v>-200</v>
      </c>
      <c r="P8" s="11" t="s">
        <v>2</v>
      </c>
    </row>
    <row r="9" spans="1:17" x14ac:dyDescent="0.3">
      <c r="A9" s="11">
        <v>-1.5</v>
      </c>
      <c r="B9" s="11">
        <v>-32.167099999999998</v>
      </c>
      <c r="C9" s="11">
        <f t="shared" si="0"/>
        <v>-32.167099999999998</v>
      </c>
      <c r="D9" s="11" t="s">
        <v>2</v>
      </c>
      <c r="E9" s="11">
        <v>-1.5</v>
      </c>
      <c r="F9" s="11">
        <v>-4.3644990000000004</v>
      </c>
      <c r="G9" s="11">
        <f t="shared" si="1"/>
        <v>-200</v>
      </c>
      <c r="H9" s="11" t="s">
        <v>2</v>
      </c>
      <c r="I9" s="11">
        <v>-2</v>
      </c>
      <c r="J9" s="11">
        <v>2.999628</v>
      </c>
      <c r="K9" s="11">
        <f t="shared" si="2"/>
        <v>2.999628</v>
      </c>
      <c r="L9" s="11" t="s">
        <v>2</v>
      </c>
      <c r="M9" s="11">
        <v>-1.557393</v>
      </c>
      <c r="N9" s="12">
        <v>-6.7836529999999998E-14</v>
      </c>
      <c r="O9" s="11">
        <f t="shared" si="3"/>
        <v>-200</v>
      </c>
      <c r="P9" s="11" t="s">
        <v>2</v>
      </c>
    </row>
    <row r="10" spans="1:17" x14ac:dyDescent="0.3">
      <c r="A10" s="11">
        <v>-1</v>
      </c>
      <c r="B10" s="11">
        <v>-21.920549999999999</v>
      </c>
      <c r="C10" s="11">
        <f t="shared" si="0"/>
        <v>-21.920549999999999</v>
      </c>
      <c r="D10" s="11" t="s">
        <v>2</v>
      </c>
      <c r="E10" s="11">
        <v>-1.216853</v>
      </c>
      <c r="F10" s="12">
        <v>-1.2112379999999999E-15</v>
      </c>
      <c r="G10" s="11">
        <f t="shared" si="1"/>
        <v>-200</v>
      </c>
      <c r="H10" s="11" t="s">
        <v>2</v>
      </c>
      <c r="I10" s="11">
        <v>-1.5</v>
      </c>
      <c r="J10" s="11">
        <v>12.959580000000001</v>
      </c>
      <c r="K10" s="11">
        <f t="shared" si="2"/>
        <v>12.959580000000001</v>
      </c>
      <c r="L10" s="11" t="s">
        <v>2</v>
      </c>
      <c r="M10" s="11">
        <v>-1.5</v>
      </c>
      <c r="N10" s="11">
        <v>1.4381330000000001</v>
      </c>
      <c r="O10" s="11">
        <f t="shared" si="3"/>
        <v>-200</v>
      </c>
      <c r="P10" s="11" t="s">
        <v>2</v>
      </c>
    </row>
    <row r="11" spans="1:17" x14ac:dyDescent="0.3">
      <c r="A11" s="11">
        <v>-0.5</v>
      </c>
      <c r="B11" s="11">
        <v>-11.077220000000001</v>
      </c>
      <c r="C11" s="11">
        <f t="shared" si="0"/>
        <v>-11.077220000000001</v>
      </c>
      <c r="D11" s="11" t="s">
        <v>2</v>
      </c>
      <c r="E11" s="11">
        <v>-1</v>
      </c>
      <c r="F11" s="11">
        <v>3.3239740000000002</v>
      </c>
      <c r="G11" s="11">
        <f t="shared" si="1"/>
        <v>-200</v>
      </c>
      <c r="H11" s="11" t="s">
        <v>2</v>
      </c>
      <c r="I11" s="11">
        <v>-1.2655019999999999</v>
      </c>
      <c r="J11" s="11">
        <v>17.692260000000001</v>
      </c>
      <c r="K11" s="11">
        <f t="shared" si="2"/>
        <v>17.692260000000001</v>
      </c>
      <c r="L11" s="11" t="s">
        <v>2</v>
      </c>
      <c r="M11" s="11">
        <v>-1</v>
      </c>
      <c r="N11" s="11">
        <v>14.26688</v>
      </c>
      <c r="O11" s="11">
        <f t="shared" si="3"/>
        <v>-200</v>
      </c>
      <c r="P11" s="11" t="s">
        <v>2</v>
      </c>
    </row>
    <row r="12" spans="1:17" x14ac:dyDescent="0.3">
      <c r="A12" s="12">
        <v>9.7926590000000001E-10</v>
      </c>
      <c r="B12" s="12">
        <v>2.152205E-14</v>
      </c>
      <c r="C12" s="11">
        <f t="shared" si="0"/>
        <v>2.152205E-14</v>
      </c>
      <c r="D12" s="11" t="s">
        <v>2</v>
      </c>
      <c r="E12" s="11">
        <v>-0.5</v>
      </c>
      <c r="F12" s="11">
        <v>11.05979</v>
      </c>
      <c r="G12" s="11">
        <f t="shared" si="1"/>
        <v>-200</v>
      </c>
      <c r="H12" s="11" t="s">
        <v>2</v>
      </c>
      <c r="I12" s="11">
        <v>-1</v>
      </c>
      <c r="J12" s="11">
        <v>23.245439999999999</v>
      </c>
      <c r="K12" s="11">
        <f t="shared" si="2"/>
        <v>23.245439999999999</v>
      </c>
      <c r="L12" s="11" t="s">
        <v>2</v>
      </c>
      <c r="M12" s="11">
        <v>-0.71646410000000005</v>
      </c>
      <c r="N12" s="11">
        <v>21.453610000000001</v>
      </c>
      <c r="O12" s="11">
        <f t="shared" si="3"/>
        <v>-200</v>
      </c>
      <c r="P12" s="11" t="s">
        <v>2</v>
      </c>
    </row>
    <row r="13" spans="1:17" x14ac:dyDescent="0.3">
      <c r="A13" s="11">
        <v>0.5</v>
      </c>
      <c r="B13" s="11">
        <v>11.077310000000001</v>
      </c>
      <c r="C13" s="11">
        <f t="shared" si="0"/>
        <v>11.077310000000001</v>
      </c>
      <c r="D13" s="11" t="s">
        <v>2</v>
      </c>
      <c r="E13" s="11">
        <v>0</v>
      </c>
      <c r="F13" s="11">
        <v>20.861270000000001</v>
      </c>
      <c r="G13" s="11">
        <f t="shared" si="1"/>
        <v>-200</v>
      </c>
      <c r="H13" s="11" t="s">
        <v>2</v>
      </c>
      <c r="I13" s="11">
        <v>-0.5</v>
      </c>
      <c r="J13" s="11">
        <v>33.857860000000002</v>
      </c>
      <c r="K13" s="11">
        <f t="shared" si="2"/>
        <v>33.857860000000002</v>
      </c>
      <c r="L13" s="11" t="s">
        <v>2</v>
      </c>
      <c r="M13" s="11">
        <v>-0.5</v>
      </c>
      <c r="N13" s="11">
        <v>26.798570000000002</v>
      </c>
      <c r="O13" s="11">
        <f t="shared" si="3"/>
        <v>-200</v>
      </c>
      <c r="P13" s="11" t="s">
        <v>2</v>
      </c>
    </row>
    <row r="14" spans="1:17" x14ac:dyDescent="0.3">
      <c r="A14" s="11">
        <v>0.89416569999999995</v>
      </c>
      <c r="B14" s="11">
        <v>19.527370000000001</v>
      </c>
      <c r="C14" s="11">
        <f t="shared" si="0"/>
        <v>19.527370000000001</v>
      </c>
      <c r="D14" s="11" t="s">
        <v>2</v>
      </c>
      <c r="E14" s="11">
        <v>0.5</v>
      </c>
      <c r="F14" s="11">
        <v>30.849830000000001</v>
      </c>
      <c r="G14" s="11">
        <f t="shared" si="1"/>
        <v>-200</v>
      </c>
      <c r="H14" s="11" t="s">
        <v>2</v>
      </c>
      <c r="I14" s="11">
        <v>-0.37825239999999999</v>
      </c>
      <c r="J14" s="11">
        <v>36.382300000000001</v>
      </c>
      <c r="K14" s="11">
        <f t="shared" si="2"/>
        <v>36.382300000000001</v>
      </c>
      <c r="L14" s="11" t="s">
        <v>2</v>
      </c>
      <c r="M14" s="11">
        <v>0</v>
      </c>
      <c r="N14" s="11">
        <v>39.58878</v>
      </c>
      <c r="O14" s="11">
        <f t="shared" si="3"/>
        <v>-200</v>
      </c>
      <c r="P14" s="11" t="s">
        <v>2</v>
      </c>
    </row>
    <row r="15" spans="1:17" x14ac:dyDescent="0.3">
      <c r="A15" s="11">
        <v>1</v>
      </c>
      <c r="B15" s="11">
        <v>21.920909999999999</v>
      </c>
      <c r="C15" s="11">
        <f t="shared" si="0"/>
        <v>21.920909999999999</v>
      </c>
      <c r="D15" s="11" t="s">
        <v>2</v>
      </c>
      <c r="E15" s="11">
        <v>0.65759310000000004</v>
      </c>
      <c r="F15" s="11">
        <v>33.993459999999999</v>
      </c>
      <c r="G15" s="11">
        <f t="shared" si="1"/>
        <v>-200</v>
      </c>
      <c r="H15" s="11" t="s">
        <v>2</v>
      </c>
      <c r="I15" s="11">
        <v>0</v>
      </c>
      <c r="J15" s="11">
        <v>44.814120000000003</v>
      </c>
      <c r="K15" s="11">
        <f t="shared" si="2"/>
        <v>44.814120000000003</v>
      </c>
      <c r="L15" s="11" t="s">
        <v>2</v>
      </c>
      <c r="M15" s="11">
        <v>0.12679319999999999</v>
      </c>
      <c r="N15" s="11">
        <v>42.848999999999997</v>
      </c>
      <c r="O15" s="11">
        <f t="shared" si="3"/>
        <v>-200</v>
      </c>
      <c r="P15" s="11" t="s">
        <v>2</v>
      </c>
    </row>
    <row r="16" spans="1:17" x14ac:dyDescent="0.3">
      <c r="A16" s="11">
        <v>1.5</v>
      </c>
      <c r="B16" s="11">
        <v>32.167879999999997</v>
      </c>
      <c r="C16" s="11">
        <f t="shared" si="0"/>
        <v>32.167879999999997</v>
      </c>
      <c r="D16" s="11" t="s">
        <v>2</v>
      </c>
      <c r="E16" s="11">
        <v>1</v>
      </c>
      <c r="F16" s="11">
        <v>40.851579999999998</v>
      </c>
      <c r="G16" s="11">
        <f t="shared" si="1"/>
        <v>-200</v>
      </c>
      <c r="H16" s="11" t="s">
        <v>2</v>
      </c>
      <c r="I16" s="11">
        <v>0.5</v>
      </c>
      <c r="J16" s="11">
        <v>56.7774</v>
      </c>
      <c r="K16" s="11">
        <f t="shared" si="2"/>
        <v>56.7774</v>
      </c>
      <c r="L16" s="11" t="s">
        <v>2</v>
      </c>
      <c r="M16" s="11">
        <v>0.5</v>
      </c>
      <c r="N16" s="11">
        <v>51.77205</v>
      </c>
      <c r="O16" s="11">
        <f t="shared" si="3"/>
        <v>-200</v>
      </c>
      <c r="P16" s="11" t="s">
        <v>2</v>
      </c>
    </row>
    <row r="17" spans="1:16" x14ac:dyDescent="0.3">
      <c r="A17" s="11">
        <v>1.7915220000000001</v>
      </c>
      <c r="B17" s="11">
        <v>37.993479999999998</v>
      </c>
      <c r="C17" s="11">
        <f t="shared" si="0"/>
        <v>37.993479999999998</v>
      </c>
      <c r="D17" s="11" t="s">
        <v>2</v>
      </c>
      <c r="E17" s="11">
        <v>1.5</v>
      </c>
      <c r="F17" s="11">
        <v>50.95429</v>
      </c>
      <c r="G17" s="11">
        <f t="shared" si="1"/>
        <v>-200</v>
      </c>
      <c r="H17" s="11" t="s">
        <v>2</v>
      </c>
      <c r="I17" s="11">
        <v>0.51562010000000003</v>
      </c>
      <c r="J17" s="11">
        <v>57.202669999999998</v>
      </c>
      <c r="K17" s="11">
        <f t="shared" si="2"/>
        <v>57.202669999999998</v>
      </c>
      <c r="L17" s="11" t="s">
        <v>2</v>
      </c>
      <c r="M17" s="11">
        <v>0.97304809999999997</v>
      </c>
      <c r="N17" s="11">
        <v>63.10295</v>
      </c>
      <c r="O17" s="11">
        <f t="shared" si="3"/>
        <v>-200</v>
      </c>
      <c r="P17" s="11" t="s">
        <v>2</v>
      </c>
    </row>
    <row r="18" spans="1:16" x14ac:dyDescent="0.3">
      <c r="A18" s="11">
        <v>2</v>
      </c>
      <c r="B18" s="11">
        <v>41.851410000000001</v>
      </c>
      <c r="C18" s="11">
        <f t="shared" si="0"/>
        <v>41.851410000000001</v>
      </c>
      <c r="D18" s="11" t="s">
        <v>2</v>
      </c>
      <c r="E18" s="11">
        <v>1.5665290000000001</v>
      </c>
      <c r="F18" s="11">
        <v>52.252200000000002</v>
      </c>
      <c r="G18" s="11">
        <f t="shared" si="1"/>
        <v>-200</v>
      </c>
      <c r="H18" s="11" t="s">
        <v>2</v>
      </c>
      <c r="I18" s="11">
        <v>1</v>
      </c>
      <c r="J18" s="11">
        <v>68.929050000000004</v>
      </c>
      <c r="K18" s="11">
        <f t="shared" si="2"/>
        <v>68.929050000000004</v>
      </c>
      <c r="L18" s="11" t="s">
        <v>2</v>
      </c>
      <c r="M18" s="11">
        <v>1</v>
      </c>
      <c r="N18" s="11">
        <v>63.80209</v>
      </c>
      <c r="O18" s="11">
        <f t="shared" si="3"/>
        <v>-200</v>
      </c>
      <c r="P18" s="11" t="s">
        <v>2</v>
      </c>
    </row>
    <row r="19" spans="1:16" x14ac:dyDescent="0.3">
      <c r="A19" s="11">
        <v>2.5</v>
      </c>
      <c r="B19" s="11">
        <v>50.622489999999999</v>
      </c>
      <c r="C19" s="11">
        <f t="shared" si="0"/>
        <v>50.622489999999999</v>
      </c>
      <c r="D19" s="11" t="s">
        <v>2</v>
      </c>
      <c r="E19" s="11">
        <v>2</v>
      </c>
      <c r="F19" s="11">
        <v>61.046590000000002</v>
      </c>
      <c r="G19" s="11">
        <f t="shared" si="1"/>
        <v>-200</v>
      </c>
      <c r="H19" s="11" t="s">
        <v>2</v>
      </c>
      <c r="I19" s="11">
        <v>1.4132130000000001</v>
      </c>
      <c r="J19" s="11">
        <v>78.421850000000006</v>
      </c>
      <c r="K19" s="11">
        <f t="shared" si="2"/>
        <v>78.421850000000006</v>
      </c>
      <c r="L19" s="11" t="s">
        <v>2</v>
      </c>
      <c r="M19" s="11">
        <v>1.5</v>
      </c>
      <c r="N19" s="11">
        <v>75.724469999999997</v>
      </c>
      <c r="O19" s="11">
        <f t="shared" si="3"/>
        <v>-200</v>
      </c>
      <c r="P19" s="11" t="s">
        <v>2</v>
      </c>
    </row>
    <row r="20" spans="1:16" x14ac:dyDescent="0.3">
      <c r="A20" s="11">
        <v>2.6961930000000001</v>
      </c>
      <c r="B20" s="11">
        <v>54.179189999999998</v>
      </c>
      <c r="C20" s="11">
        <f t="shared" si="0"/>
        <v>54.179189999999998</v>
      </c>
      <c r="D20" s="11" t="s">
        <v>2</v>
      </c>
      <c r="E20" s="11">
        <v>2.473535</v>
      </c>
      <c r="F20" s="11">
        <v>69.563159999999996</v>
      </c>
      <c r="G20" s="11">
        <f t="shared" si="1"/>
        <v>-200</v>
      </c>
      <c r="H20" s="11" t="s">
        <v>2</v>
      </c>
      <c r="I20" s="11">
        <v>1.5</v>
      </c>
      <c r="J20" s="11">
        <v>80.639189999999999</v>
      </c>
      <c r="K20" s="11">
        <f t="shared" si="2"/>
        <v>80.639189999999999</v>
      </c>
      <c r="L20" s="11" t="s">
        <v>2</v>
      </c>
      <c r="M20" s="11">
        <v>1.8213539999999999</v>
      </c>
      <c r="N20" s="11">
        <v>81.589399999999998</v>
      </c>
      <c r="O20" s="11">
        <f t="shared" si="3"/>
        <v>-200</v>
      </c>
      <c r="P20" s="11" t="s">
        <v>2</v>
      </c>
    </row>
    <row r="21" spans="1:16" x14ac:dyDescent="0.3">
      <c r="A21" s="11">
        <v>3</v>
      </c>
      <c r="B21" s="11">
        <v>58.745600000000003</v>
      </c>
      <c r="C21" s="11">
        <f t="shared" si="0"/>
        <v>58.745600000000003</v>
      </c>
      <c r="D21" s="11" t="s">
        <v>2</v>
      </c>
      <c r="E21" s="11">
        <v>2.5</v>
      </c>
      <c r="F21" s="11">
        <v>69.989599999999996</v>
      </c>
      <c r="G21" s="11">
        <f t="shared" si="1"/>
        <v>-200</v>
      </c>
      <c r="H21" s="11" t="s">
        <v>2</v>
      </c>
      <c r="I21" s="11">
        <v>2</v>
      </c>
      <c r="J21" s="11">
        <v>91.99924</v>
      </c>
      <c r="K21" s="11">
        <f t="shared" si="2"/>
        <v>91.99924</v>
      </c>
      <c r="L21" s="11" t="s">
        <v>2</v>
      </c>
      <c r="M21" s="11">
        <v>2</v>
      </c>
      <c r="N21" s="11">
        <v>85.858500000000006</v>
      </c>
      <c r="O21" s="11">
        <f t="shared" si="3"/>
        <v>-200</v>
      </c>
      <c r="P21" s="11" t="s">
        <v>2</v>
      </c>
    </row>
    <row r="22" spans="1:16" x14ac:dyDescent="0.3">
      <c r="A22" s="11">
        <v>3.5</v>
      </c>
      <c r="B22" s="11">
        <v>65.71217</v>
      </c>
      <c r="C22" s="11">
        <f t="shared" si="0"/>
        <v>65.71217</v>
      </c>
      <c r="D22" s="11" t="s">
        <v>2</v>
      </c>
      <c r="E22" s="11">
        <v>3</v>
      </c>
      <c r="F22" s="11">
        <v>78.392629999999997</v>
      </c>
      <c r="G22" s="11">
        <f t="shared" si="1"/>
        <v>-200</v>
      </c>
      <c r="H22" s="11" t="s">
        <v>2</v>
      </c>
      <c r="I22" s="11">
        <v>2.3136779999999999</v>
      </c>
      <c r="J22" s="11">
        <v>99.710549999999998</v>
      </c>
      <c r="K22" s="11">
        <f t="shared" si="2"/>
        <v>99.710549999999998</v>
      </c>
      <c r="L22" s="11" t="s">
        <v>2</v>
      </c>
      <c r="M22" s="11">
        <v>2.5</v>
      </c>
      <c r="N22" s="11">
        <v>95.306790000000007</v>
      </c>
      <c r="O22" s="11">
        <f t="shared" si="3"/>
        <v>-200</v>
      </c>
      <c r="P22" s="11" t="s">
        <v>2</v>
      </c>
    </row>
    <row r="23" spans="1:16" x14ac:dyDescent="0.3">
      <c r="A23" s="11">
        <v>3.6107040000000001</v>
      </c>
      <c r="B23" s="11">
        <v>67.231359999999995</v>
      </c>
      <c r="C23" s="11">
        <f t="shared" si="0"/>
        <v>67.231359999999995</v>
      </c>
      <c r="D23" s="11" t="s">
        <v>2</v>
      </c>
      <c r="E23" s="11">
        <v>3.3690609999999999</v>
      </c>
      <c r="F23" s="11">
        <v>84.292479999999998</v>
      </c>
      <c r="G23" s="11">
        <f t="shared" si="1"/>
        <v>-200</v>
      </c>
      <c r="H23" s="11" t="s">
        <v>2</v>
      </c>
      <c r="I23" s="11">
        <v>2.5</v>
      </c>
      <c r="J23" s="11">
        <v>102.96550000000001</v>
      </c>
      <c r="K23" s="11">
        <f t="shared" si="2"/>
        <v>102.96550000000001</v>
      </c>
      <c r="L23" s="11" t="s">
        <v>2</v>
      </c>
      <c r="M23" s="11">
        <v>2.6740810000000002</v>
      </c>
      <c r="N23" s="11">
        <v>98.607249999999993</v>
      </c>
      <c r="O23" s="11">
        <f t="shared" si="3"/>
        <v>-200</v>
      </c>
      <c r="P23" s="11" t="s">
        <v>2</v>
      </c>
    </row>
    <row r="24" spans="1:16" x14ac:dyDescent="0.3">
      <c r="A24" s="11">
        <v>4</v>
      </c>
      <c r="B24" s="11">
        <v>71.346630000000005</v>
      </c>
      <c r="C24" s="11">
        <f t="shared" si="0"/>
        <v>71.346630000000005</v>
      </c>
      <c r="D24" s="11" t="s">
        <v>2</v>
      </c>
      <c r="E24" s="11">
        <v>3.5</v>
      </c>
      <c r="F24" s="11">
        <v>86.259569999999997</v>
      </c>
      <c r="G24" s="11">
        <f t="shared" si="1"/>
        <v>-200</v>
      </c>
      <c r="H24" s="11" t="s">
        <v>2</v>
      </c>
      <c r="I24" s="11">
        <v>3</v>
      </c>
      <c r="J24" s="11">
        <v>112.2167</v>
      </c>
      <c r="K24" s="11">
        <f t="shared" si="2"/>
        <v>112.2167</v>
      </c>
      <c r="L24" s="11" t="s">
        <v>2</v>
      </c>
      <c r="M24" s="11">
        <v>3</v>
      </c>
      <c r="N24" s="11">
        <v>102.27370000000001</v>
      </c>
      <c r="O24" s="11">
        <f t="shared" si="3"/>
        <v>-200</v>
      </c>
      <c r="P24" s="11" t="s">
        <v>2</v>
      </c>
    </row>
    <row r="25" spans="1:16" x14ac:dyDescent="0.3">
      <c r="A25" s="11">
        <v>4.5</v>
      </c>
      <c r="B25" s="11">
        <v>76.732460000000003</v>
      </c>
      <c r="C25" s="11">
        <f t="shared" si="0"/>
        <v>76.732460000000003</v>
      </c>
      <c r="D25" s="11" t="s">
        <v>2</v>
      </c>
      <c r="E25" s="11">
        <v>4</v>
      </c>
      <c r="F25" s="11">
        <v>93.167280000000005</v>
      </c>
      <c r="G25" s="11">
        <f t="shared" si="1"/>
        <v>-200</v>
      </c>
      <c r="H25" s="11" t="s">
        <v>2</v>
      </c>
      <c r="I25" s="11">
        <v>3.5</v>
      </c>
      <c r="J25" s="11">
        <v>117.23180000000001</v>
      </c>
      <c r="K25" s="11">
        <f t="shared" si="2"/>
        <v>117.23180000000001</v>
      </c>
      <c r="L25" s="11" t="s">
        <v>2</v>
      </c>
      <c r="M25" s="11">
        <v>3.5</v>
      </c>
      <c r="N25" s="11">
        <v>108.9795</v>
      </c>
      <c r="O25" s="11">
        <f t="shared" si="3"/>
        <v>-200</v>
      </c>
      <c r="P25" s="11" t="s">
        <v>2</v>
      </c>
    </row>
    <row r="26" spans="1:16" x14ac:dyDescent="0.3">
      <c r="A26" s="11">
        <v>4.5324150000000003</v>
      </c>
      <c r="B26" s="11">
        <v>77.029970000000006</v>
      </c>
      <c r="C26" s="11">
        <f t="shared" si="0"/>
        <v>77.029970000000006</v>
      </c>
      <c r="D26" s="11" t="s">
        <v>2</v>
      </c>
      <c r="E26" s="11">
        <v>4.2793409999999996</v>
      </c>
      <c r="F26" s="11">
        <v>96.73912</v>
      </c>
      <c r="G26" s="11">
        <f t="shared" si="1"/>
        <v>-200</v>
      </c>
      <c r="H26" s="11" t="s">
        <v>2</v>
      </c>
      <c r="I26" s="11">
        <v>4</v>
      </c>
      <c r="J26" s="11">
        <v>119.4576</v>
      </c>
      <c r="K26" s="11">
        <f t="shared" si="2"/>
        <v>119.4576</v>
      </c>
      <c r="L26" s="11" t="s">
        <v>2</v>
      </c>
      <c r="M26" s="11">
        <v>3.5432869999999999</v>
      </c>
      <c r="N26" s="11">
        <v>109.4821</v>
      </c>
      <c r="O26" s="11">
        <f t="shared" si="3"/>
        <v>-200</v>
      </c>
      <c r="P26" s="11" t="s">
        <v>2</v>
      </c>
    </row>
    <row r="27" spans="1:16" x14ac:dyDescent="0.3">
      <c r="A27" s="11">
        <v>5</v>
      </c>
      <c r="B27" s="11">
        <v>80.638009999999994</v>
      </c>
      <c r="C27" s="11">
        <f t="shared" si="0"/>
        <v>80.638009999999994</v>
      </c>
      <c r="D27" s="11" t="s">
        <v>2</v>
      </c>
      <c r="E27" s="11">
        <v>4.5</v>
      </c>
      <c r="F27" s="11">
        <v>99.032380000000003</v>
      </c>
      <c r="G27" s="11">
        <f t="shared" si="1"/>
        <v>-200</v>
      </c>
      <c r="H27" s="11" t="s">
        <v>2</v>
      </c>
      <c r="I27" s="11">
        <v>4.1842689999999996</v>
      </c>
      <c r="J27" s="11">
        <v>119.3746</v>
      </c>
      <c r="K27" s="11">
        <f t="shared" si="2"/>
        <v>119.3746</v>
      </c>
      <c r="L27" s="11" t="s">
        <v>2</v>
      </c>
      <c r="M27" s="11">
        <v>4</v>
      </c>
      <c r="N27" s="11">
        <v>108.0962</v>
      </c>
      <c r="O27" s="11">
        <f t="shared" si="3"/>
        <v>-200</v>
      </c>
      <c r="P27" s="11" t="s">
        <v>2</v>
      </c>
    </row>
    <row r="28" spans="1:16" x14ac:dyDescent="0.3">
      <c r="A28" s="11">
        <v>5.4716079999999998</v>
      </c>
      <c r="B28" s="11">
        <v>84.271919999999994</v>
      </c>
      <c r="C28" s="11">
        <f t="shared" si="0"/>
        <v>84.271919999999994</v>
      </c>
      <c r="D28" s="11" t="s">
        <v>2</v>
      </c>
      <c r="E28" s="11">
        <v>5</v>
      </c>
      <c r="F28" s="11">
        <v>104.9846</v>
      </c>
      <c r="G28" s="11">
        <f t="shared" si="1"/>
        <v>-200</v>
      </c>
      <c r="H28" s="11" t="s">
        <v>2</v>
      </c>
      <c r="I28" s="11">
        <v>4.9578860000000002</v>
      </c>
      <c r="J28" s="11">
        <v>119.41160000000001</v>
      </c>
      <c r="K28" s="11">
        <f t="shared" si="2"/>
        <v>119.41160000000001</v>
      </c>
      <c r="L28" s="11" t="s">
        <v>2</v>
      </c>
      <c r="M28" s="11">
        <v>4.4770329999999996</v>
      </c>
      <c r="N28" s="11">
        <v>103.0321</v>
      </c>
      <c r="O28" s="11">
        <f t="shared" si="3"/>
        <v>-200</v>
      </c>
      <c r="P28" s="11" t="s">
        <v>2</v>
      </c>
    </row>
    <row r="29" spans="1:16" x14ac:dyDescent="0.3">
      <c r="A29" s="11">
        <v>5.5</v>
      </c>
      <c r="B29" s="11">
        <v>84.501339999999999</v>
      </c>
      <c r="C29" s="11">
        <f t="shared" si="0"/>
        <v>84.501339999999999</v>
      </c>
      <c r="D29" s="11" t="s">
        <v>2</v>
      </c>
      <c r="E29" s="11">
        <v>5.190804</v>
      </c>
      <c r="F29" s="11">
        <v>106.6906</v>
      </c>
      <c r="G29" s="11">
        <f t="shared" si="1"/>
        <v>-200</v>
      </c>
      <c r="H29" s="11" t="s">
        <v>2</v>
      </c>
      <c r="I29" s="11">
        <v>5</v>
      </c>
      <c r="J29" s="11">
        <v>119.0625</v>
      </c>
      <c r="K29" s="11">
        <f t="shared" si="2"/>
        <v>119.0625</v>
      </c>
      <c r="L29" s="11" t="s">
        <v>2</v>
      </c>
      <c r="M29" s="11">
        <v>4.5</v>
      </c>
      <c r="N29" s="11">
        <v>102.7102</v>
      </c>
      <c r="O29" s="11">
        <f t="shared" si="3"/>
        <v>-200</v>
      </c>
      <c r="P29" s="11" t="s">
        <v>2</v>
      </c>
    </row>
    <row r="30" spans="1:16" x14ac:dyDescent="0.3">
      <c r="A30" s="11">
        <v>6</v>
      </c>
      <c r="B30" s="11">
        <v>87.668480000000002</v>
      </c>
      <c r="C30" s="11">
        <f t="shared" si="0"/>
        <v>87.668480000000002</v>
      </c>
      <c r="D30" s="11" t="s">
        <v>2</v>
      </c>
      <c r="E30" s="11">
        <v>5.5</v>
      </c>
      <c r="F30" s="11">
        <v>110.14060000000001</v>
      </c>
      <c r="G30" s="11">
        <f t="shared" si="1"/>
        <v>-200</v>
      </c>
      <c r="H30" s="11" t="s">
        <v>2</v>
      </c>
      <c r="I30" s="11">
        <v>5.5</v>
      </c>
      <c r="J30" s="11">
        <v>117.3877</v>
      </c>
      <c r="K30" s="11">
        <f t="shared" si="2"/>
        <v>117.3877</v>
      </c>
      <c r="L30" s="11" t="s">
        <v>2</v>
      </c>
      <c r="M30" s="11">
        <v>5</v>
      </c>
      <c r="N30" s="11">
        <v>98.335170000000005</v>
      </c>
      <c r="O30" s="11">
        <f t="shared" si="3"/>
        <v>-200</v>
      </c>
      <c r="P30" s="11" t="s">
        <v>2</v>
      </c>
    </row>
    <row r="31" spans="1:16" x14ac:dyDescent="0.3">
      <c r="A31" s="11">
        <v>6.4169499999999999</v>
      </c>
      <c r="B31" s="11">
        <v>89.607410000000002</v>
      </c>
      <c r="C31" s="11">
        <f t="shared" si="0"/>
        <v>89.607410000000002</v>
      </c>
      <c r="D31" s="11" t="s">
        <v>2</v>
      </c>
      <c r="E31" s="11">
        <v>6</v>
      </c>
      <c r="F31" s="11">
        <v>114.92449999999999</v>
      </c>
      <c r="G31" s="11">
        <f t="shared" si="1"/>
        <v>-200</v>
      </c>
      <c r="H31" s="11" t="s">
        <v>2</v>
      </c>
      <c r="I31" s="11">
        <v>5.8843569999999996</v>
      </c>
      <c r="J31" s="11">
        <v>115.6073</v>
      </c>
      <c r="K31" s="11">
        <f t="shared" si="2"/>
        <v>115.6073</v>
      </c>
      <c r="L31" s="11" t="s">
        <v>2</v>
      </c>
      <c r="M31" s="11">
        <v>5.4388930000000002</v>
      </c>
      <c r="N31" s="11">
        <v>95.402060000000006</v>
      </c>
      <c r="O31" s="11">
        <f t="shared" si="3"/>
        <v>-200</v>
      </c>
      <c r="P31" s="11" t="s">
        <v>2</v>
      </c>
    </row>
    <row r="32" spans="1:16" x14ac:dyDescent="0.3">
      <c r="A32" s="11">
        <v>6.5</v>
      </c>
      <c r="B32" s="11">
        <v>90.290850000000006</v>
      </c>
      <c r="C32" s="11">
        <f t="shared" si="0"/>
        <v>90.290850000000006</v>
      </c>
      <c r="D32" s="11" t="s">
        <v>2</v>
      </c>
      <c r="E32" s="11">
        <v>6.0177829999999997</v>
      </c>
      <c r="F32" s="11">
        <v>115.1254</v>
      </c>
      <c r="G32" s="11">
        <f t="shared" si="1"/>
        <v>-200</v>
      </c>
      <c r="H32" s="11" t="s">
        <v>2</v>
      </c>
      <c r="I32" s="11">
        <v>6</v>
      </c>
      <c r="J32" s="11">
        <v>114.889</v>
      </c>
      <c r="K32" s="11">
        <f t="shared" si="2"/>
        <v>114.889</v>
      </c>
      <c r="L32" s="11" t="s">
        <v>2</v>
      </c>
      <c r="M32" s="11">
        <v>5.5</v>
      </c>
      <c r="N32" s="11">
        <v>95.682509999999994</v>
      </c>
      <c r="O32" s="11">
        <f t="shared" si="3"/>
        <v>-200</v>
      </c>
      <c r="P32" s="11" t="s">
        <v>2</v>
      </c>
    </row>
    <row r="33" spans="1:16" x14ac:dyDescent="0.3">
      <c r="A33" s="11">
        <v>7</v>
      </c>
      <c r="B33" s="11">
        <v>92.601699999999994</v>
      </c>
      <c r="C33" s="11">
        <f t="shared" si="0"/>
        <v>92.601699999999994</v>
      </c>
      <c r="D33" s="11" t="s">
        <v>2</v>
      </c>
      <c r="E33" s="11">
        <v>6.5</v>
      </c>
      <c r="F33" s="11">
        <v>120.01090000000001</v>
      </c>
      <c r="G33" s="11">
        <f t="shared" si="1"/>
        <v>-200</v>
      </c>
      <c r="H33" s="11" t="s">
        <v>2</v>
      </c>
      <c r="I33" s="11">
        <v>6.5</v>
      </c>
      <c r="J33" s="11">
        <v>113.97329999999999</v>
      </c>
      <c r="K33" s="11">
        <f t="shared" si="2"/>
        <v>113.97329999999999</v>
      </c>
      <c r="L33" s="11" t="s">
        <v>2</v>
      </c>
      <c r="M33" s="11">
        <v>6</v>
      </c>
      <c r="N33" s="11">
        <v>95.174459999999996</v>
      </c>
      <c r="O33" s="11">
        <f t="shared" si="3"/>
        <v>-200</v>
      </c>
      <c r="P33" s="11" t="s">
        <v>2</v>
      </c>
    </row>
    <row r="34" spans="1:16" x14ac:dyDescent="0.3">
      <c r="A34" s="11">
        <v>7.2629219999999997</v>
      </c>
      <c r="B34" s="11">
        <v>94.154629999999997</v>
      </c>
      <c r="C34" s="11">
        <f t="shared" si="0"/>
        <v>94.154629999999997</v>
      </c>
      <c r="D34" s="11" t="s">
        <v>2</v>
      </c>
      <c r="E34" s="11">
        <v>6.7816270000000003</v>
      </c>
      <c r="F34" s="11">
        <v>122.4436</v>
      </c>
      <c r="G34" s="11">
        <f t="shared" si="1"/>
        <v>-200</v>
      </c>
      <c r="H34" s="11" t="s">
        <v>2</v>
      </c>
      <c r="I34" s="11">
        <v>6.9147040000000004</v>
      </c>
      <c r="J34" s="11">
        <v>112.9558</v>
      </c>
      <c r="K34" s="11">
        <f t="shared" si="2"/>
        <v>112.9558</v>
      </c>
      <c r="L34" s="11" t="s">
        <v>2</v>
      </c>
      <c r="M34" s="11">
        <v>6.3819189999999999</v>
      </c>
      <c r="N34" s="11">
        <v>94.472650000000002</v>
      </c>
      <c r="O34" s="11">
        <f t="shared" si="3"/>
        <v>-200</v>
      </c>
      <c r="P34" s="11" t="s">
        <v>2</v>
      </c>
    </row>
    <row r="35" spans="1:16" x14ac:dyDescent="0.3">
      <c r="A35" s="11">
        <v>7.5</v>
      </c>
      <c r="B35" s="11">
        <v>95.127300000000005</v>
      </c>
      <c r="C35" s="11">
        <f t="shared" si="0"/>
        <v>95.127300000000005</v>
      </c>
      <c r="D35" s="11" t="s">
        <v>2</v>
      </c>
      <c r="E35" s="11">
        <v>7</v>
      </c>
      <c r="F35" s="11">
        <v>124.3565</v>
      </c>
      <c r="G35" s="11">
        <f t="shared" si="1"/>
        <v>-200</v>
      </c>
      <c r="H35" s="11" t="s">
        <v>2</v>
      </c>
      <c r="I35" s="11">
        <v>7</v>
      </c>
      <c r="J35" s="11">
        <v>112.44450000000001</v>
      </c>
      <c r="K35" s="11">
        <f t="shared" si="2"/>
        <v>112.44450000000001</v>
      </c>
      <c r="L35" s="11" t="s">
        <v>2</v>
      </c>
      <c r="M35" s="11">
        <v>6.5</v>
      </c>
      <c r="N35" s="11">
        <v>94.368049999999997</v>
      </c>
      <c r="O35" s="11">
        <f t="shared" si="3"/>
        <v>-200</v>
      </c>
      <c r="P35" s="11" t="s">
        <v>2</v>
      </c>
    </row>
    <row r="36" spans="1:16" x14ac:dyDescent="0.3">
      <c r="A36" s="11">
        <v>8</v>
      </c>
      <c r="B36" s="11">
        <v>97.311549999999997</v>
      </c>
      <c r="C36" s="11">
        <f t="shared" si="0"/>
        <v>97.311549999999997</v>
      </c>
      <c r="D36" s="11" t="s">
        <v>2</v>
      </c>
      <c r="E36" s="11">
        <v>7.5</v>
      </c>
      <c r="F36" s="11">
        <v>127.6942</v>
      </c>
      <c r="G36" s="11">
        <f t="shared" si="1"/>
        <v>-200</v>
      </c>
      <c r="H36" s="11" t="s">
        <v>2</v>
      </c>
      <c r="I36" s="11">
        <v>7.5</v>
      </c>
      <c r="J36" s="11">
        <v>111.538</v>
      </c>
      <c r="K36" s="11">
        <f t="shared" si="2"/>
        <v>111.538</v>
      </c>
      <c r="L36" s="11" t="s">
        <v>2</v>
      </c>
      <c r="M36" s="11">
        <v>7</v>
      </c>
      <c r="N36" s="11">
        <v>95.200829999999996</v>
      </c>
      <c r="O36" s="11">
        <f t="shared" si="3"/>
        <v>-200</v>
      </c>
      <c r="P36" s="11" t="s">
        <v>2</v>
      </c>
    </row>
    <row r="37" spans="1:16" x14ac:dyDescent="0.3">
      <c r="A37" s="11">
        <v>8.0357610000000008</v>
      </c>
      <c r="B37" s="11">
        <v>97.512730000000005</v>
      </c>
      <c r="C37" s="11">
        <f t="shared" si="0"/>
        <v>97.512730000000005</v>
      </c>
      <c r="D37" s="11" t="s">
        <v>2</v>
      </c>
      <c r="E37" s="11">
        <v>7.55572</v>
      </c>
      <c r="F37" s="11">
        <v>128.0206</v>
      </c>
      <c r="G37" s="11">
        <f t="shared" si="1"/>
        <v>-200</v>
      </c>
      <c r="H37" s="11" t="s">
        <v>2</v>
      </c>
      <c r="I37" s="11">
        <v>7.9098560000000004</v>
      </c>
      <c r="J37" s="11">
        <v>111.0883</v>
      </c>
      <c r="K37" s="11">
        <f t="shared" si="2"/>
        <v>111.0883</v>
      </c>
      <c r="L37" s="11" t="s">
        <v>2</v>
      </c>
      <c r="M37" s="11">
        <v>7.3215000000000003</v>
      </c>
      <c r="N37" s="11">
        <v>95.552940000000007</v>
      </c>
      <c r="O37" s="11">
        <f t="shared" si="3"/>
        <v>-200</v>
      </c>
      <c r="P37" s="11" t="s">
        <v>2</v>
      </c>
    </row>
    <row r="38" spans="1:16" x14ac:dyDescent="0.3">
      <c r="A38" s="11">
        <v>8.5</v>
      </c>
      <c r="B38" s="11">
        <v>99.223650000000006</v>
      </c>
      <c r="C38" s="11">
        <f t="shared" si="0"/>
        <v>99.223650000000006</v>
      </c>
      <c r="D38" s="11" t="s">
        <v>2</v>
      </c>
      <c r="E38" s="11">
        <v>8</v>
      </c>
      <c r="F38" s="11">
        <v>130.19040000000001</v>
      </c>
      <c r="G38" s="11">
        <f t="shared" si="1"/>
        <v>-200</v>
      </c>
      <c r="H38" s="11" t="s">
        <v>2</v>
      </c>
      <c r="I38" s="11">
        <v>8</v>
      </c>
      <c r="J38" s="11">
        <v>110.80889999999999</v>
      </c>
      <c r="K38" s="11">
        <f t="shared" si="2"/>
        <v>110.80889999999999</v>
      </c>
      <c r="L38" s="11" t="s">
        <v>2</v>
      </c>
      <c r="M38" s="11">
        <v>7.5</v>
      </c>
      <c r="N38" s="11">
        <v>96.325540000000004</v>
      </c>
      <c r="O38" s="11">
        <f t="shared" si="3"/>
        <v>-200</v>
      </c>
      <c r="P38" s="11" t="s">
        <v>2</v>
      </c>
    </row>
    <row r="39" spans="1:16" x14ac:dyDescent="0.3">
      <c r="A39" s="11">
        <v>8.8278850000000002</v>
      </c>
      <c r="B39" s="11">
        <v>99.266940000000005</v>
      </c>
      <c r="C39" s="11">
        <f t="shared" si="0"/>
        <v>99.266940000000005</v>
      </c>
      <c r="D39" s="11" t="s">
        <v>2</v>
      </c>
      <c r="E39" s="11">
        <v>8.5</v>
      </c>
      <c r="F39" s="11">
        <v>131.09909999999999</v>
      </c>
      <c r="G39" s="11">
        <f t="shared" si="1"/>
        <v>-200</v>
      </c>
      <c r="H39" s="11" t="s">
        <v>2</v>
      </c>
      <c r="I39" s="11">
        <v>8.5</v>
      </c>
      <c r="J39" s="11">
        <v>110.6494</v>
      </c>
      <c r="K39" s="11">
        <f t="shared" si="2"/>
        <v>110.6494</v>
      </c>
      <c r="L39" s="11" t="s">
        <v>2</v>
      </c>
      <c r="M39" s="11">
        <v>8</v>
      </c>
      <c r="N39" s="11">
        <v>97.373099999999994</v>
      </c>
      <c r="O39" s="11">
        <f t="shared" si="3"/>
        <v>-200</v>
      </c>
      <c r="P39" s="11" t="s">
        <v>2</v>
      </c>
    </row>
    <row r="40" spans="1:16" x14ac:dyDescent="0.3">
      <c r="A40" s="11">
        <v>9</v>
      </c>
      <c r="B40" s="11">
        <v>98.97972</v>
      </c>
      <c r="C40" s="11">
        <f t="shared" si="0"/>
        <v>98.97972</v>
      </c>
      <c r="D40" s="11" t="s">
        <v>2</v>
      </c>
      <c r="E40" s="11">
        <v>9</v>
      </c>
      <c r="F40" s="11">
        <v>130.50460000000001</v>
      </c>
      <c r="G40" s="11">
        <f t="shared" si="1"/>
        <v>-200</v>
      </c>
      <c r="H40" s="11" t="s">
        <v>2</v>
      </c>
      <c r="I40" s="11">
        <v>8.9097709999999992</v>
      </c>
      <c r="J40" s="11">
        <v>109.2047</v>
      </c>
      <c r="K40" s="11">
        <f t="shared" si="2"/>
        <v>109.2047</v>
      </c>
      <c r="L40" s="11" t="s">
        <v>2</v>
      </c>
      <c r="M40" s="11">
        <v>8.2800619999999991</v>
      </c>
      <c r="N40" s="11">
        <v>96.160730000000001</v>
      </c>
      <c r="O40" s="11">
        <f t="shared" si="3"/>
        <v>-200</v>
      </c>
      <c r="P40" s="11" t="s">
        <v>2</v>
      </c>
    </row>
    <row r="41" spans="1:16" x14ac:dyDescent="0.3">
      <c r="A41" s="11">
        <v>9.5</v>
      </c>
      <c r="B41" s="11">
        <v>100.3074</v>
      </c>
      <c r="C41" s="11">
        <f t="shared" si="0"/>
        <v>100.3074</v>
      </c>
      <c r="D41" s="11" t="s">
        <v>2</v>
      </c>
      <c r="E41" s="11">
        <v>9.5</v>
      </c>
      <c r="F41" s="11">
        <v>128.90790000000001</v>
      </c>
      <c r="G41" s="11">
        <f t="shared" si="1"/>
        <v>-200</v>
      </c>
      <c r="H41" s="11" t="s">
        <v>2</v>
      </c>
      <c r="I41" s="11">
        <v>9</v>
      </c>
      <c r="J41" s="11">
        <v>109.297</v>
      </c>
      <c r="K41" s="11">
        <f t="shared" si="2"/>
        <v>109.297</v>
      </c>
      <c r="L41" s="11" t="s">
        <v>2</v>
      </c>
      <c r="M41" s="11">
        <v>8.5</v>
      </c>
      <c r="N41" s="11">
        <v>95.303290000000004</v>
      </c>
      <c r="O41" s="11">
        <f t="shared" si="3"/>
        <v>-200</v>
      </c>
      <c r="P41" s="11" t="s">
        <v>2</v>
      </c>
    </row>
    <row r="42" spans="1:16" x14ac:dyDescent="0.3">
      <c r="A42" s="11">
        <v>10</v>
      </c>
      <c r="B42" s="11">
        <v>100.2222</v>
      </c>
      <c r="C42" s="11">
        <f t="shared" si="0"/>
        <v>100.2222</v>
      </c>
      <c r="D42" s="11" t="s">
        <v>2</v>
      </c>
      <c r="E42" s="11">
        <v>10</v>
      </c>
      <c r="F42" s="11">
        <v>127.21469999999999</v>
      </c>
      <c r="G42" s="11">
        <f t="shared" si="1"/>
        <v>-200</v>
      </c>
      <c r="H42" s="11" t="s">
        <v>2</v>
      </c>
      <c r="I42" s="11">
        <v>9.5</v>
      </c>
      <c r="J42" s="11">
        <v>108.81059999999999</v>
      </c>
      <c r="K42" s="11">
        <f t="shared" si="2"/>
        <v>108.81059999999999</v>
      </c>
      <c r="L42" s="11" t="s">
        <v>2</v>
      </c>
      <c r="M42" s="11">
        <v>10</v>
      </c>
      <c r="N42" s="11">
        <v>95.301940000000002</v>
      </c>
      <c r="O42" s="11">
        <f t="shared" si="3"/>
        <v>-200</v>
      </c>
      <c r="P42" s="11" t="s">
        <v>2</v>
      </c>
    </row>
    <row r="43" spans="1:16" x14ac:dyDescent="0.3">
      <c r="A43" s="11">
        <v>10.5</v>
      </c>
      <c r="B43" s="11">
        <v>98.787220000000005</v>
      </c>
      <c r="C43" s="11">
        <f t="shared" si="0"/>
        <v>98.787220000000005</v>
      </c>
      <c r="D43" s="11" t="s">
        <v>2</v>
      </c>
      <c r="E43" s="11">
        <v>10.5</v>
      </c>
      <c r="F43" s="11">
        <v>123.7234</v>
      </c>
      <c r="G43" s="11">
        <f t="shared" si="1"/>
        <v>-200</v>
      </c>
      <c r="H43" s="11" t="s">
        <v>2</v>
      </c>
      <c r="I43" s="11">
        <v>9.9331870000000002</v>
      </c>
      <c r="J43" s="11">
        <v>106.7865</v>
      </c>
      <c r="K43" s="11">
        <f t="shared" si="2"/>
        <v>106.7865</v>
      </c>
      <c r="L43" s="11" t="s">
        <v>2</v>
      </c>
      <c r="M43" s="11">
        <v>10.295249999999999</v>
      </c>
      <c r="N43" s="11">
        <v>95.297889999999995</v>
      </c>
      <c r="O43" s="11">
        <f t="shared" si="3"/>
        <v>-200</v>
      </c>
      <c r="P43" s="11" t="s">
        <v>2</v>
      </c>
    </row>
    <row r="44" spans="1:16" x14ac:dyDescent="0.3">
      <c r="A44" s="11">
        <v>11</v>
      </c>
      <c r="B44" s="11">
        <v>96.456620000000001</v>
      </c>
      <c r="C44" s="11">
        <f t="shared" si="0"/>
        <v>96.456620000000001</v>
      </c>
      <c r="D44" s="11" t="s">
        <v>2</v>
      </c>
      <c r="E44" s="11">
        <v>11</v>
      </c>
      <c r="F44" s="11">
        <v>119.62649999999999</v>
      </c>
      <c r="G44" s="11">
        <f t="shared" si="1"/>
        <v>-200</v>
      </c>
      <c r="H44" s="11" t="s">
        <v>2</v>
      </c>
      <c r="I44" s="11">
        <v>10</v>
      </c>
      <c r="J44" s="11">
        <v>106.4609</v>
      </c>
      <c r="K44" s="11">
        <f t="shared" si="2"/>
        <v>106.4609</v>
      </c>
      <c r="L44" s="11" t="s">
        <v>2</v>
      </c>
      <c r="M44" s="11">
        <v>10.5</v>
      </c>
      <c r="N44" s="11">
        <v>95.229140000000001</v>
      </c>
      <c r="O44" s="11">
        <f t="shared" si="3"/>
        <v>-200</v>
      </c>
      <c r="P44" s="11" t="s">
        <v>2</v>
      </c>
    </row>
    <row r="45" spans="1:16" x14ac:dyDescent="0.3">
      <c r="A45" s="11">
        <v>11.5</v>
      </c>
      <c r="B45" s="11">
        <v>93.887339999999995</v>
      </c>
      <c r="C45" s="11">
        <f t="shared" si="0"/>
        <v>93.887339999999995</v>
      </c>
      <c r="D45" s="11" t="s">
        <v>2</v>
      </c>
      <c r="E45" s="11">
        <v>11.5</v>
      </c>
      <c r="F45" s="11">
        <v>114.66249999999999</v>
      </c>
      <c r="G45" s="11">
        <f t="shared" si="1"/>
        <v>-200</v>
      </c>
      <c r="H45" s="11" t="s">
        <v>2</v>
      </c>
      <c r="I45" s="11">
        <v>10.5</v>
      </c>
      <c r="J45" s="11">
        <v>105.7565</v>
      </c>
      <c r="K45" s="11">
        <f t="shared" si="2"/>
        <v>105.7565</v>
      </c>
      <c r="L45" s="11" t="s">
        <v>2</v>
      </c>
      <c r="M45" s="11">
        <v>11</v>
      </c>
      <c r="N45" s="11">
        <v>94.562470000000005</v>
      </c>
      <c r="O45" s="11">
        <f t="shared" si="3"/>
        <v>-200</v>
      </c>
      <c r="P45" s="11" t="s">
        <v>2</v>
      </c>
    </row>
    <row r="46" spans="1:16" x14ac:dyDescent="0.3">
      <c r="A46" s="11">
        <v>12</v>
      </c>
      <c r="B46" s="11">
        <v>93.611800000000002</v>
      </c>
      <c r="C46" s="11">
        <f t="shared" si="0"/>
        <v>93.611800000000002</v>
      </c>
      <c r="D46" s="11" t="s">
        <v>2</v>
      </c>
      <c r="E46" s="11">
        <v>12</v>
      </c>
      <c r="F46" s="11">
        <v>109.9481</v>
      </c>
      <c r="G46" s="11">
        <f t="shared" si="1"/>
        <v>-200</v>
      </c>
      <c r="H46" s="11" t="s">
        <v>2</v>
      </c>
      <c r="I46" s="11">
        <v>10.98734</v>
      </c>
      <c r="J46" s="11">
        <v>104.25839999999999</v>
      </c>
      <c r="K46" s="11">
        <f t="shared" si="2"/>
        <v>104.25839999999999</v>
      </c>
      <c r="L46" s="11" t="s">
        <v>2</v>
      </c>
      <c r="M46" s="11">
        <v>11.5</v>
      </c>
      <c r="N46" s="11">
        <v>89.235209999999995</v>
      </c>
      <c r="O46" s="11">
        <f t="shared" si="3"/>
        <v>-200</v>
      </c>
      <c r="P46" s="11" t="s">
        <v>2</v>
      </c>
    </row>
    <row r="47" spans="1:16" x14ac:dyDescent="0.3">
      <c r="A47" s="11">
        <v>12.5</v>
      </c>
      <c r="B47" s="11">
        <v>93.163700000000006</v>
      </c>
      <c r="C47" s="11">
        <f t="shared" si="0"/>
        <v>93.163700000000006</v>
      </c>
      <c r="D47" s="11" t="s">
        <v>2</v>
      </c>
      <c r="E47" s="11">
        <v>12.5</v>
      </c>
      <c r="F47" s="11">
        <v>105.3569</v>
      </c>
      <c r="G47" s="11">
        <f t="shared" si="1"/>
        <v>-200</v>
      </c>
      <c r="H47" s="11" t="s">
        <v>2</v>
      </c>
      <c r="I47" s="11">
        <v>11</v>
      </c>
      <c r="J47" s="11">
        <v>104.2548</v>
      </c>
      <c r="K47" s="11">
        <f t="shared" si="2"/>
        <v>104.2548</v>
      </c>
      <c r="L47" s="11" t="s">
        <v>2</v>
      </c>
      <c r="M47" s="11">
        <v>12</v>
      </c>
      <c r="N47" s="11">
        <v>83.209490000000002</v>
      </c>
      <c r="O47" s="11">
        <f t="shared" si="3"/>
        <v>-200</v>
      </c>
      <c r="P47" s="11" t="s">
        <v>2</v>
      </c>
    </row>
    <row r="48" spans="1:16" x14ac:dyDescent="0.3">
      <c r="A48" s="11">
        <v>13</v>
      </c>
      <c r="B48" s="11">
        <v>92.347110000000001</v>
      </c>
      <c r="C48" s="11">
        <f t="shared" si="0"/>
        <v>92.347110000000001</v>
      </c>
      <c r="D48" s="11" t="s">
        <v>2</v>
      </c>
      <c r="E48" s="11">
        <v>13</v>
      </c>
      <c r="F48" s="11">
        <v>101.4117</v>
      </c>
      <c r="G48" s="11">
        <f t="shared" si="1"/>
        <v>-200</v>
      </c>
      <c r="H48" s="11" t="s">
        <v>2</v>
      </c>
      <c r="I48" s="11">
        <v>11.5</v>
      </c>
      <c r="J48" s="11">
        <v>101.30029999999999</v>
      </c>
      <c r="K48" s="11">
        <f t="shared" si="2"/>
        <v>101.30029999999999</v>
      </c>
      <c r="L48" s="11" t="s">
        <v>2</v>
      </c>
      <c r="M48" s="11">
        <v>12.5</v>
      </c>
      <c r="N48" s="11">
        <v>75.841999999999999</v>
      </c>
      <c r="O48" s="11">
        <f t="shared" si="3"/>
        <v>-200</v>
      </c>
      <c r="P48" s="11" t="s">
        <v>2</v>
      </c>
    </row>
    <row r="49" spans="1:16" x14ac:dyDescent="0.3">
      <c r="A49" s="11">
        <v>13.5</v>
      </c>
      <c r="B49" s="11">
        <v>90.70926</v>
      </c>
      <c r="C49" s="11">
        <f t="shared" si="0"/>
        <v>90.70926</v>
      </c>
      <c r="D49" s="11" t="s">
        <v>2</v>
      </c>
      <c r="E49" s="11">
        <v>13.5</v>
      </c>
      <c r="F49" s="11">
        <v>97.546580000000006</v>
      </c>
      <c r="G49" s="11">
        <f t="shared" si="1"/>
        <v>-200</v>
      </c>
      <c r="H49" s="11" t="s">
        <v>2</v>
      </c>
      <c r="I49" s="11">
        <v>12</v>
      </c>
      <c r="J49" s="11">
        <v>97.645240000000001</v>
      </c>
      <c r="K49" s="11">
        <f t="shared" si="2"/>
        <v>97.645240000000001</v>
      </c>
      <c r="L49" s="11" t="s">
        <v>2</v>
      </c>
      <c r="M49" s="11">
        <v>13</v>
      </c>
      <c r="N49" s="11">
        <v>68.764740000000003</v>
      </c>
      <c r="O49" s="11">
        <f t="shared" si="3"/>
        <v>-200</v>
      </c>
      <c r="P49" s="11" t="s">
        <v>2</v>
      </c>
    </row>
    <row r="50" spans="1:16" x14ac:dyDescent="0.3">
      <c r="A50" s="11">
        <v>14</v>
      </c>
      <c r="B50" s="11">
        <v>87.549430000000001</v>
      </c>
      <c r="C50" s="11">
        <f t="shared" si="0"/>
        <v>87.549430000000001</v>
      </c>
      <c r="D50" s="11" t="s">
        <v>2</v>
      </c>
      <c r="E50" s="11">
        <v>14</v>
      </c>
      <c r="F50" s="11">
        <v>93.813869999999994</v>
      </c>
      <c r="G50" s="11">
        <f t="shared" si="1"/>
        <v>-200</v>
      </c>
      <c r="H50" s="11" t="s">
        <v>2</v>
      </c>
      <c r="I50" s="11">
        <v>13</v>
      </c>
      <c r="J50" s="11">
        <v>94.099649999999997</v>
      </c>
      <c r="K50" s="11">
        <f t="shared" si="2"/>
        <v>94.099649999999997</v>
      </c>
      <c r="L50" s="11" t="s">
        <v>2</v>
      </c>
      <c r="M50" s="11">
        <v>13.5</v>
      </c>
      <c r="N50" s="11">
        <v>62.757399999999997</v>
      </c>
      <c r="O50" s="11">
        <f t="shared" si="3"/>
        <v>-200</v>
      </c>
      <c r="P50" s="11" t="s">
        <v>2</v>
      </c>
    </row>
    <row r="51" spans="1:16" x14ac:dyDescent="0.3">
      <c r="A51" s="11">
        <v>14.5</v>
      </c>
      <c r="B51" s="11">
        <v>83.095479999999995</v>
      </c>
      <c r="C51" s="11">
        <f t="shared" si="0"/>
        <v>83.095479999999995</v>
      </c>
      <c r="D51" s="11" t="s">
        <v>2</v>
      </c>
      <c r="E51" s="11">
        <v>14.5</v>
      </c>
      <c r="F51" s="11">
        <v>89.556550000000001</v>
      </c>
      <c r="G51" s="11">
        <f t="shared" si="1"/>
        <v>-200</v>
      </c>
      <c r="H51" s="11" t="s">
        <v>2</v>
      </c>
      <c r="I51" s="11">
        <v>13.5</v>
      </c>
      <c r="J51" s="11">
        <v>91.452690000000004</v>
      </c>
      <c r="K51" s="11">
        <f t="shared" si="2"/>
        <v>91.452690000000004</v>
      </c>
      <c r="L51" s="11" t="s">
        <v>2</v>
      </c>
      <c r="M51" s="11">
        <v>14</v>
      </c>
      <c r="N51" s="11">
        <v>57.15748</v>
      </c>
      <c r="O51" s="11">
        <f t="shared" si="3"/>
        <v>-200</v>
      </c>
      <c r="P51" s="11" t="s">
        <v>2</v>
      </c>
    </row>
    <row r="52" spans="1:16" x14ac:dyDescent="0.3">
      <c r="A52" s="11">
        <v>15</v>
      </c>
      <c r="B52" s="11">
        <v>78.467759999999998</v>
      </c>
      <c r="C52" s="11">
        <f t="shared" si="0"/>
        <v>78.467759999999998</v>
      </c>
      <c r="D52" s="11" t="s">
        <v>2</v>
      </c>
      <c r="E52" s="11">
        <v>15</v>
      </c>
      <c r="F52" s="11">
        <v>85.684049999999999</v>
      </c>
      <c r="G52" s="11">
        <f t="shared" si="1"/>
        <v>-200</v>
      </c>
      <c r="H52" s="11" t="s">
        <v>2</v>
      </c>
      <c r="I52" s="11">
        <v>13.550409999999999</v>
      </c>
      <c r="J52" s="11">
        <v>90.96114</v>
      </c>
      <c r="K52" s="11">
        <f t="shared" si="2"/>
        <v>90.96114</v>
      </c>
      <c r="L52" s="11" t="s">
        <v>2</v>
      </c>
      <c r="M52" s="11">
        <v>14.5</v>
      </c>
      <c r="N52" s="11">
        <v>51.930059999999997</v>
      </c>
      <c r="O52" s="11">
        <f t="shared" si="3"/>
        <v>-200</v>
      </c>
      <c r="P52" s="11" t="s">
        <v>2</v>
      </c>
    </row>
    <row r="53" spans="1:16" x14ac:dyDescent="0.3">
      <c r="A53" s="11">
        <v>15.5</v>
      </c>
      <c r="B53" s="11">
        <v>73.204120000000003</v>
      </c>
      <c r="C53" s="11">
        <f t="shared" si="0"/>
        <v>73.204120000000003</v>
      </c>
      <c r="D53" s="11" t="s">
        <v>2</v>
      </c>
      <c r="E53" s="11">
        <v>15.5</v>
      </c>
      <c r="F53" s="11">
        <v>80.017420000000001</v>
      </c>
      <c r="G53" s="11">
        <f t="shared" si="1"/>
        <v>-200</v>
      </c>
      <c r="H53" s="11" t="s">
        <v>2</v>
      </c>
      <c r="I53" s="11">
        <v>14</v>
      </c>
      <c r="J53" s="11">
        <v>87.675970000000007</v>
      </c>
      <c r="K53" s="11">
        <f t="shared" si="2"/>
        <v>87.675970000000007</v>
      </c>
      <c r="L53" s="11" t="s">
        <v>2</v>
      </c>
      <c r="M53" s="11">
        <v>14.94078</v>
      </c>
      <c r="N53" s="11">
        <v>47.22587</v>
      </c>
      <c r="O53" s="11">
        <f t="shared" si="3"/>
        <v>-200</v>
      </c>
      <c r="P53" s="11" t="s">
        <v>2</v>
      </c>
    </row>
    <row r="54" spans="1:16" x14ac:dyDescent="0.3">
      <c r="A54" s="11">
        <v>16</v>
      </c>
      <c r="B54" s="11">
        <v>67.021929999999998</v>
      </c>
      <c r="C54" s="11">
        <f t="shared" si="0"/>
        <v>67.021929999999998</v>
      </c>
      <c r="D54" s="11" t="s">
        <v>2</v>
      </c>
      <c r="E54" s="11">
        <v>16</v>
      </c>
      <c r="F54" s="11">
        <v>75.210999999999999</v>
      </c>
      <c r="G54" s="11">
        <f t="shared" si="1"/>
        <v>-200</v>
      </c>
      <c r="H54" s="11" t="s">
        <v>2</v>
      </c>
      <c r="I54" s="11">
        <v>14.5</v>
      </c>
      <c r="J54" s="11">
        <v>82.442329999999998</v>
      </c>
      <c r="K54" s="11">
        <f t="shared" si="2"/>
        <v>82.442329999999998</v>
      </c>
      <c r="L54" s="11" t="s">
        <v>2</v>
      </c>
      <c r="M54" s="11">
        <v>15</v>
      </c>
      <c r="N54" s="11">
        <v>47.115349999999999</v>
      </c>
      <c r="O54" s="11">
        <f t="shared" si="3"/>
        <v>-200</v>
      </c>
      <c r="P54" s="11" t="s">
        <v>2</v>
      </c>
    </row>
    <row r="55" spans="1:16" x14ac:dyDescent="0.3">
      <c r="A55" s="11">
        <v>16.5</v>
      </c>
      <c r="B55" s="11">
        <v>59.853160000000003</v>
      </c>
      <c r="C55" s="11">
        <f t="shared" si="0"/>
        <v>59.853160000000003</v>
      </c>
      <c r="D55" s="11" t="s">
        <v>2</v>
      </c>
      <c r="E55" s="11">
        <v>16.5</v>
      </c>
      <c r="F55" s="11">
        <v>68.816140000000004</v>
      </c>
      <c r="G55" s="11">
        <f t="shared" si="1"/>
        <v>-200</v>
      </c>
      <c r="H55" s="11" t="s">
        <v>2</v>
      </c>
      <c r="I55" s="11">
        <v>15</v>
      </c>
      <c r="J55" s="11">
        <v>76.323130000000006</v>
      </c>
      <c r="K55" s="11">
        <f t="shared" si="2"/>
        <v>76.323130000000006</v>
      </c>
      <c r="L55" s="11" t="s">
        <v>2</v>
      </c>
      <c r="M55" s="11">
        <v>15.5</v>
      </c>
      <c r="N55" s="11">
        <v>42.870530000000002</v>
      </c>
      <c r="O55" s="11">
        <f t="shared" si="3"/>
        <v>-200</v>
      </c>
      <c r="P55" s="11" t="s">
        <v>2</v>
      </c>
    </row>
    <row r="56" spans="1:16" x14ac:dyDescent="0.3">
      <c r="A56" s="11">
        <v>17</v>
      </c>
      <c r="B56" s="11">
        <v>51.7027</v>
      </c>
      <c r="C56" s="11">
        <f t="shared" si="0"/>
        <v>51.7027</v>
      </c>
      <c r="D56" s="11" t="s">
        <v>2</v>
      </c>
      <c r="E56" s="11">
        <v>17</v>
      </c>
      <c r="F56" s="11">
        <v>61.089239999999997</v>
      </c>
      <c r="G56" s="11">
        <f t="shared" si="1"/>
        <v>-200</v>
      </c>
      <c r="H56" s="11" t="s">
        <v>2</v>
      </c>
      <c r="I56" s="11">
        <v>15.5</v>
      </c>
      <c r="J56" s="11">
        <v>69.966290000000001</v>
      </c>
      <c r="K56" s="11">
        <f t="shared" si="2"/>
        <v>69.966290000000001</v>
      </c>
      <c r="L56" s="11" t="s">
        <v>2</v>
      </c>
      <c r="M56" s="11">
        <v>16</v>
      </c>
      <c r="N56" s="11">
        <v>39.033749999999998</v>
      </c>
      <c r="O56" s="11">
        <f t="shared" si="3"/>
        <v>-200</v>
      </c>
      <c r="P56" s="11" t="s">
        <v>2</v>
      </c>
    </row>
    <row r="57" spans="1:16" x14ac:dyDescent="0.3">
      <c r="A57" s="11">
        <v>17.5</v>
      </c>
      <c r="B57" s="11">
        <v>42.968760000000003</v>
      </c>
      <c r="C57" s="11">
        <f t="shared" si="0"/>
        <v>42.968760000000003</v>
      </c>
      <c r="D57" s="11" t="s">
        <v>2</v>
      </c>
      <c r="E57" s="11">
        <v>17.5</v>
      </c>
      <c r="F57" s="11">
        <v>54.348230000000001</v>
      </c>
      <c r="G57" s="11">
        <f t="shared" si="1"/>
        <v>-200</v>
      </c>
      <c r="H57" s="11" t="s">
        <v>2</v>
      </c>
      <c r="I57" s="11">
        <v>16</v>
      </c>
      <c r="J57" s="11">
        <v>63.28633</v>
      </c>
      <c r="K57" s="11">
        <f t="shared" si="2"/>
        <v>63.28633</v>
      </c>
      <c r="L57" s="11" t="s">
        <v>2</v>
      </c>
      <c r="M57" s="11">
        <v>16.5</v>
      </c>
      <c r="N57" s="11">
        <v>35.581710000000001</v>
      </c>
      <c r="O57" s="11">
        <f t="shared" si="3"/>
        <v>-200</v>
      </c>
      <c r="P57" s="11" t="s">
        <v>2</v>
      </c>
    </row>
    <row r="58" spans="1:16" x14ac:dyDescent="0.3">
      <c r="A58" s="11">
        <v>18</v>
      </c>
      <c r="B58" s="11">
        <v>34.340069999999997</v>
      </c>
      <c r="C58" s="11">
        <f t="shared" si="0"/>
        <v>34.340069999999997</v>
      </c>
      <c r="D58" s="11" t="s">
        <v>2</v>
      </c>
      <c r="E58" s="11">
        <v>18</v>
      </c>
      <c r="F58" s="11">
        <v>47.168430000000001</v>
      </c>
      <c r="G58" s="11">
        <f t="shared" si="1"/>
        <v>-200</v>
      </c>
      <c r="H58" s="11" t="s">
        <v>2</v>
      </c>
      <c r="I58" s="11">
        <v>16.10952</v>
      </c>
      <c r="J58" s="11">
        <v>61.301589999999997</v>
      </c>
      <c r="K58" s="11">
        <f t="shared" si="2"/>
        <v>61.301589999999997</v>
      </c>
      <c r="L58" s="11" t="s">
        <v>2</v>
      </c>
      <c r="M58" s="11">
        <v>17</v>
      </c>
      <c r="N58" s="11">
        <v>32.532209999999999</v>
      </c>
      <c r="O58" s="11">
        <f t="shared" si="3"/>
        <v>-200</v>
      </c>
      <c r="P58" s="11" t="s">
        <v>2</v>
      </c>
    </row>
    <row r="59" spans="1:16" x14ac:dyDescent="0.3">
      <c r="I59" s="11">
        <v>16.5</v>
      </c>
      <c r="J59" s="11">
        <v>56.252780000000001</v>
      </c>
      <c r="K59" s="11">
        <f t="shared" si="2"/>
        <v>56.252780000000001</v>
      </c>
      <c r="L59" s="11" t="s">
        <v>2</v>
      </c>
      <c r="M59" s="11">
        <v>17.5</v>
      </c>
      <c r="N59" s="11">
        <v>29.909320000000001</v>
      </c>
      <c r="O59" s="11">
        <f t="shared" si="3"/>
        <v>-200</v>
      </c>
      <c r="P59" s="11" t="s">
        <v>2</v>
      </c>
    </row>
    <row r="60" spans="1:16" x14ac:dyDescent="0.3">
      <c r="I60" s="11">
        <v>17</v>
      </c>
      <c r="J60" s="11">
        <v>48.922710000000002</v>
      </c>
      <c r="K60" s="11">
        <f t="shared" si="2"/>
        <v>48.922710000000002</v>
      </c>
      <c r="L60" s="11" t="s">
        <v>2</v>
      </c>
      <c r="M60" s="11">
        <v>18</v>
      </c>
      <c r="N60" s="11">
        <v>27.39105</v>
      </c>
      <c r="O60" s="11">
        <f t="shared" si="3"/>
        <v>-200</v>
      </c>
      <c r="P60" s="11" t="s">
        <v>2</v>
      </c>
    </row>
    <row r="61" spans="1:16" x14ac:dyDescent="0.3">
      <c r="I61" s="11">
        <v>17.5</v>
      </c>
      <c r="J61" s="11">
        <v>41.922629999999998</v>
      </c>
      <c r="K61" s="11">
        <f t="shared" si="2"/>
        <v>41.922629999999998</v>
      </c>
      <c r="L61" s="11" t="s">
        <v>2</v>
      </c>
    </row>
    <row r="62" spans="1:16" x14ac:dyDescent="0.3">
      <c r="I62" s="11">
        <v>18</v>
      </c>
      <c r="J62" s="11">
        <v>37.218020000000003</v>
      </c>
      <c r="K62" s="11">
        <f t="shared" si="2"/>
        <v>37.218020000000003</v>
      </c>
      <c r="L62" s="11" t="s">
        <v>2</v>
      </c>
    </row>
    <row r="63" spans="1:16" x14ac:dyDescent="0.3">
      <c r="L63" s="11" t="s">
        <v>2</v>
      </c>
    </row>
    <row r="64" spans="1:16" x14ac:dyDescent="0.3">
      <c r="L64" s="11" t="s">
        <v>2</v>
      </c>
    </row>
    <row r="65" spans="2:16" x14ac:dyDescent="0.3">
      <c r="L65" s="11" t="s">
        <v>2</v>
      </c>
    </row>
    <row r="66" spans="2:16" x14ac:dyDescent="0.3">
      <c r="L66" s="11" t="s">
        <v>2</v>
      </c>
    </row>
    <row r="67" spans="2:16" x14ac:dyDescent="0.3">
      <c r="L67" s="11" t="s">
        <v>2</v>
      </c>
    </row>
    <row r="68" spans="2:16" x14ac:dyDescent="0.3">
      <c r="B68" s="11" t="s">
        <v>2</v>
      </c>
      <c r="C68" s="11" t="str">
        <f t="shared" ref="C68:C76" si="4">IF($Q$2, B68, -200)</f>
        <v xml:space="preserve"> </v>
      </c>
      <c r="D68" s="11" t="s">
        <v>2</v>
      </c>
      <c r="L68" s="11" t="s">
        <v>2</v>
      </c>
      <c r="P68" s="11" t="s">
        <v>2</v>
      </c>
    </row>
    <row r="69" spans="2:16" x14ac:dyDescent="0.3">
      <c r="B69" s="11" t="s">
        <v>2</v>
      </c>
      <c r="C69" s="11" t="str">
        <f t="shared" si="4"/>
        <v xml:space="preserve"> </v>
      </c>
      <c r="D69" s="11" t="s">
        <v>2</v>
      </c>
      <c r="L69" s="11" t="s">
        <v>2</v>
      </c>
      <c r="P69" s="11" t="s">
        <v>2</v>
      </c>
    </row>
    <row r="70" spans="2:16" x14ac:dyDescent="0.3">
      <c r="B70" s="11" t="s">
        <v>2</v>
      </c>
      <c r="C70" s="11" t="str">
        <f t="shared" si="4"/>
        <v xml:space="preserve"> </v>
      </c>
      <c r="D70" s="11" t="s">
        <v>2</v>
      </c>
      <c r="L70" s="11" t="s">
        <v>2</v>
      </c>
      <c r="P70" s="11" t="s">
        <v>2</v>
      </c>
    </row>
    <row r="71" spans="2:16" x14ac:dyDescent="0.3">
      <c r="B71" s="11" t="s">
        <v>2</v>
      </c>
      <c r="C71" s="11" t="str">
        <f t="shared" si="4"/>
        <v xml:space="preserve"> </v>
      </c>
      <c r="D71" s="11" t="s">
        <v>2</v>
      </c>
      <c r="L71" s="11" t="s">
        <v>2</v>
      </c>
      <c r="P71" s="11" t="s">
        <v>2</v>
      </c>
    </row>
    <row r="72" spans="2:16" x14ac:dyDescent="0.3">
      <c r="B72" s="11" t="s">
        <v>2</v>
      </c>
      <c r="C72" s="11" t="str">
        <f t="shared" si="4"/>
        <v xml:space="preserve"> </v>
      </c>
      <c r="D72" s="11" t="s">
        <v>2</v>
      </c>
      <c r="L72" s="11" t="s">
        <v>2</v>
      </c>
      <c r="P72" s="11" t="s">
        <v>2</v>
      </c>
    </row>
    <row r="73" spans="2:16" x14ac:dyDescent="0.3">
      <c r="B73" s="11" t="s">
        <v>2</v>
      </c>
      <c r="C73" s="11" t="str">
        <f t="shared" si="4"/>
        <v xml:space="preserve"> </v>
      </c>
      <c r="D73" s="11" t="s">
        <v>2</v>
      </c>
      <c r="E73" s="11" t="s">
        <v>2</v>
      </c>
      <c r="F73" s="11" t="s">
        <v>2</v>
      </c>
      <c r="G73" s="11">
        <f t="shared" ref="G73:G76" si="5">IF($Q$4, F73, -200)</f>
        <v>-200</v>
      </c>
      <c r="H73" s="11" t="s">
        <v>2</v>
      </c>
      <c r="L73" s="11" t="s">
        <v>2</v>
      </c>
      <c r="P73" s="11" t="s">
        <v>2</v>
      </c>
    </row>
    <row r="74" spans="2:16" x14ac:dyDescent="0.3">
      <c r="B74" s="11" t="s">
        <v>2</v>
      </c>
      <c r="C74" s="11" t="str">
        <f t="shared" si="4"/>
        <v xml:space="preserve"> </v>
      </c>
      <c r="D74" s="11" t="s">
        <v>2</v>
      </c>
      <c r="E74" s="11" t="s">
        <v>2</v>
      </c>
      <c r="F74" s="11" t="s">
        <v>2</v>
      </c>
      <c r="G74" s="11">
        <f t="shared" si="5"/>
        <v>-200</v>
      </c>
      <c r="H74" s="11" t="s">
        <v>2</v>
      </c>
      <c r="L74" s="11" t="s">
        <v>2</v>
      </c>
      <c r="P74" s="11" t="s">
        <v>2</v>
      </c>
    </row>
    <row r="75" spans="2:16" x14ac:dyDescent="0.3">
      <c r="B75" s="11" t="s">
        <v>2</v>
      </c>
      <c r="C75" s="11" t="str">
        <f t="shared" si="4"/>
        <v xml:space="preserve"> </v>
      </c>
      <c r="D75" s="11" t="s">
        <v>2</v>
      </c>
      <c r="E75" s="11" t="s">
        <v>2</v>
      </c>
      <c r="F75" s="11" t="s">
        <v>2</v>
      </c>
      <c r="G75" s="11">
        <f t="shared" si="5"/>
        <v>-200</v>
      </c>
      <c r="H75" s="11" t="s">
        <v>2</v>
      </c>
      <c r="L75" s="11" t="s">
        <v>2</v>
      </c>
      <c r="P75" s="11" t="s">
        <v>2</v>
      </c>
    </row>
    <row r="76" spans="2:16" x14ac:dyDescent="0.3">
      <c r="B76" s="11" t="s">
        <v>2</v>
      </c>
      <c r="C76" s="11" t="str">
        <f t="shared" si="4"/>
        <v xml:space="preserve"> </v>
      </c>
      <c r="D76" s="11" t="s">
        <v>2</v>
      </c>
      <c r="E76" s="11" t="s">
        <v>2</v>
      </c>
      <c r="F76" s="11" t="s">
        <v>2</v>
      </c>
      <c r="G76" s="11">
        <f t="shared" si="5"/>
        <v>-200</v>
      </c>
      <c r="H76" s="11" t="s">
        <v>2</v>
      </c>
      <c r="L76" s="11" t="s">
        <v>2</v>
      </c>
      <c r="M76" s="11" t="s">
        <v>2</v>
      </c>
      <c r="N76" s="11" t="s">
        <v>2</v>
      </c>
      <c r="O76" s="11" t="s">
        <v>2</v>
      </c>
      <c r="P76" s="11" t="s">
        <v>2</v>
      </c>
    </row>
  </sheetData>
  <sheetProtection algorithmName="SHA-512" hashValue="sJ64wxXuIlPHzmounN5ACxDqxXUFT735tiGjJQ6un8ZZuzkZXG1pJRLSu2o1uEH5qgeP5+Fcj2xhrOp2pMfj2A==" saltValue="XB15+pHhaz6bHGsUWL/+Ug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C797E-27E5-4BFC-8505-A9133D9A38A5}">
  <sheetPr codeName="Sheet9"/>
  <dimension ref="N1:O4"/>
  <sheetViews>
    <sheetView showGridLines="0" showRowColHeaders="0" zoomScale="120" zoomScaleNormal="120" workbookViewId="0">
      <selection activeCell="A14" sqref="A14"/>
    </sheetView>
  </sheetViews>
  <sheetFormatPr defaultRowHeight="14.4" x14ac:dyDescent="0.3"/>
  <cols>
    <col min="13" max="13" width="8.21875" customWidth="1"/>
    <col min="14" max="14" width="7.6640625" customWidth="1"/>
    <col min="15" max="15" width="15.77734375" customWidth="1"/>
  </cols>
  <sheetData>
    <row r="1" spans="14:15" ht="11.4" customHeight="1" x14ac:dyDescent="0.3">
      <c r="O1" s="4"/>
    </row>
    <row r="2" spans="14:15" ht="90" customHeight="1" x14ac:dyDescent="0.3">
      <c r="N2" s="5"/>
      <c r="O2" s="7"/>
    </row>
    <row r="3" spans="14:15" ht="4.95" customHeight="1" x14ac:dyDescent="0.3">
      <c r="O3" s="6"/>
    </row>
    <row r="4" spans="14:15" ht="24" customHeight="1" x14ac:dyDescent="0.3">
      <c r="N4" s="5"/>
      <c r="O4" s="7"/>
    </row>
  </sheetData>
  <sheetProtection algorithmName="SHA-512" hashValue="YmK2Bjz1Zn2wHPgbHjB6w2s0fnXMSrmqkbMEjRJQMatlCVe3TO++JUUZ1J6P0DWKVwR0/+fOJtGvhVkvOb1bnA==" saltValue="HPQ33YRJHae4DrYdm1PtLA==" spinCount="100000"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3" name="Check Box 6">
              <controlPr defaultSize="0" autoFill="0" autoLine="0" autoPict="0">
                <anchor moveWithCells="1">
                  <from>
                    <xdr:col>14</xdr:col>
                    <xdr:colOff>91440</xdr:colOff>
                    <xdr:row>1</xdr:row>
                    <xdr:rowOff>91440</xdr:rowOff>
                  </from>
                  <to>
                    <xdr:col>14</xdr:col>
                    <xdr:colOff>914400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4" name="Check Box 7">
              <controlPr defaultSize="0" autoFill="0" autoLine="0" autoPict="0">
                <anchor moveWithCells="1">
                  <from>
                    <xdr:col>14</xdr:col>
                    <xdr:colOff>91440</xdr:colOff>
                    <xdr:row>1</xdr:row>
                    <xdr:rowOff>335280</xdr:rowOff>
                  </from>
                  <to>
                    <xdr:col>14</xdr:col>
                    <xdr:colOff>952500</xdr:colOff>
                    <xdr:row>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Check Box 8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579120</xdr:rowOff>
                  </from>
                  <to>
                    <xdr:col>14</xdr:col>
                    <xdr:colOff>975360</xdr:colOff>
                    <xdr:row>1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Check Box 9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822960</xdr:rowOff>
                  </from>
                  <to>
                    <xdr:col>14</xdr:col>
                    <xdr:colOff>982980</xdr:colOff>
                    <xdr:row>1</xdr:row>
                    <xdr:rowOff>1059180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Check Box 10">
              <controlPr defaultSize="0" autoFill="0" autoLine="0" autoPict="0" macro="[0]!liftdragratio_grid.ToggleGridlinesAndLabels">
                <anchor moveWithCells="1">
                  <from>
                    <xdr:col>14</xdr:col>
                    <xdr:colOff>99060</xdr:colOff>
                    <xdr:row>3</xdr:row>
                    <xdr:rowOff>38100</xdr:rowOff>
                  </from>
                  <to>
                    <xdr:col>14</xdr:col>
                    <xdr:colOff>967740</xdr:colOff>
                    <xdr:row>3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9B996-0B3A-4D32-9AFC-66CB015A8E79}">
  <sheetPr codeName="Sheet10"/>
  <dimension ref="A1:AJ200"/>
  <sheetViews>
    <sheetView topLeftCell="K2" zoomScale="70" zoomScaleNormal="70" workbookViewId="0">
      <selection activeCell="AI28" sqref="AI28"/>
    </sheetView>
  </sheetViews>
  <sheetFormatPr defaultRowHeight="14.4" x14ac:dyDescent="0.3"/>
  <cols>
    <col min="1" max="1" width="7.109375" style="11" bestFit="1" customWidth="1"/>
    <col min="2" max="2" width="15" style="11" bestFit="1" customWidth="1"/>
    <col min="3" max="3" width="9.88671875" style="11" customWidth="1"/>
    <col min="4" max="4" width="8.88671875" style="11"/>
    <col min="5" max="5" width="7.109375" style="11" bestFit="1" customWidth="1"/>
    <col min="6" max="6" width="15.77734375" style="11" customWidth="1"/>
    <col min="7" max="7" width="11.44140625" style="11" customWidth="1"/>
    <col min="8" max="9" width="8.88671875" style="11"/>
    <col min="10" max="10" width="7.109375" style="11" bestFit="1" customWidth="1"/>
    <col min="11" max="11" width="15.77734375" style="11" customWidth="1"/>
    <col min="12" max="12" width="12.5546875" style="11" customWidth="1"/>
    <col min="13" max="13" width="8.88671875" style="11"/>
    <col min="14" max="14" width="7.109375" style="11" bestFit="1" customWidth="1"/>
    <col min="15" max="15" width="15.77734375" style="11" customWidth="1"/>
    <col min="16" max="16" width="9.44140625" style="11" customWidth="1"/>
    <col min="17" max="18" width="8.88671875" style="11"/>
    <col min="19" max="19" width="11.5546875" style="11" bestFit="1" customWidth="1"/>
    <col min="20" max="20" width="15.77734375" style="11" customWidth="1"/>
    <col min="21" max="21" width="10.6640625" style="11" customWidth="1"/>
    <col min="22" max="22" width="8.88671875" style="11"/>
    <col min="23" max="23" width="11.5546875" style="11" bestFit="1" customWidth="1"/>
    <col min="24" max="24" width="15.77734375" style="11" customWidth="1"/>
    <col min="25" max="25" width="10.6640625" style="11" customWidth="1"/>
    <col min="26" max="27" width="8.88671875" style="11"/>
    <col min="28" max="28" width="11.5546875" style="11" bestFit="1" customWidth="1"/>
    <col min="29" max="29" width="15.77734375" style="11" customWidth="1"/>
    <col min="30" max="30" width="10.6640625" style="11" customWidth="1"/>
    <col min="31" max="31" width="8.88671875" style="11"/>
    <col min="32" max="32" width="11.5546875" style="11" bestFit="1" customWidth="1"/>
    <col min="33" max="33" width="15.77734375" style="11" customWidth="1"/>
    <col min="34" max="34" width="10" style="11" customWidth="1"/>
    <col min="35" max="16384" width="8.88671875" style="11"/>
  </cols>
  <sheetData>
    <row r="1" spans="1:36" ht="72.599999999999994" customHeight="1" x14ac:dyDescent="0.3">
      <c r="A1" s="14" t="s">
        <v>8</v>
      </c>
      <c r="B1" s="15" t="s">
        <v>9</v>
      </c>
      <c r="C1" s="15"/>
      <c r="D1" s="11" t="s">
        <v>2</v>
      </c>
      <c r="E1" s="14" t="s">
        <v>10</v>
      </c>
      <c r="F1" s="15" t="s">
        <v>11</v>
      </c>
      <c r="G1" s="15"/>
      <c r="H1" s="16"/>
      <c r="J1" s="14" t="s">
        <v>8</v>
      </c>
      <c r="K1" s="15" t="s">
        <v>12</v>
      </c>
      <c r="L1" s="15"/>
      <c r="M1" s="11" t="s">
        <v>2</v>
      </c>
      <c r="N1" s="14" t="s">
        <v>10</v>
      </c>
      <c r="O1" s="15" t="s">
        <v>13</v>
      </c>
      <c r="P1" s="15"/>
      <c r="S1" s="14" t="s">
        <v>8</v>
      </c>
      <c r="T1" s="15" t="s">
        <v>14</v>
      </c>
      <c r="U1" s="15"/>
      <c r="V1" s="11" t="s">
        <v>2</v>
      </c>
      <c r="W1" s="14" t="s">
        <v>10</v>
      </c>
      <c r="X1" s="15" t="s">
        <v>15</v>
      </c>
      <c r="Y1" s="15"/>
      <c r="AB1" s="14" t="s">
        <v>8</v>
      </c>
      <c r="AC1" s="15" t="s">
        <v>16</v>
      </c>
      <c r="AD1" s="15"/>
      <c r="AE1" s="11" t="s">
        <v>2</v>
      </c>
      <c r="AF1" s="14" t="s">
        <v>10</v>
      </c>
      <c r="AG1" s="15" t="s">
        <v>17</v>
      </c>
    </row>
    <row r="2" spans="1:36" x14ac:dyDescent="0.3">
      <c r="A2" s="17">
        <v>1</v>
      </c>
      <c r="B2" s="17">
        <v>0.21402270000000001</v>
      </c>
      <c r="C2" s="17">
        <f>IF($AJ$2, cp_data!B2, 2)</f>
        <v>0.21402270000000001</v>
      </c>
      <c r="D2" s="17" t="s">
        <v>2</v>
      </c>
      <c r="E2" s="17">
        <v>1</v>
      </c>
      <c r="F2" s="17">
        <v>0.41561999999999999</v>
      </c>
      <c r="G2" s="17">
        <f>IF($AJ$2, cp_data!F2, 2)</f>
        <v>0.41561999999999999</v>
      </c>
      <c r="H2" s="17"/>
      <c r="I2" s="17"/>
      <c r="J2" s="17">
        <v>1</v>
      </c>
      <c r="K2" s="17">
        <v>0.2157733</v>
      </c>
      <c r="L2" s="17">
        <f>IF($AJ$3, K2, 2)</f>
        <v>0.2157733</v>
      </c>
      <c r="M2" s="17" t="s">
        <v>2</v>
      </c>
      <c r="N2" s="17">
        <v>1</v>
      </c>
      <c r="O2" s="17">
        <v>0.41481669999999998</v>
      </c>
      <c r="P2" s="17">
        <f>IF($AJ$3, O2, 2)</f>
        <v>0.41481669999999998</v>
      </c>
      <c r="Q2" s="17"/>
      <c r="R2" s="17"/>
      <c r="S2" s="17">
        <v>1</v>
      </c>
      <c r="T2" s="17">
        <v>0.21598059999999999</v>
      </c>
      <c r="U2" s="17">
        <f>IF($AJ$4, T2, 2)</f>
        <v>2</v>
      </c>
      <c r="V2" s="17" t="s">
        <v>2</v>
      </c>
      <c r="W2" s="17">
        <v>1</v>
      </c>
      <c r="X2" s="17">
        <v>0.42589349999999998</v>
      </c>
      <c r="Y2" s="17">
        <f>IF($AJ$4, X2, 2)</f>
        <v>2</v>
      </c>
      <c r="Z2" s="17"/>
      <c r="AA2" s="17"/>
      <c r="AB2" s="17">
        <v>1</v>
      </c>
      <c r="AC2" s="17">
        <v>0.22845070000000001</v>
      </c>
      <c r="AD2" s="17">
        <f>IF($AJ$5, AC2, 2)</f>
        <v>2</v>
      </c>
      <c r="AE2" s="17" t="s">
        <v>2</v>
      </c>
      <c r="AF2" s="17">
        <v>1</v>
      </c>
      <c r="AG2" s="17">
        <v>0.24732419999999999</v>
      </c>
      <c r="AH2" s="17">
        <f>IF($AJ$5, AG2, 2)</f>
        <v>2</v>
      </c>
      <c r="AJ2" s="10" t="b">
        <v>1</v>
      </c>
    </row>
    <row r="3" spans="1:36" x14ac:dyDescent="0.3">
      <c r="A3" s="17">
        <v>0.99280060000000003</v>
      </c>
      <c r="B3" s="17">
        <v>0.19479260000000001</v>
      </c>
      <c r="C3" s="17">
        <f>IF($AJ$2, cp_data!B3, 2)</f>
        <v>0.19479260000000001</v>
      </c>
      <c r="D3" s="17" t="s">
        <v>2</v>
      </c>
      <c r="E3" s="17">
        <v>0.99280060000000003</v>
      </c>
      <c r="F3" s="17">
        <v>0.24097759999999999</v>
      </c>
      <c r="G3" s="17">
        <f>IF($AJ$2, cp_data!F3, 2)</f>
        <v>0.24097759999999999</v>
      </c>
      <c r="H3" s="17"/>
      <c r="I3" s="17"/>
      <c r="J3" s="17">
        <v>0.99280060000000003</v>
      </c>
      <c r="K3" s="17">
        <v>0.1897557</v>
      </c>
      <c r="L3" s="17">
        <f t="shared" ref="L3:L66" si="0">IF($AJ$3, K3, 2)</f>
        <v>0.1897557</v>
      </c>
      <c r="M3" s="17" t="s">
        <v>2</v>
      </c>
      <c r="N3" s="17">
        <v>0.99280060000000003</v>
      </c>
      <c r="O3" s="17">
        <v>0.22979749999999999</v>
      </c>
      <c r="P3" s="17">
        <f t="shared" ref="P3:P66" si="1">IF($AJ$3, O3, 2)</f>
        <v>0.22979749999999999</v>
      </c>
      <c r="Q3" s="17"/>
      <c r="R3" s="17"/>
      <c r="S3" s="17">
        <v>0.99747739999999996</v>
      </c>
      <c r="T3" s="17">
        <v>0.2104511</v>
      </c>
      <c r="U3" s="17">
        <f t="shared" ref="U3:U66" si="2">IF($AJ$4, T3, 2)</f>
        <v>2</v>
      </c>
      <c r="V3" s="17" t="s">
        <v>2</v>
      </c>
      <c r="W3" s="17">
        <v>0.99747739999999996</v>
      </c>
      <c r="X3" s="17">
        <v>0.30892009999999998</v>
      </c>
      <c r="Y3" s="17">
        <f t="shared" ref="Y3:Y66" si="3">IF($AJ$4, X3, 2)</f>
        <v>2</v>
      </c>
      <c r="Z3" s="17"/>
      <c r="AA3" s="17"/>
      <c r="AB3" s="17">
        <v>0.99611899999999998</v>
      </c>
      <c r="AC3" s="17">
        <v>0.2081404</v>
      </c>
      <c r="AD3" s="17">
        <f t="shared" ref="AD3:AD66" si="4">IF($AJ$5, AC3, 2)</f>
        <v>2</v>
      </c>
      <c r="AE3" s="17" t="s">
        <v>2</v>
      </c>
      <c r="AF3" s="17">
        <v>0.99611899999999998</v>
      </c>
      <c r="AG3" s="17">
        <v>0.19774810000000001</v>
      </c>
      <c r="AH3" s="17">
        <f t="shared" ref="AH3:AH66" si="5">IF($AJ$5, AG3, 2)</f>
        <v>2</v>
      </c>
      <c r="AJ3" s="10" t="b">
        <v>1</v>
      </c>
    </row>
    <row r="4" spans="1:36" x14ac:dyDescent="0.3">
      <c r="A4" s="17">
        <v>0.97988949999999997</v>
      </c>
      <c r="B4" s="17">
        <v>0.1586717</v>
      </c>
      <c r="C4" s="17">
        <f>IF($AJ$2, cp_data!B4, 2)</f>
        <v>0.1586717</v>
      </c>
      <c r="D4" s="17" t="s">
        <v>2</v>
      </c>
      <c r="E4" s="17">
        <v>0.97988949999999997</v>
      </c>
      <c r="F4" s="17">
        <v>0.17292370000000001</v>
      </c>
      <c r="G4" s="17">
        <f>IF($AJ$2, cp_data!F4, 2)</f>
        <v>0.17292370000000001</v>
      </c>
      <c r="H4" s="17"/>
      <c r="I4" s="17"/>
      <c r="J4" s="17">
        <v>0.97988949999999997</v>
      </c>
      <c r="K4" s="17">
        <v>0.14265130000000001</v>
      </c>
      <c r="L4" s="17">
        <f t="shared" si="0"/>
        <v>0.14265130000000001</v>
      </c>
      <c r="M4" s="17" t="s">
        <v>2</v>
      </c>
      <c r="N4" s="17">
        <v>0.97988949999999997</v>
      </c>
      <c r="O4" s="17">
        <v>0.15427099999999999</v>
      </c>
      <c r="P4" s="17">
        <f t="shared" si="1"/>
        <v>0.15427099999999999</v>
      </c>
      <c r="Q4" s="17"/>
      <c r="R4" s="17"/>
      <c r="S4" s="17">
        <v>0.99290849999999997</v>
      </c>
      <c r="T4" s="17">
        <v>0.1964823</v>
      </c>
      <c r="U4" s="17">
        <f t="shared" si="2"/>
        <v>2</v>
      </c>
      <c r="V4" s="17" t="s">
        <v>2</v>
      </c>
      <c r="W4" s="17">
        <v>0.99290849999999997</v>
      </c>
      <c r="X4" s="17">
        <v>0.25242369999999997</v>
      </c>
      <c r="Y4" s="17">
        <f t="shared" si="3"/>
        <v>2</v>
      </c>
      <c r="Z4" s="17"/>
      <c r="AA4" s="17"/>
      <c r="AB4" s="17">
        <v>0.99048099999999994</v>
      </c>
      <c r="AC4" s="17">
        <v>0.19459580000000001</v>
      </c>
      <c r="AD4" s="17">
        <f t="shared" si="4"/>
        <v>2</v>
      </c>
      <c r="AE4" s="17" t="s">
        <v>2</v>
      </c>
      <c r="AF4" s="17">
        <v>0.99048099999999994</v>
      </c>
      <c r="AG4" s="17">
        <v>0.18670300000000001</v>
      </c>
      <c r="AH4" s="17">
        <f t="shared" si="5"/>
        <v>2</v>
      </c>
      <c r="AJ4" s="10" t="b">
        <v>0</v>
      </c>
    </row>
    <row r="5" spans="1:36" x14ac:dyDescent="0.3">
      <c r="A5" s="17">
        <v>0.9635184</v>
      </c>
      <c r="B5" s="17">
        <v>0.1200647</v>
      </c>
      <c r="C5" s="17">
        <f>IF($AJ$2, cp_data!B5, 2)</f>
        <v>0.1200647</v>
      </c>
      <c r="D5" s="17" t="s">
        <v>2</v>
      </c>
      <c r="E5" s="17">
        <v>0.9635184</v>
      </c>
      <c r="F5" s="17">
        <v>0.1184726</v>
      </c>
      <c r="G5" s="17">
        <f>IF($AJ$2, cp_data!F5, 2)</f>
        <v>0.1184726</v>
      </c>
      <c r="H5" s="17"/>
      <c r="I5" s="17"/>
      <c r="J5" s="17">
        <v>0.9635184</v>
      </c>
      <c r="K5" s="17">
        <v>9.3659930000000002E-2</v>
      </c>
      <c r="L5" s="17">
        <f t="shared" si="0"/>
        <v>9.3659930000000002E-2</v>
      </c>
      <c r="M5" s="17" t="s">
        <v>2</v>
      </c>
      <c r="N5" s="17">
        <v>0.9635184</v>
      </c>
      <c r="O5" s="17">
        <v>9.1800709999999994E-2</v>
      </c>
      <c r="P5" s="17">
        <f t="shared" si="1"/>
        <v>9.1800709999999994E-2</v>
      </c>
      <c r="Q5" s="17"/>
      <c r="R5" s="17"/>
      <c r="S5" s="17">
        <v>0.98705209999999999</v>
      </c>
      <c r="T5" s="17">
        <v>0.1795223</v>
      </c>
      <c r="U5" s="17">
        <f t="shared" si="2"/>
        <v>2</v>
      </c>
      <c r="V5" s="17" t="s">
        <v>2</v>
      </c>
      <c r="W5" s="17">
        <v>0.98705209999999999</v>
      </c>
      <c r="X5" s="17">
        <v>0.20911730000000001</v>
      </c>
      <c r="Y5" s="17">
        <f t="shared" si="3"/>
        <v>2</v>
      </c>
      <c r="Z5" s="17"/>
      <c r="AA5" s="17"/>
      <c r="AB5" s="17">
        <v>0.98311099999999996</v>
      </c>
      <c r="AC5" s="17">
        <v>0.18083479999999999</v>
      </c>
      <c r="AD5" s="17">
        <f t="shared" si="4"/>
        <v>2</v>
      </c>
      <c r="AE5" s="17" t="s">
        <v>2</v>
      </c>
      <c r="AF5" s="17">
        <v>0.98311099999999996</v>
      </c>
      <c r="AG5" s="17">
        <v>0.17185130000000001</v>
      </c>
      <c r="AH5" s="17">
        <f t="shared" si="5"/>
        <v>2</v>
      </c>
      <c r="AJ5" s="10" t="b">
        <v>0</v>
      </c>
    </row>
    <row r="6" spans="1:36" x14ac:dyDescent="0.3">
      <c r="A6" s="17">
        <v>0.94454689999999997</v>
      </c>
      <c r="B6" s="17">
        <v>8.2495789999999999E-2</v>
      </c>
      <c r="C6" s="17">
        <f>IF($AJ$2, cp_data!B6, 2)</f>
        <v>8.2495789999999999E-2</v>
      </c>
      <c r="D6" s="17" t="s">
        <v>2</v>
      </c>
      <c r="E6" s="17">
        <v>0.94454689999999997</v>
      </c>
      <c r="F6" s="17">
        <v>7.5119539999999999E-2</v>
      </c>
      <c r="G6" s="17">
        <f>IF($AJ$2, cp_data!F6, 2)</f>
        <v>7.5119539999999999E-2</v>
      </c>
      <c r="H6" s="17"/>
      <c r="I6" s="17"/>
      <c r="J6" s="17">
        <v>0.94454689999999997</v>
      </c>
      <c r="K6" s="17">
        <v>4.7053539999999998E-2</v>
      </c>
      <c r="L6" s="17">
        <f t="shared" si="0"/>
        <v>4.7053539999999998E-2</v>
      </c>
      <c r="M6" s="17" t="s">
        <v>2</v>
      </c>
      <c r="N6" s="17">
        <v>0.94454689999999997</v>
      </c>
      <c r="O6" s="17">
        <v>4.1026319999999998E-2</v>
      </c>
      <c r="P6" s="17">
        <f t="shared" si="1"/>
        <v>4.1026319999999998E-2</v>
      </c>
      <c r="Q6" s="17"/>
      <c r="R6" s="17"/>
      <c r="S6" s="17">
        <v>0.98018839999999996</v>
      </c>
      <c r="T6" s="17">
        <v>0.16081709999999999</v>
      </c>
      <c r="U6" s="17">
        <f t="shared" si="2"/>
        <v>2</v>
      </c>
      <c r="V6" s="17" t="s">
        <v>2</v>
      </c>
      <c r="W6" s="17">
        <v>0.98018839999999996</v>
      </c>
      <c r="X6" s="17">
        <v>0.17490069999999999</v>
      </c>
      <c r="Y6" s="17">
        <f t="shared" si="3"/>
        <v>2</v>
      </c>
      <c r="Z6" s="17"/>
      <c r="AA6" s="17"/>
      <c r="AB6" s="17">
        <v>0.97403899999999999</v>
      </c>
      <c r="AC6" s="17">
        <v>0.167152</v>
      </c>
      <c r="AD6" s="17">
        <f t="shared" si="4"/>
        <v>2</v>
      </c>
      <c r="AE6" s="17" t="s">
        <v>2</v>
      </c>
      <c r="AF6" s="17">
        <v>0.97403899999999999</v>
      </c>
      <c r="AG6" s="17">
        <v>0.15885089999999999</v>
      </c>
      <c r="AH6" s="17">
        <f t="shared" si="5"/>
        <v>2</v>
      </c>
      <c r="AJ6" s="10" t="b">
        <v>0</v>
      </c>
    </row>
    <row r="7" spans="1:36" x14ac:dyDescent="0.3">
      <c r="A7" s="17">
        <v>0.92349979999999998</v>
      </c>
      <c r="B7" s="17">
        <v>4.7398330000000002E-2</v>
      </c>
      <c r="C7" s="17">
        <f>IF($AJ$2, cp_data!B7, 2)</f>
        <v>4.7398330000000002E-2</v>
      </c>
      <c r="D7" s="17" t="s">
        <v>2</v>
      </c>
      <c r="E7" s="17">
        <v>0.92349979999999998</v>
      </c>
      <c r="F7" s="17">
        <v>3.7799850000000003E-2</v>
      </c>
      <c r="G7" s="17">
        <f>IF($AJ$2, cp_data!F7, 2)</f>
        <v>3.7799850000000003E-2</v>
      </c>
      <c r="H7" s="17"/>
      <c r="I7" s="17"/>
      <c r="J7" s="17">
        <v>0.92349979999999998</v>
      </c>
      <c r="K7" s="17">
        <v>4.1668929999999996E-3</v>
      </c>
      <c r="L7" s="17">
        <f t="shared" si="0"/>
        <v>4.1668929999999996E-3</v>
      </c>
      <c r="M7" s="17" t="s">
        <v>2</v>
      </c>
      <c r="N7" s="17">
        <v>0.92349979999999998</v>
      </c>
      <c r="O7" s="17">
        <v>-3.3507350000000001E-3</v>
      </c>
      <c r="P7" s="17">
        <f t="shared" si="1"/>
        <v>-3.3507350000000001E-3</v>
      </c>
      <c r="Q7" s="17"/>
      <c r="R7" s="17"/>
      <c r="S7" s="17">
        <v>0.97248440000000003</v>
      </c>
      <c r="T7" s="17">
        <v>0.14140340000000001</v>
      </c>
      <c r="U7" s="17">
        <f t="shared" si="2"/>
        <v>2</v>
      </c>
      <c r="V7" s="17" t="s">
        <v>2</v>
      </c>
      <c r="W7" s="17">
        <v>0.97248440000000003</v>
      </c>
      <c r="X7" s="17">
        <v>0.14584659999999999</v>
      </c>
      <c r="Y7" s="17">
        <f t="shared" si="3"/>
        <v>2</v>
      </c>
      <c r="Z7" s="17"/>
      <c r="AA7" s="17"/>
      <c r="AB7" s="17">
        <v>0.96330000000000005</v>
      </c>
      <c r="AC7" s="17">
        <v>0.152978</v>
      </c>
      <c r="AD7" s="17">
        <f t="shared" si="4"/>
        <v>2</v>
      </c>
      <c r="AE7" s="17" t="s">
        <v>2</v>
      </c>
      <c r="AF7" s="17">
        <v>0.96330000000000005</v>
      </c>
      <c r="AG7" s="17">
        <v>0.14529010000000001</v>
      </c>
      <c r="AH7" s="17">
        <f t="shared" si="5"/>
        <v>2</v>
      </c>
    </row>
    <row r="8" spans="1:36" x14ac:dyDescent="0.3">
      <c r="A8" s="17">
        <v>0.90074949999999998</v>
      </c>
      <c r="B8" s="17">
        <v>1.490523E-2</v>
      </c>
      <c r="C8" s="17">
        <f>IF($AJ$2, cp_data!B8, 2)</f>
        <v>1.490523E-2</v>
      </c>
      <c r="D8" s="17" t="s">
        <v>2</v>
      </c>
      <c r="E8" s="17">
        <v>0.90074949999999998</v>
      </c>
      <c r="F8" s="17">
        <v>4.5799730000000002E-3</v>
      </c>
      <c r="G8" s="17">
        <f>IF($AJ$2, cp_data!F8, 2)</f>
        <v>4.5799730000000002E-3</v>
      </c>
      <c r="H8" s="17"/>
      <c r="I8" s="17"/>
      <c r="J8" s="17">
        <v>0.90074949999999998</v>
      </c>
      <c r="K8" s="17">
        <v>-3.5198239999999999E-2</v>
      </c>
      <c r="L8" s="17">
        <f t="shared" si="0"/>
        <v>-3.5198239999999999E-2</v>
      </c>
      <c r="M8" s="17" t="s">
        <v>2</v>
      </c>
      <c r="N8" s="17">
        <v>0.90074949999999998</v>
      </c>
      <c r="O8" s="17">
        <v>-4.3204270000000003E-2</v>
      </c>
      <c r="P8" s="17">
        <f t="shared" si="1"/>
        <v>-4.3204270000000003E-2</v>
      </c>
      <c r="Q8" s="17"/>
      <c r="R8" s="17"/>
      <c r="S8" s="17">
        <v>0.96405589999999997</v>
      </c>
      <c r="T8" s="17">
        <v>0.1218981</v>
      </c>
      <c r="U8" s="17">
        <f t="shared" si="2"/>
        <v>2</v>
      </c>
      <c r="V8" s="17" t="s">
        <v>2</v>
      </c>
      <c r="W8" s="17">
        <v>0.96405589999999997</v>
      </c>
      <c r="X8" s="17">
        <v>0.120349</v>
      </c>
      <c r="Y8" s="17">
        <f t="shared" si="3"/>
        <v>2</v>
      </c>
      <c r="Z8" s="17"/>
      <c r="AA8" s="17"/>
      <c r="AB8" s="17">
        <v>0.95093499999999997</v>
      </c>
      <c r="AC8" s="17">
        <v>0.1379688</v>
      </c>
      <c r="AD8" s="17">
        <f t="shared" si="4"/>
        <v>2</v>
      </c>
      <c r="AE8" s="17" t="s">
        <v>2</v>
      </c>
      <c r="AF8" s="17">
        <v>0.95093499999999997</v>
      </c>
      <c r="AG8" s="17">
        <v>0.1310617</v>
      </c>
      <c r="AH8" s="17">
        <f t="shared" si="5"/>
        <v>2</v>
      </c>
    </row>
    <row r="9" spans="1:36" x14ac:dyDescent="0.3">
      <c r="A9" s="17">
        <v>0.876583</v>
      </c>
      <c r="B9" s="17">
        <v>-1.5276420000000001E-2</v>
      </c>
      <c r="C9" s="17">
        <f>IF($AJ$2, cp_data!B9, 2)</f>
        <v>-1.5276420000000001E-2</v>
      </c>
      <c r="D9" s="17" t="s">
        <v>2</v>
      </c>
      <c r="E9" s="17">
        <v>0.876583</v>
      </c>
      <c r="F9" s="17">
        <v>-2.5771550000000001E-2</v>
      </c>
      <c r="G9" s="17">
        <f>IF($AJ$2, cp_data!F9, 2)</f>
        <v>-2.5771550000000001E-2</v>
      </c>
      <c r="H9" s="17"/>
      <c r="I9" s="17"/>
      <c r="J9" s="17">
        <v>0.876583</v>
      </c>
      <c r="K9" s="17">
        <v>-7.1580240000000003E-2</v>
      </c>
      <c r="L9" s="17">
        <f t="shared" si="0"/>
        <v>-7.1580240000000003E-2</v>
      </c>
      <c r="M9" s="17" t="s">
        <v>2</v>
      </c>
      <c r="N9" s="17">
        <v>0.876583</v>
      </c>
      <c r="O9" s="17">
        <v>-7.9758109999999993E-2</v>
      </c>
      <c r="P9" s="17">
        <f t="shared" si="1"/>
        <v>-7.9758109999999993E-2</v>
      </c>
      <c r="Q9" s="17"/>
      <c r="R9" s="17"/>
      <c r="S9" s="17">
        <v>0.95499020000000001</v>
      </c>
      <c r="T9" s="17">
        <v>0.1026952</v>
      </c>
      <c r="U9" s="17">
        <f t="shared" si="2"/>
        <v>2</v>
      </c>
      <c r="V9" s="17" t="s">
        <v>2</v>
      </c>
      <c r="W9" s="17">
        <v>0.95499020000000001</v>
      </c>
      <c r="X9" s="17">
        <v>9.7420090000000001E-2</v>
      </c>
      <c r="Y9" s="17">
        <f t="shared" si="3"/>
        <v>2</v>
      </c>
      <c r="Z9" s="17"/>
      <c r="AA9" s="17"/>
      <c r="AB9" s="17">
        <v>0.93699200000000005</v>
      </c>
      <c r="AC9" s="17">
        <v>0.1209571</v>
      </c>
      <c r="AD9" s="17">
        <f t="shared" si="4"/>
        <v>2</v>
      </c>
      <c r="AE9" s="17" t="s">
        <v>2</v>
      </c>
      <c r="AF9" s="17">
        <v>0.93699200000000005</v>
      </c>
      <c r="AG9" s="17">
        <v>0.1139235</v>
      </c>
      <c r="AH9" s="17">
        <f t="shared" si="5"/>
        <v>2</v>
      </c>
    </row>
    <row r="10" spans="1:36" x14ac:dyDescent="0.3">
      <c r="A10" s="17">
        <v>0.85123280000000001</v>
      </c>
      <c r="B10" s="17">
        <v>-4.3569530000000002E-2</v>
      </c>
      <c r="C10" s="17">
        <f>IF($AJ$2, cp_data!B10, 2)</f>
        <v>-4.3569530000000002E-2</v>
      </c>
      <c r="D10" s="17" t="s">
        <v>2</v>
      </c>
      <c r="E10" s="17">
        <v>0.85123280000000001</v>
      </c>
      <c r="F10" s="17">
        <v>-5.4049819999999998E-2</v>
      </c>
      <c r="G10" s="17">
        <f>IF($AJ$2, cp_data!F10, 2)</f>
        <v>-5.4049819999999998E-2</v>
      </c>
      <c r="H10" s="17"/>
      <c r="I10" s="17"/>
      <c r="J10" s="17">
        <v>0.85123280000000001</v>
      </c>
      <c r="K10" s="17">
        <v>-0.1055248</v>
      </c>
      <c r="L10" s="17">
        <f t="shared" si="0"/>
        <v>-0.1055248</v>
      </c>
      <c r="M10" s="17" t="s">
        <v>2</v>
      </c>
      <c r="N10" s="17">
        <v>0.85123280000000001</v>
      </c>
      <c r="O10" s="17">
        <v>-0.1137905</v>
      </c>
      <c r="P10" s="17">
        <f t="shared" si="1"/>
        <v>-0.1137905</v>
      </c>
      <c r="Q10" s="17"/>
      <c r="R10" s="17"/>
      <c r="S10" s="17">
        <v>0.94535659999999999</v>
      </c>
      <c r="T10" s="17">
        <v>8.4019880000000005E-2</v>
      </c>
      <c r="U10" s="17">
        <f t="shared" si="2"/>
        <v>2</v>
      </c>
      <c r="V10" s="17" t="s">
        <v>2</v>
      </c>
      <c r="W10" s="17">
        <v>0.94535659999999999</v>
      </c>
      <c r="X10" s="17">
        <v>7.6445070000000004E-2</v>
      </c>
      <c r="Y10" s="17">
        <f t="shared" si="3"/>
        <v>2</v>
      </c>
      <c r="Z10" s="17"/>
      <c r="AA10" s="17"/>
      <c r="AB10" s="17">
        <v>0.92152199999999995</v>
      </c>
      <c r="AC10" s="17">
        <v>0.1022979</v>
      </c>
      <c r="AD10" s="17">
        <f t="shared" si="4"/>
        <v>2</v>
      </c>
      <c r="AE10" s="17" t="s">
        <v>2</v>
      </c>
      <c r="AF10" s="17">
        <v>0.92152199999999995</v>
      </c>
      <c r="AG10" s="17">
        <v>9.5447920000000006E-2</v>
      </c>
      <c r="AH10" s="17">
        <f t="shared" si="5"/>
        <v>2</v>
      </c>
    </row>
    <row r="11" spans="1:36" x14ac:dyDescent="0.3">
      <c r="A11" s="17">
        <v>0.82489440000000003</v>
      </c>
      <c r="B11" s="17">
        <v>-7.0427039999999996E-2</v>
      </c>
      <c r="C11" s="17">
        <f>IF($AJ$2, cp_data!B11, 2)</f>
        <v>-7.0427039999999996E-2</v>
      </c>
      <c r="D11" s="17" t="s">
        <v>2</v>
      </c>
      <c r="E11" s="17">
        <v>0.82489440000000003</v>
      </c>
      <c r="F11" s="17">
        <v>-8.0825159999999993E-2</v>
      </c>
      <c r="G11" s="17">
        <f>IF($AJ$2, cp_data!F11, 2)</f>
        <v>-8.0825159999999993E-2</v>
      </c>
      <c r="H11" s="17"/>
      <c r="I11" s="17"/>
      <c r="J11" s="17">
        <v>0.82489440000000003</v>
      </c>
      <c r="K11" s="17">
        <v>-0.1374977</v>
      </c>
      <c r="L11" s="17">
        <f t="shared" si="0"/>
        <v>-0.1374977</v>
      </c>
      <c r="M11" s="17" t="s">
        <v>2</v>
      </c>
      <c r="N11" s="17">
        <v>0.82489440000000003</v>
      </c>
      <c r="O11" s="17">
        <v>-0.1458575</v>
      </c>
      <c r="P11" s="17">
        <f t="shared" si="1"/>
        <v>-0.1458575</v>
      </c>
      <c r="Q11" s="17"/>
      <c r="R11" s="17"/>
      <c r="S11" s="17">
        <v>0.93521240000000005</v>
      </c>
      <c r="T11" s="17">
        <v>6.5983020000000003E-2</v>
      </c>
      <c r="U11" s="17">
        <f t="shared" si="2"/>
        <v>2</v>
      </c>
      <c r="V11" s="17" t="s">
        <v>2</v>
      </c>
      <c r="W11" s="17">
        <v>0.93521240000000005</v>
      </c>
      <c r="X11" s="17">
        <v>5.7006870000000001E-2</v>
      </c>
      <c r="Y11" s="17">
        <f t="shared" si="3"/>
        <v>2</v>
      </c>
      <c r="Z11" s="17"/>
      <c r="AA11" s="17"/>
      <c r="AB11" s="17">
        <v>0.90458499999999997</v>
      </c>
      <c r="AC11" s="17">
        <v>8.0450400000000005E-2</v>
      </c>
      <c r="AD11" s="17">
        <f t="shared" si="4"/>
        <v>2</v>
      </c>
      <c r="AE11" s="17" t="s">
        <v>2</v>
      </c>
      <c r="AF11" s="17">
        <v>0.90458499999999997</v>
      </c>
      <c r="AG11" s="17">
        <v>7.2677080000000005E-2</v>
      </c>
      <c r="AH11" s="17">
        <f t="shared" si="5"/>
        <v>2</v>
      </c>
    </row>
    <row r="12" spans="1:36" x14ac:dyDescent="0.3">
      <c r="A12" s="17">
        <v>0.79773620000000001</v>
      </c>
      <c r="B12" s="17">
        <v>-9.6202739999999995E-2</v>
      </c>
      <c r="C12" s="17">
        <f>IF($AJ$2, cp_data!B12, 2)</f>
        <v>-9.6202739999999995E-2</v>
      </c>
      <c r="D12" s="17" t="s">
        <v>2</v>
      </c>
      <c r="E12" s="17">
        <v>0.79773620000000001</v>
      </c>
      <c r="F12" s="17">
        <v>-0.1065301</v>
      </c>
      <c r="G12" s="17">
        <f>IF($AJ$2, cp_data!F12, 2)</f>
        <v>-0.1065301</v>
      </c>
      <c r="H12" s="17"/>
      <c r="I12" s="17"/>
      <c r="J12" s="17">
        <v>0.79773620000000001</v>
      </c>
      <c r="K12" s="17">
        <v>-0.1678819</v>
      </c>
      <c r="L12" s="17">
        <f t="shared" si="0"/>
        <v>-0.1678819</v>
      </c>
      <c r="M12" s="17" t="s">
        <v>2</v>
      </c>
      <c r="N12" s="17">
        <v>0.79773620000000001</v>
      </c>
      <c r="O12" s="17">
        <v>-0.17637910000000001</v>
      </c>
      <c r="P12" s="17">
        <f t="shared" si="1"/>
        <v>-0.17637910000000001</v>
      </c>
      <c r="Q12" s="17"/>
      <c r="R12" s="17"/>
      <c r="S12" s="17">
        <v>0.92460629999999999</v>
      </c>
      <c r="T12" s="17">
        <v>4.8620690000000001E-2</v>
      </c>
      <c r="U12" s="17">
        <f t="shared" si="2"/>
        <v>2</v>
      </c>
      <c r="V12" s="17" t="s">
        <v>2</v>
      </c>
      <c r="W12" s="17">
        <v>0.92460629999999999</v>
      </c>
      <c r="X12" s="17">
        <v>3.8808670000000003E-2</v>
      </c>
      <c r="Y12" s="17">
        <f t="shared" si="3"/>
        <v>2</v>
      </c>
      <c r="Z12" s="17"/>
      <c r="AA12" s="17"/>
      <c r="AB12" s="17">
        <v>0.886239</v>
      </c>
      <c r="AC12" s="17">
        <v>5.671814E-2</v>
      </c>
      <c r="AD12" s="17">
        <f t="shared" si="4"/>
        <v>2</v>
      </c>
      <c r="AE12" s="17" t="s">
        <v>2</v>
      </c>
      <c r="AF12" s="17">
        <v>0.886239</v>
      </c>
      <c r="AG12" s="17">
        <v>4.8446169999999997E-2</v>
      </c>
      <c r="AH12" s="17">
        <f t="shared" si="5"/>
        <v>2</v>
      </c>
    </row>
    <row r="13" spans="1:36" x14ac:dyDescent="0.3">
      <c r="A13" s="17">
        <v>0.76990630000000004</v>
      </c>
      <c r="B13" s="17">
        <v>-0.12120209999999999</v>
      </c>
      <c r="C13" s="17">
        <f>IF($AJ$2, cp_data!B13, 2)</f>
        <v>-0.12120209999999999</v>
      </c>
      <c r="D13" s="17" t="s">
        <v>2</v>
      </c>
      <c r="E13" s="17">
        <v>0.76990630000000004</v>
      </c>
      <c r="F13" s="17">
        <v>-0.13150780000000001</v>
      </c>
      <c r="G13" s="17">
        <f>IF($AJ$2, cp_data!F13, 2)</f>
        <v>-0.13150780000000001</v>
      </c>
      <c r="H13" s="17"/>
      <c r="I13" s="17"/>
      <c r="J13" s="17">
        <v>0.76990630000000004</v>
      </c>
      <c r="K13" s="17">
        <v>-0.1969909</v>
      </c>
      <c r="L13" s="17">
        <f t="shared" si="0"/>
        <v>-0.1969909</v>
      </c>
      <c r="M13" s="17" t="s">
        <v>2</v>
      </c>
      <c r="N13" s="17">
        <v>0.76990630000000004</v>
      </c>
      <c r="O13" s="17">
        <v>-0.20568739999999999</v>
      </c>
      <c r="P13" s="17">
        <f t="shared" si="1"/>
        <v>-0.20568739999999999</v>
      </c>
      <c r="Q13" s="17"/>
      <c r="R13" s="17"/>
      <c r="S13" s="17">
        <v>0.91358019999999995</v>
      </c>
      <c r="T13" s="17">
        <v>3.192354E-2</v>
      </c>
      <c r="U13" s="17">
        <f t="shared" si="2"/>
        <v>2</v>
      </c>
      <c r="V13" s="17" t="s">
        <v>2</v>
      </c>
      <c r="W13" s="17">
        <v>0.91358019999999995</v>
      </c>
      <c r="X13" s="17">
        <v>2.1629969999999998E-2</v>
      </c>
      <c r="Y13" s="17">
        <f t="shared" si="3"/>
        <v>2</v>
      </c>
      <c r="Z13" s="17"/>
      <c r="AA13" s="17"/>
      <c r="AB13" s="17">
        <v>0.86654799999999998</v>
      </c>
      <c r="AC13" s="17">
        <v>3.0810649999999998E-2</v>
      </c>
      <c r="AD13" s="17">
        <f t="shared" si="4"/>
        <v>2</v>
      </c>
      <c r="AE13" s="17" t="s">
        <v>2</v>
      </c>
      <c r="AF13" s="17">
        <v>0.86654799999999998</v>
      </c>
      <c r="AG13" s="17">
        <v>2.206346E-2</v>
      </c>
      <c r="AH13" s="17">
        <f t="shared" si="5"/>
        <v>2</v>
      </c>
    </row>
    <row r="14" spans="1:36" x14ac:dyDescent="0.3">
      <c r="A14" s="17">
        <v>0.74153729999999995</v>
      </c>
      <c r="B14" s="17">
        <v>-0.14569660000000001</v>
      </c>
      <c r="C14" s="17">
        <f>IF($AJ$2, cp_data!B14, 2)</f>
        <v>-0.14569660000000001</v>
      </c>
      <c r="D14" s="17" t="s">
        <v>2</v>
      </c>
      <c r="E14" s="17">
        <v>0.74153729999999995</v>
      </c>
      <c r="F14" s="17">
        <v>-0.15603829999999999</v>
      </c>
      <c r="G14" s="17">
        <f>IF($AJ$2, cp_data!F14, 2)</f>
        <v>-0.15603829999999999</v>
      </c>
      <c r="H14" s="17"/>
      <c r="I14" s="17"/>
      <c r="J14" s="17">
        <v>0.74153729999999995</v>
      </c>
      <c r="K14" s="17">
        <v>-0.22508110000000001</v>
      </c>
      <c r="L14" s="17">
        <f t="shared" si="0"/>
        <v>-0.22508110000000001</v>
      </c>
      <c r="M14" s="17" t="s">
        <v>2</v>
      </c>
      <c r="N14" s="17">
        <v>0.74153729999999995</v>
      </c>
      <c r="O14" s="17">
        <v>-0.23405339999999999</v>
      </c>
      <c r="P14" s="17">
        <f t="shared" si="1"/>
        <v>-0.23405339999999999</v>
      </c>
      <c r="Q14" s="17"/>
      <c r="R14" s="17"/>
      <c r="S14" s="17">
        <v>0.90217119999999995</v>
      </c>
      <c r="T14" s="17">
        <v>1.5857019999999999E-2</v>
      </c>
      <c r="U14" s="17">
        <f t="shared" si="2"/>
        <v>2</v>
      </c>
      <c r="V14" s="17" t="s">
        <v>2</v>
      </c>
      <c r="W14" s="17">
        <v>0.90217119999999995</v>
      </c>
      <c r="X14" s="17">
        <v>5.3011890000000004E-3</v>
      </c>
      <c r="Y14" s="17">
        <f t="shared" si="3"/>
        <v>2</v>
      </c>
      <c r="Z14" s="17"/>
      <c r="AA14" s="17"/>
      <c r="AB14" s="17">
        <v>0.84558199999999994</v>
      </c>
      <c r="AC14" s="17">
        <v>2.4470770000000002E-3</v>
      </c>
      <c r="AD14" s="17">
        <f t="shared" si="4"/>
        <v>2</v>
      </c>
      <c r="AE14" s="17" t="s">
        <v>2</v>
      </c>
      <c r="AF14" s="17">
        <v>0.84558199999999994</v>
      </c>
      <c r="AG14" s="17">
        <v>-6.852332E-3</v>
      </c>
      <c r="AH14" s="17">
        <f t="shared" si="5"/>
        <v>2</v>
      </c>
    </row>
    <row r="15" spans="1:36" x14ac:dyDescent="0.3">
      <c r="A15" s="17">
        <v>0.71274870000000001</v>
      </c>
      <c r="B15" s="17">
        <v>-0.1699175</v>
      </c>
      <c r="C15" s="17">
        <f>IF($AJ$2, cp_data!B15, 2)</f>
        <v>-0.1699175</v>
      </c>
      <c r="D15" s="17" t="s">
        <v>2</v>
      </c>
      <c r="E15" s="17">
        <v>0.71274870000000001</v>
      </c>
      <c r="F15" s="17">
        <v>-0.18035490000000001</v>
      </c>
      <c r="G15" s="17">
        <f>IF($AJ$2, cp_data!F15, 2)</f>
        <v>-0.18035490000000001</v>
      </c>
      <c r="H15" s="17"/>
      <c r="I15" s="17"/>
      <c r="J15" s="17">
        <v>0.71274870000000001</v>
      </c>
      <c r="K15" s="17">
        <v>-0.25235730000000001</v>
      </c>
      <c r="L15" s="17">
        <f t="shared" si="0"/>
        <v>-0.25235730000000001</v>
      </c>
      <c r="M15" s="17" t="s">
        <v>2</v>
      </c>
      <c r="N15" s="17">
        <v>0.71274870000000001</v>
      </c>
      <c r="O15" s="17">
        <v>-0.26170270000000001</v>
      </c>
      <c r="P15" s="17">
        <f t="shared" si="1"/>
        <v>-0.26170270000000001</v>
      </c>
      <c r="Q15" s="17"/>
      <c r="R15" s="17"/>
      <c r="S15" s="17">
        <v>0.89041230000000005</v>
      </c>
      <c r="T15" s="17">
        <v>3.7268300000000001E-4</v>
      </c>
      <c r="U15" s="17">
        <f t="shared" si="2"/>
        <v>2</v>
      </c>
      <c r="V15" s="17" t="s">
        <v>2</v>
      </c>
      <c r="W15" s="17">
        <v>0.89041230000000005</v>
      </c>
      <c r="X15" s="17">
        <v>-1.031201E-2</v>
      </c>
      <c r="Y15" s="17">
        <f t="shared" si="3"/>
        <v>2</v>
      </c>
      <c r="Z15" s="17"/>
      <c r="AA15" s="17"/>
      <c r="AB15" s="17">
        <v>0.823411</v>
      </c>
      <c r="AC15" s="17">
        <v>-2.855715E-2</v>
      </c>
      <c r="AD15" s="17">
        <f t="shared" si="4"/>
        <v>2</v>
      </c>
      <c r="AE15" s="17" t="s">
        <v>2</v>
      </c>
      <c r="AF15" s="17">
        <v>0.823411</v>
      </c>
      <c r="AG15" s="17">
        <v>-3.849139E-2</v>
      </c>
      <c r="AH15" s="17">
        <f t="shared" si="5"/>
        <v>2</v>
      </c>
    </row>
    <row r="16" spans="1:36" x14ac:dyDescent="0.3">
      <c r="A16" s="17">
        <v>0.68364999999999998</v>
      </c>
      <c r="B16" s="17">
        <v>-0.19406000000000001</v>
      </c>
      <c r="C16" s="17">
        <f>IF($AJ$2, cp_data!B16, 2)</f>
        <v>-0.19406000000000001</v>
      </c>
      <c r="D16" s="17" t="s">
        <v>2</v>
      </c>
      <c r="E16" s="17">
        <v>0.68364999999999998</v>
      </c>
      <c r="F16" s="17">
        <v>-0.20465330000000001</v>
      </c>
      <c r="G16" s="17">
        <f>IF($AJ$2, cp_data!F16, 2)</f>
        <v>-0.20465330000000001</v>
      </c>
      <c r="H16" s="17"/>
      <c r="I16" s="17"/>
      <c r="J16" s="17">
        <v>0.68364999999999998</v>
      </c>
      <c r="K16" s="17">
        <v>-0.27897559999999999</v>
      </c>
      <c r="L16" s="17">
        <f t="shared" si="0"/>
        <v>-0.27897559999999999</v>
      </c>
      <c r="M16" s="17" t="s">
        <v>2</v>
      </c>
      <c r="N16" s="17">
        <v>0.68364999999999998</v>
      </c>
      <c r="O16" s="17">
        <v>-0.28882540000000001</v>
      </c>
      <c r="P16" s="17">
        <f t="shared" si="1"/>
        <v>-0.28882540000000001</v>
      </c>
      <c r="Q16" s="17"/>
      <c r="R16" s="17"/>
      <c r="S16" s="17">
        <v>0.87833309999999998</v>
      </c>
      <c r="T16" s="17">
        <v>-1.458684E-2</v>
      </c>
      <c r="U16" s="17">
        <f t="shared" si="2"/>
        <v>2</v>
      </c>
      <c r="V16" s="17" t="s">
        <v>2</v>
      </c>
      <c r="W16" s="17">
        <v>0.87833309999999998</v>
      </c>
      <c r="X16" s="17">
        <v>-2.5318779999999999E-2</v>
      </c>
      <c r="Y16" s="17">
        <f t="shared" si="3"/>
        <v>2</v>
      </c>
      <c r="Z16" s="17"/>
      <c r="AA16" s="17"/>
      <c r="AB16" s="17">
        <v>0.80011100000000002</v>
      </c>
      <c r="AC16" s="17">
        <v>-6.2086639999999998E-2</v>
      </c>
      <c r="AD16" s="17">
        <f t="shared" si="4"/>
        <v>2</v>
      </c>
      <c r="AE16" s="17" t="s">
        <v>2</v>
      </c>
      <c r="AF16" s="17">
        <v>0.80011100000000002</v>
      </c>
      <c r="AG16" s="17">
        <v>-7.2562849999999998E-2</v>
      </c>
      <c r="AH16" s="17">
        <f t="shared" si="5"/>
        <v>2</v>
      </c>
    </row>
    <row r="17" spans="1:34" x14ac:dyDescent="0.3">
      <c r="A17" s="17">
        <v>0.65434190000000003</v>
      </c>
      <c r="B17" s="17">
        <v>-0.21828919999999999</v>
      </c>
      <c r="C17" s="17">
        <f>IF($AJ$2, cp_data!B17, 2)</f>
        <v>-0.21828919999999999</v>
      </c>
      <c r="D17" s="17" t="s">
        <v>2</v>
      </c>
      <c r="E17" s="17">
        <v>0.65434190000000003</v>
      </c>
      <c r="F17" s="17">
        <v>-0.22909850000000001</v>
      </c>
      <c r="G17" s="17">
        <f>IF($AJ$2, cp_data!F17, 2)</f>
        <v>-0.22909850000000001</v>
      </c>
      <c r="H17" s="17"/>
      <c r="I17" s="17"/>
      <c r="J17" s="17">
        <v>0.65434190000000003</v>
      </c>
      <c r="K17" s="17">
        <v>-0.3050466</v>
      </c>
      <c r="L17" s="17">
        <f t="shared" si="0"/>
        <v>-0.3050466</v>
      </c>
      <c r="M17" s="17" t="s">
        <v>2</v>
      </c>
      <c r="N17" s="17">
        <v>0.65434190000000003</v>
      </c>
      <c r="O17" s="17">
        <v>-0.315583</v>
      </c>
      <c r="P17" s="17">
        <f t="shared" si="1"/>
        <v>-0.315583</v>
      </c>
      <c r="Q17" s="17"/>
      <c r="R17" s="17"/>
      <c r="S17" s="17">
        <v>0.86596090000000003</v>
      </c>
      <c r="T17" s="17">
        <v>-2.9080080000000001E-2</v>
      </c>
      <c r="U17" s="17">
        <f t="shared" si="2"/>
        <v>2</v>
      </c>
      <c r="V17" s="17" t="s">
        <v>2</v>
      </c>
      <c r="W17" s="17">
        <v>0.86596090000000003</v>
      </c>
      <c r="X17" s="17">
        <v>-3.980976E-2</v>
      </c>
      <c r="Y17" s="17">
        <f t="shared" si="3"/>
        <v>2</v>
      </c>
      <c r="Z17" s="17"/>
      <c r="AA17" s="17"/>
      <c r="AB17" s="17">
        <v>0.77575799999999995</v>
      </c>
      <c r="AC17" s="17">
        <v>-9.9817080000000002E-2</v>
      </c>
      <c r="AD17" s="17">
        <f t="shared" si="4"/>
        <v>2</v>
      </c>
      <c r="AE17" s="17" t="s">
        <v>2</v>
      </c>
      <c r="AF17" s="17">
        <v>0.77575799999999995</v>
      </c>
      <c r="AG17" s="17">
        <v>-0.1115805</v>
      </c>
      <c r="AH17" s="17">
        <f t="shared" si="5"/>
        <v>2</v>
      </c>
    </row>
    <row r="18" spans="1:34" x14ac:dyDescent="0.3">
      <c r="A18" s="17">
        <v>0.62491819999999998</v>
      </c>
      <c r="B18" s="17">
        <v>-0.24274370000000001</v>
      </c>
      <c r="C18" s="17">
        <f>IF($AJ$2, cp_data!B18, 2)</f>
        <v>-0.24274370000000001</v>
      </c>
      <c r="D18" s="17" t="s">
        <v>2</v>
      </c>
      <c r="E18" s="17">
        <v>0.62491819999999998</v>
      </c>
      <c r="F18" s="17">
        <v>-0.25382900000000003</v>
      </c>
      <c r="G18" s="17">
        <f>IF($AJ$2, cp_data!F18, 2)</f>
        <v>-0.25382900000000003</v>
      </c>
      <c r="H18" s="17"/>
      <c r="I18" s="17"/>
      <c r="J18" s="17">
        <v>0.62491819999999998</v>
      </c>
      <c r="K18" s="17">
        <v>-0.33061760000000001</v>
      </c>
      <c r="L18" s="17">
        <f t="shared" si="0"/>
        <v>-0.33061760000000001</v>
      </c>
      <c r="M18" s="17" t="s">
        <v>2</v>
      </c>
      <c r="N18" s="17">
        <v>0.62491819999999998</v>
      </c>
      <c r="O18" s="17">
        <v>-0.34211370000000002</v>
      </c>
      <c r="P18" s="17">
        <f t="shared" si="1"/>
        <v>-0.34211370000000002</v>
      </c>
      <c r="Q18" s="17"/>
      <c r="R18" s="17"/>
      <c r="S18" s="17">
        <v>0.85332050000000004</v>
      </c>
      <c r="T18" s="17">
        <v>-4.3160490000000003E-2</v>
      </c>
      <c r="U18" s="17">
        <f t="shared" si="2"/>
        <v>2</v>
      </c>
      <c r="V18" s="17" t="s">
        <v>2</v>
      </c>
      <c r="W18" s="17">
        <v>0.85332050000000004</v>
      </c>
      <c r="X18" s="17">
        <v>-5.3861689999999997E-2</v>
      </c>
      <c r="Y18" s="17">
        <f t="shared" si="3"/>
        <v>2</v>
      </c>
      <c r="Z18" s="17"/>
      <c r="AA18" s="17"/>
      <c r="AB18" s="17">
        <v>0.75042600000000004</v>
      </c>
      <c r="AC18" s="17">
        <v>-0.13800180000000001</v>
      </c>
      <c r="AD18" s="17">
        <f t="shared" si="4"/>
        <v>2</v>
      </c>
      <c r="AE18" s="17" t="s">
        <v>2</v>
      </c>
      <c r="AF18" s="17">
        <v>0.75042600000000004</v>
      </c>
      <c r="AG18" s="17">
        <v>-0.15024940000000001</v>
      </c>
      <c r="AH18" s="17">
        <f t="shared" si="5"/>
        <v>2</v>
      </c>
    </row>
    <row r="19" spans="1:34" x14ac:dyDescent="0.3">
      <c r="A19" s="17">
        <v>0.5954661</v>
      </c>
      <c r="B19" s="17">
        <v>-0.26753850000000001</v>
      </c>
      <c r="C19" s="17">
        <f>IF($AJ$2, cp_data!B19, 2)</f>
        <v>-0.26753850000000001</v>
      </c>
      <c r="D19" s="17" t="s">
        <v>2</v>
      </c>
      <c r="E19" s="17">
        <v>0.5954661</v>
      </c>
      <c r="F19" s="17">
        <v>-0.27895959999999997</v>
      </c>
      <c r="G19" s="17">
        <f>IF($AJ$2, cp_data!F19, 2)</f>
        <v>-0.27895959999999997</v>
      </c>
      <c r="H19" s="17"/>
      <c r="I19" s="17"/>
      <c r="J19" s="17">
        <v>0.5954661</v>
      </c>
      <c r="K19" s="17">
        <v>-0.35562450000000001</v>
      </c>
      <c r="L19" s="17">
        <f t="shared" si="0"/>
        <v>-0.35562450000000001</v>
      </c>
      <c r="M19" s="17" t="s">
        <v>2</v>
      </c>
      <c r="N19" s="17">
        <v>0.5954661</v>
      </c>
      <c r="O19" s="17">
        <v>-0.36853829999999999</v>
      </c>
      <c r="P19" s="17">
        <f t="shared" si="1"/>
        <v>-0.36853829999999999</v>
      </c>
      <c r="Q19" s="17"/>
      <c r="R19" s="17"/>
      <c r="S19" s="17">
        <v>0.84043469999999998</v>
      </c>
      <c r="T19" s="17">
        <v>-5.6878079999999998E-2</v>
      </c>
      <c r="U19" s="17">
        <f t="shared" si="2"/>
        <v>2</v>
      </c>
      <c r="V19" s="17" t="s">
        <v>2</v>
      </c>
      <c r="W19" s="17">
        <v>0.84043469999999998</v>
      </c>
      <c r="X19" s="17">
        <v>-6.7540569999999994E-2</v>
      </c>
      <c r="Y19" s="17">
        <f t="shared" si="3"/>
        <v>2</v>
      </c>
      <c r="Z19" s="17"/>
      <c r="AA19" s="17"/>
      <c r="AB19" s="17">
        <v>0.72419800000000001</v>
      </c>
      <c r="AC19" s="17">
        <v>-0.18000749999999999</v>
      </c>
      <c r="AD19" s="17">
        <f t="shared" si="4"/>
        <v>2</v>
      </c>
      <c r="AE19" s="17" t="s">
        <v>2</v>
      </c>
      <c r="AF19" s="17">
        <v>0.72419800000000001</v>
      </c>
      <c r="AG19" s="17">
        <v>-0.1935007</v>
      </c>
      <c r="AH19" s="17">
        <f t="shared" si="5"/>
        <v>2</v>
      </c>
    </row>
    <row r="20" spans="1:34" x14ac:dyDescent="0.3">
      <c r="A20" s="17">
        <v>0.56606769999999995</v>
      </c>
      <c r="B20" s="17">
        <v>-0.2927669</v>
      </c>
      <c r="C20" s="17">
        <f>IF($AJ$2, cp_data!B20, 2)</f>
        <v>-0.2927669</v>
      </c>
      <c r="D20" s="17" t="s">
        <v>2</v>
      </c>
      <c r="E20" s="17">
        <v>0.56606769999999995</v>
      </c>
      <c r="F20" s="17">
        <v>-0.30458439999999998</v>
      </c>
      <c r="G20" s="17">
        <f>IF($AJ$2, cp_data!F20, 2)</f>
        <v>-0.30458439999999998</v>
      </c>
      <c r="H20" s="17"/>
      <c r="I20" s="17"/>
      <c r="J20" s="17">
        <v>0.56606769999999995</v>
      </c>
      <c r="K20" s="17">
        <v>-0.37980639999999999</v>
      </c>
      <c r="L20" s="17">
        <f t="shared" si="0"/>
        <v>-0.37980639999999999</v>
      </c>
      <c r="M20" s="17" t="s">
        <v>2</v>
      </c>
      <c r="N20" s="17">
        <v>0.56606769999999995</v>
      </c>
      <c r="O20" s="17">
        <v>-0.39496609999999999</v>
      </c>
      <c r="P20" s="17">
        <f t="shared" si="1"/>
        <v>-0.39496609999999999</v>
      </c>
      <c r="Q20" s="17"/>
      <c r="R20" s="17"/>
      <c r="S20" s="17">
        <v>0.82732499999999998</v>
      </c>
      <c r="T20" s="17">
        <v>-7.0280750000000003E-2</v>
      </c>
      <c r="U20" s="17">
        <f t="shared" si="2"/>
        <v>2</v>
      </c>
      <c r="V20" s="17" t="s">
        <v>2</v>
      </c>
      <c r="W20" s="17">
        <v>0.82732499999999998</v>
      </c>
      <c r="X20" s="17">
        <v>-8.0904019999999993E-2</v>
      </c>
      <c r="Y20" s="17">
        <f t="shared" si="3"/>
        <v>2</v>
      </c>
      <c r="Z20" s="17"/>
      <c r="AA20" s="17"/>
      <c r="AB20" s="17">
        <v>0.69715499999999997</v>
      </c>
      <c r="AC20" s="17">
        <v>-0.2219805</v>
      </c>
      <c r="AD20" s="17">
        <f t="shared" si="4"/>
        <v>2</v>
      </c>
      <c r="AE20" s="17" t="s">
        <v>2</v>
      </c>
      <c r="AF20" s="17">
        <v>0.69715499999999997</v>
      </c>
      <c r="AG20" s="17">
        <v>-0.23625170000000001</v>
      </c>
      <c r="AH20" s="17">
        <f t="shared" si="5"/>
        <v>2</v>
      </c>
    </row>
    <row r="21" spans="1:34" x14ac:dyDescent="0.3">
      <c r="A21" s="17">
        <v>0.53680050000000001</v>
      </c>
      <c r="B21" s="17">
        <v>-0.31850289999999998</v>
      </c>
      <c r="C21" s="17">
        <f>IF($AJ$2, cp_data!B21, 2)</f>
        <v>-0.31850289999999998</v>
      </c>
      <c r="D21" s="17" t="s">
        <v>2</v>
      </c>
      <c r="E21" s="17">
        <v>0.53680050000000001</v>
      </c>
      <c r="F21" s="17">
        <v>-0.33077869999999998</v>
      </c>
      <c r="G21" s="17">
        <f>IF($AJ$2, cp_data!F21, 2)</f>
        <v>-0.33077869999999998</v>
      </c>
      <c r="H21" s="17"/>
      <c r="I21" s="17"/>
      <c r="J21" s="17">
        <v>0.53680050000000001</v>
      </c>
      <c r="K21" s="17">
        <v>-0.40264840000000002</v>
      </c>
      <c r="L21" s="17">
        <f t="shared" si="0"/>
        <v>-0.40264840000000002</v>
      </c>
      <c r="M21" s="17" t="s">
        <v>2</v>
      </c>
      <c r="N21" s="17">
        <v>0.53680050000000001</v>
      </c>
      <c r="O21" s="17">
        <v>-0.42150409999999999</v>
      </c>
      <c r="P21" s="17">
        <f t="shared" si="1"/>
        <v>-0.42150409999999999</v>
      </c>
      <c r="Q21" s="17"/>
      <c r="R21" s="17"/>
      <c r="S21" s="17">
        <v>0.81401129999999999</v>
      </c>
      <c r="T21" s="17">
        <v>-8.3413509999999996E-2</v>
      </c>
      <c r="U21" s="17">
        <f t="shared" si="2"/>
        <v>2</v>
      </c>
      <c r="V21" s="17" t="s">
        <v>2</v>
      </c>
      <c r="W21" s="17">
        <v>0.81401129999999999</v>
      </c>
      <c r="X21" s="17">
        <v>-9.4002920000000004E-2</v>
      </c>
      <c r="Y21" s="17">
        <f t="shared" si="3"/>
        <v>2</v>
      </c>
      <c r="Z21" s="17"/>
      <c r="AA21" s="17"/>
      <c r="AB21" s="17">
        <v>0.66938399999999998</v>
      </c>
      <c r="AC21" s="17">
        <v>-0.26663890000000001</v>
      </c>
      <c r="AD21" s="17">
        <f t="shared" si="4"/>
        <v>2</v>
      </c>
      <c r="AE21" s="17" t="s">
        <v>2</v>
      </c>
      <c r="AF21" s="17">
        <v>0.66938399999999998</v>
      </c>
      <c r="AG21" s="17">
        <v>-0.28228930000000002</v>
      </c>
      <c r="AH21" s="17">
        <f t="shared" si="5"/>
        <v>2</v>
      </c>
    </row>
    <row r="22" spans="1:34" x14ac:dyDescent="0.3">
      <c r="A22" s="17">
        <v>0.50773780000000002</v>
      </c>
      <c r="B22" s="17">
        <v>-0.3448022</v>
      </c>
      <c r="C22" s="17">
        <f>IF($AJ$2, cp_data!B22, 2)</f>
        <v>-0.3448022</v>
      </c>
      <c r="D22" s="17" t="s">
        <v>2</v>
      </c>
      <c r="E22" s="17">
        <v>0.50773780000000002</v>
      </c>
      <c r="F22" s="17">
        <v>-0.3576008</v>
      </c>
      <c r="G22" s="17">
        <f>IF($AJ$2, cp_data!F22, 2)</f>
        <v>-0.3576008</v>
      </c>
      <c r="H22" s="17"/>
      <c r="I22" s="17"/>
      <c r="J22" s="17">
        <v>0.50773780000000002</v>
      </c>
      <c r="K22" s="17">
        <v>-0.42400500000000002</v>
      </c>
      <c r="L22" s="17">
        <f t="shared" si="0"/>
        <v>-0.42400500000000002</v>
      </c>
      <c r="M22" s="17" t="s">
        <v>2</v>
      </c>
      <c r="N22" s="17">
        <v>0.50773780000000002</v>
      </c>
      <c r="O22" s="17">
        <v>-0.4482759</v>
      </c>
      <c r="P22" s="17">
        <f t="shared" si="1"/>
        <v>-0.4482759</v>
      </c>
      <c r="Q22" s="17"/>
      <c r="R22" s="17"/>
      <c r="S22" s="17">
        <v>0.80051220000000001</v>
      </c>
      <c r="T22" s="17">
        <v>-9.6318039999999994E-2</v>
      </c>
      <c r="U22" s="17">
        <f t="shared" si="2"/>
        <v>2</v>
      </c>
      <c r="V22" s="17" t="s">
        <v>2</v>
      </c>
      <c r="W22" s="17">
        <v>0.80051220000000001</v>
      </c>
      <c r="X22" s="17">
        <v>-0.1068827</v>
      </c>
      <c r="Y22" s="17">
        <f t="shared" si="3"/>
        <v>2</v>
      </c>
      <c r="Z22" s="17"/>
      <c r="AA22" s="17"/>
      <c r="AB22" s="17">
        <v>0.64097000000000004</v>
      </c>
      <c r="AC22" s="17">
        <v>-0.31214209999999998</v>
      </c>
      <c r="AD22" s="17">
        <f t="shared" si="4"/>
        <v>2</v>
      </c>
      <c r="AE22" s="17" t="s">
        <v>2</v>
      </c>
      <c r="AF22" s="17">
        <v>0.64097000000000004</v>
      </c>
      <c r="AG22" s="17">
        <v>-0.32957229999999998</v>
      </c>
      <c r="AH22" s="17">
        <f t="shared" si="5"/>
        <v>2</v>
      </c>
    </row>
    <row r="23" spans="1:34" x14ac:dyDescent="0.3">
      <c r="A23" s="17">
        <v>0.47894910000000002</v>
      </c>
      <c r="B23" s="17">
        <v>-0.37170449999999999</v>
      </c>
      <c r="C23" s="17">
        <f>IF($AJ$2, cp_data!B23, 2)</f>
        <v>-0.37170449999999999</v>
      </c>
      <c r="D23" s="17" t="s">
        <v>2</v>
      </c>
      <c r="E23" s="17">
        <v>0.47894910000000002</v>
      </c>
      <c r="F23" s="17">
        <v>-0.3850943</v>
      </c>
      <c r="G23" s="17">
        <f>IF($AJ$2, cp_data!F23, 2)</f>
        <v>-0.3850943</v>
      </c>
      <c r="H23" s="17"/>
      <c r="I23" s="17"/>
      <c r="J23" s="17">
        <v>0.47894910000000002</v>
      </c>
      <c r="K23" s="17">
        <v>-0.44695010000000002</v>
      </c>
      <c r="L23" s="17">
        <f t="shared" si="0"/>
        <v>-0.44695010000000002</v>
      </c>
      <c r="M23" s="17" t="s">
        <v>2</v>
      </c>
      <c r="N23" s="17">
        <v>0.47894910000000002</v>
      </c>
      <c r="O23" s="17">
        <v>-0.47543879999999999</v>
      </c>
      <c r="P23" s="17">
        <f t="shared" si="1"/>
        <v>-0.47543879999999999</v>
      </c>
      <c r="Q23" s="17"/>
      <c r="R23" s="17"/>
      <c r="S23" s="17">
        <v>0.78684540000000003</v>
      </c>
      <c r="T23" s="17">
        <v>-0.1090328</v>
      </c>
      <c r="U23" s="17">
        <f t="shared" si="2"/>
        <v>2</v>
      </c>
      <c r="V23" s="17" t="s">
        <v>2</v>
      </c>
      <c r="W23" s="17">
        <v>0.78684540000000003</v>
      </c>
      <c r="X23" s="17">
        <v>-0.1195842</v>
      </c>
      <c r="Y23" s="17">
        <f t="shared" si="3"/>
        <v>2</v>
      </c>
      <c r="Z23" s="17"/>
      <c r="AA23" s="17"/>
      <c r="AB23" s="17">
        <v>0.61200500000000002</v>
      </c>
      <c r="AC23" s="17">
        <v>-0.356632</v>
      </c>
      <c r="AD23" s="17">
        <f t="shared" si="4"/>
        <v>2</v>
      </c>
      <c r="AE23" s="17" t="s">
        <v>2</v>
      </c>
      <c r="AF23" s="17">
        <v>0.61200500000000002</v>
      </c>
      <c r="AG23" s="17">
        <v>-0.37649559999999999</v>
      </c>
      <c r="AH23" s="17">
        <f t="shared" si="5"/>
        <v>2</v>
      </c>
    </row>
    <row r="24" spans="1:34" x14ac:dyDescent="0.3">
      <c r="A24" s="17">
        <v>0.45050109999999999</v>
      </c>
      <c r="B24" s="17">
        <v>-0.39923429999999999</v>
      </c>
      <c r="C24" s="17">
        <f>IF($AJ$2, cp_data!B24, 2)</f>
        <v>-0.39923429999999999</v>
      </c>
      <c r="D24" s="17" t="s">
        <v>2</v>
      </c>
      <c r="E24" s="17">
        <v>0.45050109999999999</v>
      </c>
      <c r="F24" s="17">
        <v>-0.41329009999999999</v>
      </c>
      <c r="G24" s="17">
        <f>IF($AJ$2, cp_data!F24, 2)</f>
        <v>-0.41329009999999999</v>
      </c>
      <c r="H24" s="17"/>
      <c r="I24" s="17"/>
      <c r="J24" s="17">
        <v>0.45050109999999999</v>
      </c>
      <c r="K24" s="17">
        <v>-0.51411450000000003</v>
      </c>
      <c r="L24" s="17">
        <f t="shared" si="0"/>
        <v>-0.51411450000000003</v>
      </c>
      <c r="M24" s="17" t="s">
        <v>2</v>
      </c>
      <c r="N24" s="17">
        <v>0.45050109999999999</v>
      </c>
      <c r="O24" s="17">
        <v>-0.50336000000000003</v>
      </c>
      <c r="P24" s="17">
        <f t="shared" si="1"/>
        <v>-0.50336000000000003</v>
      </c>
      <c r="Q24" s="17"/>
      <c r="R24" s="17"/>
      <c r="S24" s="17">
        <v>0.77302749999999998</v>
      </c>
      <c r="T24" s="17">
        <v>-0.1215934</v>
      </c>
      <c r="U24" s="17">
        <f t="shared" si="2"/>
        <v>2</v>
      </c>
      <c r="V24" s="17" t="s">
        <v>2</v>
      </c>
      <c r="W24" s="17">
        <v>0.77302749999999998</v>
      </c>
      <c r="X24" s="17">
        <v>-0.1321445</v>
      </c>
      <c r="Y24" s="17">
        <f t="shared" si="3"/>
        <v>2</v>
      </c>
      <c r="Z24" s="17"/>
      <c r="AA24" s="17"/>
      <c r="AB24" s="17">
        <v>0.58258200000000004</v>
      </c>
      <c r="AC24" s="17">
        <v>-0.39937060000000002</v>
      </c>
      <c r="AD24" s="17">
        <f t="shared" si="4"/>
        <v>2</v>
      </c>
      <c r="AE24" s="17" t="s">
        <v>2</v>
      </c>
      <c r="AF24" s="17">
        <v>0.58258200000000004</v>
      </c>
      <c r="AG24" s="17">
        <v>-0.42310710000000001</v>
      </c>
      <c r="AH24" s="17">
        <f t="shared" si="5"/>
        <v>2</v>
      </c>
    </row>
    <row r="25" spans="1:34" x14ac:dyDescent="0.3">
      <c r="A25" s="17">
        <v>0.42245709999999997</v>
      </c>
      <c r="B25" s="17">
        <v>-0.42740250000000002</v>
      </c>
      <c r="C25" s="17">
        <f>IF($AJ$2, cp_data!B25, 2)</f>
        <v>-0.42740250000000002</v>
      </c>
      <c r="D25" s="17" t="s">
        <v>2</v>
      </c>
      <c r="E25" s="17">
        <v>0.42245709999999997</v>
      </c>
      <c r="F25" s="17">
        <v>-0.44220880000000001</v>
      </c>
      <c r="G25" s="17">
        <f>IF($AJ$2, cp_data!F25, 2)</f>
        <v>-0.44220880000000001</v>
      </c>
      <c r="H25" s="17"/>
      <c r="I25" s="17"/>
      <c r="J25" s="17">
        <v>0.42245709999999997</v>
      </c>
      <c r="K25" s="17">
        <v>-0.53382180000000001</v>
      </c>
      <c r="L25" s="17">
        <f t="shared" si="0"/>
        <v>-0.53382180000000001</v>
      </c>
      <c r="M25" s="17" t="s">
        <v>2</v>
      </c>
      <c r="N25" s="17">
        <v>0.42245709999999997</v>
      </c>
      <c r="O25" s="17">
        <v>-0.53218350000000003</v>
      </c>
      <c r="P25" s="17">
        <f t="shared" si="1"/>
        <v>-0.53218350000000003</v>
      </c>
      <c r="Q25" s="17"/>
      <c r="R25" s="17"/>
      <c r="S25" s="17">
        <v>0.75907420000000003</v>
      </c>
      <c r="T25" s="17">
        <v>-0.1340325</v>
      </c>
      <c r="U25" s="17">
        <f t="shared" si="2"/>
        <v>2</v>
      </c>
      <c r="V25" s="17" t="s">
        <v>2</v>
      </c>
      <c r="W25" s="17">
        <v>0.75907420000000003</v>
      </c>
      <c r="X25" s="17">
        <v>-0.14459739999999999</v>
      </c>
      <c r="Y25" s="17">
        <f t="shared" si="3"/>
        <v>2</v>
      </c>
      <c r="Z25" s="17"/>
      <c r="AA25" s="17"/>
      <c r="AB25" s="17">
        <v>0.55279999999999996</v>
      </c>
      <c r="AC25" s="17">
        <v>-0.44038549999999999</v>
      </c>
      <c r="AD25" s="17">
        <f t="shared" si="4"/>
        <v>2</v>
      </c>
      <c r="AE25" s="17" t="s">
        <v>2</v>
      </c>
      <c r="AF25" s="17">
        <v>0.55279999999999996</v>
      </c>
      <c r="AG25" s="17">
        <v>-0.47026400000000002</v>
      </c>
      <c r="AH25" s="17">
        <f t="shared" si="5"/>
        <v>2</v>
      </c>
    </row>
    <row r="26" spans="1:34" x14ac:dyDescent="0.3">
      <c r="A26" s="17">
        <v>0.39487820000000001</v>
      </c>
      <c r="B26" s="17">
        <v>-0.45620630000000001</v>
      </c>
      <c r="C26" s="17">
        <f>IF($AJ$2, cp_data!B26, 2)</f>
        <v>-0.45620630000000001</v>
      </c>
      <c r="D26" s="17" t="s">
        <v>2</v>
      </c>
      <c r="E26" s="17">
        <v>0.39487820000000001</v>
      </c>
      <c r="F26" s="17">
        <v>-0.47186339999999999</v>
      </c>
      <c r="G26" s="17">
        <f>IF($AJ$2, cp_data!F26, 2)</f>
        <v>-0.47186339999999999</v>
      </c>
      <c r="H26" s="17"/>
      <c r="I26" s="17"/>
      <c r="J26" s="17">
        <v>0.39487820000000001</v>
      </c>
      <c r="K26" s="17">
        <v>-0.56148310000000001</v>
      </c>
      <c r="L26" s="17">
        <f t="shared" si="0"/>
        <v>-0.56148310000000001</v>
      </c>
      <c r="M26" s="17" t="s">
        <v>2</v>
      </c>
      <c r="N26" s="17">
        <v>0.39487820000000001</v>
      </c>
      <c r="O26" s="17">
        <v>-0.56785580000000002</v>
      </c>
      <c r="P26" s="17">
        <f t="shared" si="1"/>
        <v>-0.56785580000000002</v>
      </c>
      <c r="Q26" s="17"/>
      <c r="R26" s="17"/>
      <c r="S26" s="17">
        <v>0.74500049999999995</v>
      </c>
      <c r="T26" s="17">
        <v>-0.1463805</v>
      </c>
      <c r="U26" s="17">
        <f t="shared" si="2"/>
        <v>2</v>
      </c>
      <c r="V26" s="17" t="s">
        <v>2</v>
      </c>
      <c r="W26" s="17">
        <v>0.74500049999999995</v>
      </c>
      <c r="X26" s="17">
        <v>-0.1569739</v>
      </c>
      <c r="Y26" s="17">
        <f t="shared" si="3"/>
        <v>2</v>
      </c>
      <c r="Z26" s="17"/>
      <c r="AA26" s="17"/>
      <c r="AB26" s="17">
        <v>0.52276</v>
      </c>
      <c r="AC26" s="17">
        <v>-0.4816124</v>
      </c>
      <c r="AD26" s="17">
        <f t="shared" si="4"/>
        <v>2</v>
      </c>
      <c r="AE26" s="17" t="s">
        <v>2</v>
      </c>
      <c r="AF26" s="17">
        <v>0.52276</v>
      </c>
      <c r="AG26" s="17">
        <v>-0.51740370000000002</v>
      </c>
      <c r="AH26" s="17">
        <f t="shared" si="5"/>
        <v>2</v>
      </c>
    </row>
    <row r="27" spans="1:34" x14ac:dyDescent="0.3">
      <c r="A27" s="17">
        <v>0.36782290000000001</v>
      </c>
      <c r="B27" s="17">
        <v>-0.4856279</v>
      </c>
      <c r="C27" s="17">
        <f>IF($AJ$2, cp_data!B27, 2)</f>
        <v>-0.4856279</v>
      </c>
      <c r="D27" s="17" t="s">
        <v>2</v>
      </c>
      <c r="E27" s="17">
        <v>0.36782290000000001</v>
      </c>
      <c r="F27" s="17">
        <v>-0.50226249999999995</v>
      </c>
      <c r="G27" s="17">
        <f>IF($AJ$2, cp_data!F27, 2)</f>
        <v>-0.50226249999999995</v>
      </c>
      <c r="H27" s="17"/>
      <c r="I27" s="17"/>
      <c r="J27" s="17">
        <v>0.36782290000000001</v>
      </c>
      <c r="K27" s="17">
        <v>-0.58917660000000005</v>
      </c>
      <c r="L27" s="17">
        <f t="shared" si="0"/>
        <v>-0.58917660000000005</v>
      </c>
      <c r="M27" s="17" t="s">
        <v>2</v>
      </c>
      <c r="N27" s="17">
        <v>0.36782290000000001</v>
      </c>
      <c r="O27" s="17">
        <v>-0.59919829999999996</v>
      </c>
      <c r="P27" s="17">
        <f t="shared" si="1"/>
        <v>-0.59919829999999996</v>
      </c>
      <c r="Q27" s="17"/>
      <c r="R27" s="17"/>
      <c r="S27" s="17">
        <v>0.7308209</v>
      </c>
      <c r="T27" s="17">
        <v>-0.15866559999999999</v>
      </c>
      <c r="U27" s="17">
        <f t="shared" si="2"/>
        <v>2</v>
      </c>
      <c r="V27" s="17" t="s">
        <v>2</v>
      </c>
      <c r="W27" s="17">
        <v>0.7308209</v>
      </c>
      <c r="X27" s="17">
        <v>-0.16930239999999999</v>
      </c>
      <c r="Y27" s="17">
        <f t="shared" si="3"/>
        <v>2</v>
      </c>
      <c r="Z27" s="17"/>
      <c r="AA27" s="17"/>
      <c r="AB27" s="17">
        <v>0.492566</v>
      </c>
      <c r="AC27" s="17">
        <v>-0.57894559999999995</v>
      </c>
      <c r="AD27" s="17">
        <f t="shared" si="4"/>
        <v>2</v>
      </c>
      <c r="AE27" s="17" t="s">
        <v>2</v>
      </c>
      <c r="AF27" s="17">
        <v>0.492566</v>
      </c>
      <c r="AG27" s="17">
        <v>-0.56399500000000002</v>
      </c>
      <c r="AH27" s="17">
        <f t="shared" si="5"/>
        <v>2</v>
      </c>
    </row>
    <row r="28" spans="1:34" x14ac:dyDescent="0.3">
      <c r="A28" s="17">
        <v>0.34134759999999997</v>
      </c>
      <c r="B28" s="17">
        <v>-0.51562680000000005</v>
      </c>
      <c r="C28" s="17">
        <f>IF($AJ$2, cp_data!B28, 2)</f>
        <v>-0.51562680000000005</v>
      </c>
      <c r="D28" s="17" t="s">
        <v>2</v>
      </c>
      <c r="E28" s="17">
        <v>0.34134759999999997</v>
      </c>
      <c r="F28" s="17">
        <v>-0.53341419999999995</v>
      </c>
      <c r="G28" s="17">
        <f>IF($AJ$2, cp_data!F28, 2)</f>
        <v>-0.53341419999999995</v>
      </c>
      <c r="H28" s="17"/>
      <c r="I28" s="17"/>
      <c r="J28" s="17">
        <v>0.34134759999999997</v>
      </c>
      <c r="K28" s="17">
        <v>-0.61365069999999999</v>
      </c>
      <c r="L28" s="17">
        <f t="shared" si="0"/>
        <v>-0.61365069999999999</v>
      </c>
      <c r="M28" s="17" t="s">
        <v>2</v>
      </c>
      <c r="N28" s="17">
        <v>0.34134759999999997</v>
      </c>
      <c r="O28" s="17">
        <v>-0.62482139999999997</v>
      </c>
      <c r="P28" s="17">
        <f t="shared" si="1"/>
        <v>-0.62482139999999997</v>
      </c>
      <c r="Q28" s="17"/>
      <c r="R28" s="17"/>
      <c r="S28" s="17">
        <v>0.71654890000000004</v>
      </c>
      <c r="T28" s="17">
        <v>-0.17091390000000001</v>
      </c>
      <c r="U28" s="17">
        <f t="shared" si="2"/>
        <v>2</v>
      </c>
      <c r="V28" s="17" t="s">
        <v>2</v>
      </c>
      <c r="W28" s="17">
        <v>0.71654890000000004</v>
      </c>
      <c r="X28" s="17">
        <v>-0.1816092</v>
      </c>
      <c r="Y28" s="17">
        <f t="shared" si="3"/>
        <v>2</v>
      </c>
      <c r="Z28" s="17"/>
      <c r="AA28" s="17"/>
      <c r="AB28" s="17">
        <v>0.46232400000000001</v>
      </c>
      <c r="AC28" s="17">
        <v>-0.60644790000000004</v>
      </c>
      <c r="AD28" s="17">
        <f t="shared" si="4"/>
        <v>2</v>
      </c>
      <c r="AE28" s="17" t="s">
        <v>2</v>
      </c>
      <c r="AF28" s="17">
        <v>0.46232400000000001</v>
      </c>
      <c r="AG28" s="17">
        <v>-0.60928269999999995</v>
      </c>
      <c r="AH28" s="17">
        <f t="shared" si="5"/>
        <v>2</v>
      </c>
    </row>
    <row r="29" spans="1:34" x14ac:dyDescent="0.3">
      <c r="A29" s="17">
        <v>0.31550650000000002</v>
      </c>
      <c r="B29" s="17">
        <v>-0.54612110000000003</v>
      </c>
      <c r="C29" s="17">
        <f>IF($AJ$2, cp_data!B29, 2)</f>
        <v>-0.54612110000000003</v>
      </c>
      <c r="D29" s="17" t="s">
        <v>2</v>
      </c>
      <c r="E29" s="17">
        <v>0.31550650000000002</v>
      </c>
      <c r="F29" s="17">
        <v>-0.5653302</v>
      </c>
      <c r="G29" s="17">
        <f>IF($AJ$2, cp_data!F29, 2)</f>
        <v>-0.5653302</v>
      </c>
      <c r="H29" s="17"/>
      <c r="I29" s="17"/>
      <c r="J29" s="17">
        <v>0.31550650000000002</v>
      </c>
      <c r="K29" s="17">
        <v>-0.63570590000000005</v>
      </c>
      <c r="L29" s="17">
        <f t="shared" si="0"/>
        <v>-0.63570590000000005</v>
      </c>
      <c r="M29" s="17" t="s">
        <v>2</v>
      </c>
      <c r="N29" s="17">
        <v>0.31550650000000002</v>
      </c>
      <c r="O29" s="17">
        <v>-0.64768079999999995</v>
      </c>
      <c r="P29" s="17">
        <f t="shared" si="1"/>
        <v>-0.64768079999999995</v>
      </c>
      <c r="Q29" s="17"/>
      <c r="R29" s="17"/>
      <c r="S29" s="17">
        <v>0.70219770000000004</v>
      </c>
      <c r="T29" s="17">
        <v>-0.18314949999999999</v>
      </c>
      <c r="U29" s="17">
        <f t="shared" si="2"/>
        <v>2</v>
      </c>
      <c r="V29" s="17" t="s">
        <v>2</v>
      </c>
      <c r="W29" s="17">
        <v>0.70219770000000004</v>
      </c>
      <c r="X29" s="17">
        <v>-0.1939186</v>
      </c>
      <c r="Y29" s="17">
        <f t="shared" si="3"/>
        <v>2</v>
      </c>
      <c r="Z29" s="17"/>
      <c r="AA29" s="17"/>
      <c r="AB29" s="17">
        <v>0.43214200000000003</v>
      </c>
      <c r="AC29" s="17">
        <v>-0.63962949999999996</v>
      </c>
      <c r="AD29" s="17">
        <f t="shared" si="4"/>
        <v>2</v>
      </c>
      <c r="AE29" s="17" t="s">
        <v>2</v>
      </c>
      <c r="AF29" s="17">
        <v>0.43214200000000003</v>
      </c>
      <c r="AG29" s="17">
        <v>-0.65155700000000005</v>
      </c>
      <c r="AH29" s="17">
        <f t="shared" si="5"/>
        <v>2</v>
      </c>
    </row>
    <row r="30" spans="1:34" x14ac:dyDescent="0.3">
      <c r="A30" s="17">
        <v>0.29035240000000001</v>
      </c>
      <c r="B30" s="17">
        <v>-0.5769398</v>
      </c>
      <c r="C30" s="17">
        <f>IF($AJ$2, cp_data!B30, 2)</f>
        <v>-0.5769398</v>
      </c>
      <c r="D30" s="17" t="s">
        <v>2</v>
      </c>
      <c r="E30" s="17">
        <v>0.29035240000000001</v>
      </c>
      <c r="F30" s="17">
        <v>-0.59803119999999999</v>
      </c>
      <c r="G30" s="17">
        <f>IF($AJ$2, cp_data!F30, 2)</f>
        <v>-0.59803119999999999</v>
      </c>
      <c r="H30" s="17"/>
      <c r="I30" s="17"/>
      <c r="J30" s="17">
        <v>0.29035240000000001</v>
      </c>
      <c r="K30" s="17">
        <v>-0.65527959999999996</v>
      </c>
      <c r="L30" s="17">
        <f t="shared" si="0"/>
        <v>-0.65527959999999996</v>
      </c>
      <c r="M30" s="17" t="s">
        <v>2</v>
      </c>
      <c r="N30" s="17">
        <v>0.29035240000000001</v>
      </c>
      <c r="O30" s="17">
        <v>-0.66787960000000002</v>
      </c>
      <c r="P30" s="17">
        <f t="shared" si="1"/>
        <v>-0.66787960000000002</v>
      </c>
      <c r="Q30" s="17"/>
      <c r="R30" s="17"/>
      <c r="S30" s="17">
        <v>0.6877799</v>
      </c>
      <c r="T30" s="17">
        <v>-0.19539480000000001</v>
      </c>
      <c r="U30" s="17">
        <f t="shared" si="2"/>
        <v>2</v>
      </c>
      <c r="V30" s="17" t="s">
        <v>2</v>
      </c>
      <c r="W30" s="17">
        <v>0.6877799</v>
      </c>
      <c r="X30" s="17">
        <v>-0.2062532</v>
      </c>
      <c r="Y30" s="17">
        <f t="shared" si="3"/>
        <v>2</v>
      </c>
      <c r="Z30" s="17"/>
      <c r="AA30" s="17"/>
      <c r="AB30" s="17">
        <v>0.40213500000000002</v>
      </c>
      <c r="AC30" s="17">
        <v>-0.67297620000000002</v>
      </c>
      <c r="AD30" s="17">
        <f t="shared" si="4"/>
        <v>2</v>
      </c>
      <c r="AE30" s="17" t="s">
        <v>2</v>
      </c>
      <c r="AF30" s="17">
        <v>0.40213500000000002</v>
      </c>
      <c r="AG30" s="17">
        <v>-0.68869460000000005</v>
      </c>
      <c r="AH30" s="17">
        <f t="shared" si="5"/>
        <v>2</v>
      </c>
    </row>
    <row r="31" spans="1:34" x14ac:dyDescent="0.3">
      <c r="A31" s="17">
        <v>0.26593610000000001</v>
      </c>
      <c r="B31" s="17">
        <v>-0.60770489999999999</v>
      </c>
      <c r="C31" s="17">
        <f>IF($AJ$2, cp_data!B31, 2)</f>
        <v>-0.60770489999999999</v>
      </c>
      <c r="D31" s="17" t="s">
        <v>2</v>
      </c>
      <c r="E31" s="17">
        <v>0.26593610000000001</v>
      </c>
      <c r="F31" s="17">
        <v>-0.63155249999999996</v>
      </c>
      <c r="G31" s="17">
        <f>IF($AJ$2, cp_data!F31, 2)</f>
        <v>-0.63155249999999996</v>
      </c>
      <c r="H31" s="17"/>
      <c r="I31" s="17"/>
      <c r="J31" s="17">
        <v>0.26593610000000001</v>
      </c>
      <c r="K31" s="17">
        <v>-0.67240420000000001</v>
      </c>
      <c r="L31" s="17">
        <f t="shared" si="0"/>
        <v>-0.67240420000000001</v>
      </c>
      <c r="M31" s="17" t="s">
        <v>2</v>
      </c>
      <c r="N31" s="17">
        <v>0.26593610000000001</v>
      </c>
      <c r="O31" s="17">
        <v>-0.68557179999999995</v>
      </c>
      <c r="P31" s="17">
        <f t="shared" si="1"/>
        <v>-0.68557179999999995</v>
      </c>
      <c r="Q31" s="17"/>
      <c r="R31" s="17"/>
      <c r="S31" s="17">
        <v>0.67330749999999995</v>
      </c>
      <c r="T31" s="17">
        <v>-0.20767079999999999</v>
      </c>
      <c r="U31" s="17">
        <f t="shared" si="2"/>
        <v>2</v>
      </c>
      <c r="V31" s="17" t="s">
        <v>2</v>
      </c>
      <c r="W31" s="17">
        <v>0.67330749999999995</v>
      </c>
      <c r="X31" s="17">
        <v>-0.21863369999999999</v>
      </c>
      <c r="Y31" s="17">
        <f t="shared" si="3"/>
        <v>2</v>
      </c>
      <c r="Z31" s="17"/>
      <c r="AA31" s="17"/>
      <c r="AB31" s="17">
        <v>0.372417</v>
      </c>
      <c r="AC31" s="17">
        <v>-0.70131900000000003</v>
      </c>
      <c r="AD31" s="17">
        <f t="shared" si="4"/>
        <v>2</v>
      </c>
      <c r="AE31" s="17" t="s">
        <v>2</v>
      </c>
      <c r="AF31" s="17">
        <v>0.372417</v>
      </c>
      <c r="AG31" s="17">
        <v>-0.71854019999999996</v>
      </c>
      <c r="AH31" s="17">
        <f t="shared" si="5"/>
        <v>2</v>
      </c>
    </row>
    <row r="32" spans="1:34" x14ac:dyDescent="0.3">
      <c r="A32" s="17">
        <v>0.24230679999999999</v>
      </c>
      <c r="B32" s="17">
        <v>-0.6376676</v>
      </c>
      <c r="C32" s="17">
        <f>IF($AJ$2, cp_data!B32, 2)</f>
        <v>-0.6376676</v>
      </c>
      <c r="D32" s="17" t="s">
        <v>2</v>
      </c>
      <c r="E32" s="17">
        <v>0.24230679999999999</v>
      </c>
      <c r="F32" s="17">
        <v>-0.66595159999999998</v>
      </c>
      <c r="G32" s="17">
        <f>IF($AJ$2, cp_data!F32, 2)</f>
        <v>-0.66595159999999998</v>
      </c>
      <c r="H32" s="17"/>
      <c r="I32" s="17"/>
      <c r="J32" s="17">
        <v>0.24230679999999999</v>
      </c>
      <c r="K32" s="17">
        <v>-0.68704509999999996</v>
      </c>
      <c r="L32" s="17">
        <f t="shared" si="0"/>
        <v>-0.68704509999999996</v>
      </c>
      <c r="M32" s="17" t="s">
        <v>2</v>
      </c>
      <c r="N32" s="17">
        <v>0.24230679999999999</v>
      </c>
      <c r="O32" s="17">
        <v>-0.70077089999999997</v>
      </c>
      <c r="P32" s="17">
        <f t="shared" si="1"/>
        <v>-0.70077089999999997</v>
      </c>
      <c r="Q32" s="17"/>
      <c r="R32" s="17"/>
      <c r="S32" s="17">
        <v>0.65879220000000005</v>
      </c>
      <c r="T32" s="17">
        <v>-0.21999669999999999</v>
      </c>
      <c r="U32" s="17">
        <f t="shared" si="2"/>
        <v>2</v>
      </c>
      <c r="V32" s="17" t="s">
        <v>2</v>
      </c>
      <c r="W32" s="17">
        <v>0.65879220000000005</v>
      </c>
      <c r="X32" s="17">
        <v>-0.23107949999999999</v>
      </c>
      <c r="Y32" s="17">
        <f t="shared" si="3"/>
        <v>2</v>
      </c>
      <c r="Z32" s="17"/>
      <c r="AA32" s="17"/>
      <c r="AB32" s="17">
        <v>0.343107</v>
      </c>
      <c r="AC32" s="17">
        <v>-0.7227285</v>
      </c>
      <c r="AD32" s="17">
        <f t="shared" si="4"/>
        <v>2</v>
      </c>
      <c r="AE32" s="17" t="s">
        <v>2</v>
      </c>
      <c r="AF32" s="17">
        <v>0.343107</v>
      </c>
      <c r="AG32" s="17">
        <v>-0.74084930000000004</v>
      </c>
      <c r="AH32" s="17">
        <f t="shared" si="5"/>
        <v>2</v>
      </c>
    </row>
    <row r="33" spans="1:34" x14ac:dyDescent="0.3">
      <c r="A33" s="17">
        <v>0.2195125</v>
      </c>
      <c r="B33" s="17">
        <v>-0.66655070000000005</v>
      </c>
      <c r="C33" s="17">
        <f>IF($AJ$2, cp_data!B33, 2)</f>
        <v>-0.66655070000000005</v>
      </c>
      <c r="D33" s="17" t="s">
        <v>2</v>
      </c>
      <c r="E33" s="17">
        <v>0.2195125</v>
      </c>
      <c r="F33" s="17">
        <v>-0.70131529999999997</v>
      </c>
      <c r="G33" s="17">
        <f>IF($AJ$2, cp_data!F33, 2)</f>
        <v>-0.70131529999999997</v>
      </c>
      <c r="H33" s="17"/>
      <c r="I33" s="17"/>
      <c r="J33" s="17">
        <v>0.2195125</v>
      </c>
      <c r="K33" s="17">
        <v>-0.69914889999999996</v>
      </c>
      <c r="L33" s="17">
        <f t="shared" si="0"/>
        <v>-0.69914889999999996</v>
      </c>
      <c r="M33" s="17" t="s">
        <v>2</v>
      </c>
      <c r="N33" s="17">
        <v>0.2195125</v>
      </c>
      <c r="O33" s="17">
        <v>-0.71345190000000003</v>
      </c>
      <c r="P33" s="17">
        <f t="shared" si="1"/>
        <v>-0.71345190000000003</v>
      </c>
      <c r="Q33" s="17"/>
      <c r="R33" s="17"/>
      <c r="S33" s="17">
        <v>0.64424530000000002</v>
      </c>
      <c r="T33" s="17">
        <v>-0.2323905</v>
      </c>
      <c r="U33" s="17">
        <f t="shared" si="2"/>
        <v>2</v>
      </c>
      <c r="V33" s="17" t="s">
        <v>2</v>
      </c>
      <c r="W33" s="17">
        <v>0.64424530000000002</v>
      </c>
      <c r="X33" s="17">
        <v>-0.24360860000000001</v>
      </c>
      <c r="Y33" s="17">
        <f t="shared" si="3"/>
        <v>2</v>
      </c>
      <c r="Z33" s="17"/>
      <c r="AA33" s="17"/>
      <c r="AB33" s="17">
        <v>0.31432199999999999</v>
      </c>
      <c r="AC33" s="17">
        <v>-0.73559220000000003</v>
      </c>
      <c r="AD33" s="17">
        <f t="shared" si="4"/>
        <v>2</v>
      </c>
      <c r="AE33" s="17" t="s">
        <v>2</v>
      </c>
      <c r="AF33" s="17">
        <v>0.31432199999999999</v>
      </c>
      <c r="AG33" s="17">
        <v>-0.75407420000000003</v>
      </c>
      <c r="AH33" s="17">
        <f t="shared" si="5"/>
        <v>2</v>
      </c>
    </row>
    <row r="34" spans="1:34" x14ac:dyDescent="0.3">
      <c r="A34" s="17">
        <v>0.19759979999999999</v>
      </c>
      <c r="B34" s="17">
        <v>-0.69809080000000001</v>
      </c>
      <c r="C34" s="17">
        <f>IF($AJ$2, cp_data!B34, 2)</f>
        <v>-0.69809080000000001</v>
      </c>
      <c r="D34" s="17" t="s">
        <v>2</v>
      </c>
      <c r="E34" s="17">
        <v>0.19759979999999999</v>
      </c>
      <c r="F34" s="17">
        <v>-0.73776940000000002</v>
      </c>
      <c r="G34" s="17">
        <f>IF($AJ$2, cp_data!F34, 2)</f>
        <v>-0.73776940000000002</v>
      </c>
      <c r="H34" s="17"/>
      <c r="I34" s="17"/>
      <c r="J34" s="17">
        <v>0.19759979999999999</v>
      </c>
      <c r="K34" s="17">
        <v>-0.70864660000000002</v>
      </c>
      <c r="L34" s="17">
        <f t="shared" si="0"/>
        <v>-0.70864660000000002</v>
      </c>
      <c r="M34" s="17" t="s">
        <v>2</v>
      </c>
      <c r="N34" s="17">
        <v>0.19759979999999999</v>
      </c>
      <c r="O34" s="17">
        <v>-0.72356589999999998</v>
      </c>
      <c r="P34" s="17">
        <f t="shared" si="1"/>
        <v>-0.72356589999999998</v>
      </c>
      <c r="Q34" s="17"/>
      <c r="R34" s="17"/>
      <c r="S34" s="17">
        <v>0.62967770000000001</v>
      </c>
      <c r="T34" s="17">
        <v>-0.2448688</v>
      </c>
      <c r="U34" s="17">
        <f t="shared" si="2"/>
        <v>2</v>
      </c>
      <c r="V34" s="17" t="s">
        <v>2</v>
      </c>
      <c r="W34" s="17">
        <v>0.62967770000000001</v>
      </c>
      <c r="X34" s="17">
        <v>-0.25623770000000001</v>
      </c>
      <c r="Y34" s="17">
        <f t="shared" si="3"/>
        <v>2</v>
      </c>
      <c r="Z34" s="17"/>
      <c r="AA34" s="17"/>
      <c r="AB34" s="17">
        <v>0.28617900000000002</v>
      </c>
      <c r="AC34" s="17">
        <v>-0.74064010000000002</v>
      </c>
      <c r="AD34" s="17">
        <f t="shared" si="4"/>
        <v>2</v>
      </c>
      <c r="AE34" s="17" t="s">
        <v>2</v>
      </c>
      <c r="AF34" s="17">
        <v>0.28617900000000002</v>
      </c>
      <c r="AG34" s="17">
        <v>-0.7589941</v>
      </c>
      <c r="AH34" s="17">
        <f t="shared" si="5"/>
        <v>2</v>
      </c>
    </row>
    <row r="35" spans="1:34" x14ac:dyDescent="0.3">
      <c r="A35" s="17">
        <v>0.17661379999999999</v>
      </c>
      <c r="B35" s="17">
        <v>-0.76598259999999996</v>
      </c>
      <c r="C35" s="17">
        <f>IF($AJ$2, cp_data!B35, 2)</f>
        <v>-0.76598259999999996</v>
      </c>
      <c r="D35" s="17" t="s">
        <v>2</v>
      </c>
      <c r="E35" s="17">
        <v>0.17661379999999999</v>
      </c>
      <c r="F35" s="17">
        <v>-0.77548850000000003</v>
      </c>
      <c r="G35" s="17">
        <f>IF($AJ$2, cp_data!F35, 2)</f>
        <v>-0.77548850000000003</v>
      </c>
      <c r="H35" s="17"/>
      <c r="I35" s="17"/>
      <c r="J35" s="17">
        <v>0.17661379999999999</v>
      </c>
      <c r="K35" s="17">
        <v>-0.71545729999999996</v>
      </c>
      <c r="L35" s="17">
        <f t="shared" si="0"/>
        <v>-0.71545729999999996</v>
      </c>
      <c r="M35" s="17" t="s">
        <v>2</v>
      </c>
      <c r="N35" s="17">
        <v>0.17661379999999999</v>
      </c>
      <c r="O35" s="17">
        <v>-0.73104910000000001</v>
      </c>
      <c r="P35" s="17">
        <f t="shared" si="1"/>
        <v>-0.73104910000000001</v>
      </c>
      <c r="Q35" s="17"/>
      <c r="R35" s="17"/>
      <c r="S35" s="17">
        <v>0.61509979999999997</v>
      </c>
      <c r="T35" s="17">
        <v>-0.25744689999999998</v>
      </c>
      <c r="U35" s="17">
        <f t="shared" si="2"/>
        <v>2</v>
      </c>
      <c r="V35" s="17" t="s">
        <v>2</v>
      </c>
      <c r="W35" s="17">
        <v>0.61509979999999997</v>
      </c>
      <c r="X35" s="17">
        <v>-0.2689822</v>
      </c>
      <c r="Y35" s="17">
        <f t="shared" si="3"/>
        <v>2</v>
      </c>
      <c r="Z35" s="17"/>
      <c r="AA35" s="17"/>
      <c r="AB35" s="17">
        <v>0.25878800000000002</v>
      </c>
      <c r="AC35" s="17">
        <v>-0.74110450000000005</v>
      </c>
      <c r="AD35" s="17">
        <f t="shared" si="4"/>
        <v>2</v>
      </c>
      <c r="AE35" s="17" t="s">
        <v>2</v>
      </c>
      <c r="AF35" s="17">
        <v>0.25878800000000002</v>
      </c>
      <c r="AG35" s="17">
        <v>-0.75883029999999996</v>
      </c>
      <c r="AH35" s="17">
        <f t="shared" si="5"/>
        <v>2</v>
      </c>
    </row>
    <row r="36" spans="1:34" x14ac:dyDescent="0.3">
      <c r="A36" s="17">
        <v>0.15659880000000001</v>
      </c>
      <c r="B36" s="17">
        <v>-0.79879920000000004</v>
      </c>
      <c r="C36" s="17">
        <f>IF($AJ$2, cp_data!B36, 2)</f>
        <v>-0.79879920000000004</v>
      </c>
      <c r="D36" s="17" t="s">
        <v>2</v>
      </c>
      <c r="E36" s="17">
        <v>0.15659880000000001</v>
      </c>
      <c r="F36" s="17">
        <v>-0.81470699999999996</v>
      </c>
      <c r="G36" s="17">
        <f>IF($AJ$2, cp_data!F36, 2)</f>
        <v>-0.81470699999999996</v>
      </c>
      <c r="H36" s="17"/>
      <c r="I36" s="17"/>
      <c r="J36" s="17">
        <v>0.15659880000000001</v>
      </c>
      <c r="K36" s="17">
        <v>-0.71948429999999997</v>
      </c>
      <c r="L36" s="17">
        <f t="shared" si="0"/>
        <v>-0.71948429999999997</v>
      </c>
      <c r="M36" s="17" t="s">
        <v>2</v>
      </c>
      <c r="N36" s="17">
        <v>0.15659880000000001</v>
      </c>
      <c r="O36" s="17">
        <v>-0.73582190000000003</v>
      </c>
      <c r="P36" s="17">
        <f t="shared" si="1"/>
        <v>-0.73582190000000003</v>
      </c>
      <c r="Q36" s="17"/>
      <c r="R36" s="17"/>
      <c r="S36" s="17">
        <v>0.60052190000000005</v>
      </c>
      <c r="T36" s="17">
        <v>-0.27013920000000002</v>
      </c>
      <c r="U36" s="17">
        <f t="shared" si="2"/>
        <v>2</v>
      </c>
      <c r="V36" s="17" t="s">
        <v>2</v>
      </c>
      <c r="W36" s="17">
        <v>0.60052190000000005</v>
      </c>
      <c r="X36" s="17">
        <v>-0.28185670000000002</v>
      </c>
      <c r="Y36" s="17">
        <f t="shared" si="3"/>
        <v>2</v>
      </c>
      <c r="Z36" s="17"/>
      <c r="AA36" s="17"/>
      <c r="AB36" s="17">
        <v>0.23225199999999999</v>
      </c>
      <c r="AC36" s="17">
        <v>-0.74296419999999996</v>
      </c>
      <c r="AD36" s="17">
        <f t="shared" si="4"/>
        <v>2</v>
      </c>
      <c r="AE36" s="17" t="s">
        <v>2</v>
      </c>
      <c r="AF36" s="17">
        <v>0.23225199999999999</v>
      </c>
      <c r="AG36" s="17">
        <v>-0.76113500000000001</v>
      </c>
      <c r="AH36" s="17">
        <f t="shared" si="5"/>
        <v>2</v>
      </c>
    </row>
    <row r="37" spans="1:34" x14ac:dyDescent="0.3">
      <c r="A37" s="17">
        <v>0.13759769999999999</v>
      </c>
      <c r="B37" s="17">
        <v>-0.83450519999999995</v>
      </c>
      <c r="C37" s="17">
        <f>IF($AJ$2, cp_data!B37, 2)</f>
        <v>-0.83450519999999995</v>
      </c>
      <c r="D37" s="17" t="s">
        <v>2</v>
      </c>
      <c r="E37" s="17">
        <v>0.13759769999999999</v>
      </c>
      <c r="F37" s="17">
        <v>-0.85572930000000003</v>
      </c>
      <c r="G37" s="17">
        <f>IF($AJ$2, cp_data!F37, 2)</f>
        <v>-0.85572930000000003</v>
      </c>
      <c r="H37" s="17"/>
      <c r="I37" s="17"/>
      <c r="J37" s="17">
        <v>0.13759769999999999</v>
      </c>
      <c r="K37" s="17">
        <v>-0.72060270000000004</v>
      </c>
      <c r="L37" s="17">
        <f t="shared" si="0"/>
        <v>-0.72060270000000004</v>
      </c>
      <c r="M37" s="17" t="s">
        <v>2</v>
      </c>
      <c r="N37" s="17">
        <v>0.13759769999999999</v>
      </c>
      <c r="O37" s="17">
        <v>-0.73777910000000002</v>
      </c>
      <c r="P37" s="17">
        <f t="shared" si="1"/>
        <v>-0.73777910000000002</v>
      </c>
      <c r="Q37" s="17"/>
      <c r="R37" s="17"/>
      <c r="S37" s="17">
        <v>0.58595390000000003</v>
      </c>
      <c r="T37" s="17">
        <v>-0.28295880000000001</v>
      </c>
      <c r="U37" s="17">
        <f t="shared" si="2"/>
        <v>2</v>
      </c>
      <c r="V37" s="17" t="s">
        <v>2</v>
      </c>
      <c r="W37" s="17">
        <v>0.58595390000000003</v>
      </c>
      <c r="X37" s="17">
        <v>-0.29487439999999998</v>
      </c>
      <c r="Y37" s="17">
        <f t="shared" si="3"/>
        <v>2</v>
      </c>
      <c r="Z37" s="17"/>
      <c r="AA37" s="17"/>
      <c r="AB37" s="17">
        <v>0.206674</v>
      </c>
      <c r="AC37" s="17">
        <v>-0.74360380000000004</v>
      </c>
      <c r="AD37" s="17">
        <f t="shared" si="4"/>
        <v>2</v>
      </c>
      <c r="AE37" s="17" t="s">
        <v>2</v>
      </c>
      <c r="AF37" s="17">
        <v>0.206674</v>
      </c>
      <c r="AG37" s="17">
        <v>-0.76255890000000004</v>
      </c>
      <c r="AH37" s="17">
        <f t="shared" si="5"/>
        <v>2</v>
      </c>
    </row>
    <row r="38" spans="1:34" x14ac:dyDescent="0.3">
      <c r="A38" s="17">
        <v>0.11965249999999999</v>
      </c>
      <c r="B38" s="17">
        <v>-0.87432670000000001</v>
      </c>
      <c r="C38" s="17">
        <f>IF($AJ$2, cp_data!B38, 2)</f>
        <v>-0.87432670000000001</v>
      </c>
      <c r="D38" s="17" t="s">
        <v>2</v>
      </c>
      <c r="E38" s="17">
        <v>0.11965249999999999</v>
      </c>
      <c r="F38" s="17">
        <v>-0.89893990000000001</v>
      </c>
      <c r="G38" s="17">
        <f>IF($AJ$2, cp_data!F38, 2)</f>
        <v>-0.89893990000000001</v>
      </c>
      <c r="H38" s="17"/>
      <c r="I38" s="17"/>
      <c r="J38" s="17">
        <v>0.11965249999999999</v>
      </c>
      <c r="K38" s="17">
        <v>-0.71863750000000004</v>
      </c>
      <c r="L38" s="17">
        <f t="shared" si="0"/>
        <v>-0.71863750000000004</v>
      </c>
      <c r="M38" s="17" t="s">
        <v>2</v>
      </c>
      <c r="N38" s="17">
        <v>0.11965249999999999</v>
      </c>
      <c r="O38" s="17">
        <v>-0.7367688</v>
      </c>
      <c r="P38" s="17">
        <f t="shared" si="1"/>
        <v>-0.7367688</v>
      </c>
      <c r="Q38" s="17"/>
      <c r="R38" s="17"/>
      <c r="S38" s="17">
        <v>0.57140539999999995</v>
      </c>
      <c r="T38" s="17">
        <v>-0.29591800000000001</v>
      </c>
      <c r="U38" s="17">
        <f t="shared" si="2"/>
        <v>2</v>
      </c>
      <c r="V38" s="17" t="s">
        <v>2</v>
      </c>
      <c r="W38" s="17">
        <v>0.57140539999999995</v>
      </c>
      <c r="X38" s="17">
        <v>-0.30804799999999999</v>
      </c>
      <c r="Y38" s="17">
        <f t="shared" si="3"/>
        <v>2</v>
      </c>
      <c r="Z38" s="17"/>
      <c r="AA38" s="17"/>
      <c r="AB38" s="17">
        <v>0.18215500000000001</v>
      </c>
      <c r="AC38" s="17">
        <v>-0.74105350000000003</v>
      </c>
      <c r="AD38" s="17">
        <f t="shared" si="4"/>
        <v>2</v>
      </c>
      <c r="AE38" s="17" t="s">
        <v>2</v>
      </c>
      <c r="AF38" s="17">
        <v>0.18215500000000001</v>
      </c>
      <c r="AG38" s="17">
        <v>-0.76059480000000002</v>
      </c>
      <c r="AH38" s="17">
        <f t="shared" si="5"/>
        <v>2</v>
      </c>
    </row>
    <row r="39" spans="1:34" x14ac:dyDescent="0.3">
      <c r="A39" s="17">
        <v>0.1028043</v>
      </c>
      <c r="B39" s="17">
        <v>-0.91722559999999997</v>
      </c>
      <c r="C39" s="17">
        <f>IF($AJ$2, cp_data!B39, 2)</f>
        <v>-0.91722559999999997</v>
      </c>
      <c r="D39" s="17" t="s">
        <v>2</v>
      </c>
      <c r="E39" s="17">
        <v>0.1028043</v>
      </c>
      <c r="F39" s="17">
        <v>-0.94480589999999998</v>
      </c>
      <c r="G39" s="17">
        <f>IF($AJ$2, cp_data!F39, 2)</f>
        <v>-0.94480589999999998</v>
      </c>
      <c r="H39" s="17"/>
      <c r="I39" s="17"/>
      <c r="J39" s="17">
        <v>0.1028043</v>
      </c>
      <c r="K39" s="17">
        <v>-0.71332300000000004</v>
      </c>
      <c r="L39" s="17">
        <f t="shared" si="0"/>
        <v>-0.71332300000000004</v>
      </c>
      <c r="M39" s="17" t="s">
        <v>2</v>
      </c>
      <c r="N39" s="17">
        <v>0.1028043</v>
      </c>
      <c r="O39" s="17">
        <v>-0.73255420000000004</v>
      </c>
      <c r="P39" s="17">
        <f t="shared" si="1"/>
        <v>-0.73255420000000004</v>
      </c>
      <c r="Q39" s="17"/>
      <c r="R39" s="17"/>
      <c r="S39" s="17">
        <v>0.55688559999999998</v>
      </c>
      <c r="T39" s="17">
        <v>-0.30902800000000002</v>
      </c>
      <c r="U39" s="17">
        <f t="shared" si="2"/>
        <v>2</v>
      </c>
      <c r="V39" s="17" t="s">
        <v>2</v>
      </c>
      <c r="W39" s="17">
        <v>0.55688559999999998</v>
      </c>
      <c r="X39" s="17">
        <v>-0.32138909999999998</v>
      </c>
      <c r="Y39" s="17">
        <f t="shared" si="3"/>
        <v>2</v>
      </c>
      <c r="Z39" s="17"/>
      <c r="AA39" s="17"/>
      <c r="AB39" s="17">
        <v>0.15878800000000001</v>
      </c>
      <c r="AC39" s="17">
        <v>-0.73668900000000004</v>
      </c>
      <c r="AD39" s="17">
        <f t="shared" si="4"/>
        <v>2</v>
      </c>
      <c r="AE39" s="17" t="s">
        <v>2</v>
      </c>
      <c r="AF39" s="17">
        <v>0.15878800000000001</v>
      </c>
      <c r="AG39" s="17">
        <v>-0.75710480000000002</v>
      </c>
      <c r="AH39" s="17">
        <f t="shared" si="5"/>
        <v>2</v>
      </c>
    </row>
    <row r="40" spans="1:34" x14ac:dyDescent="0.3">
      <c r="A40" s="17">
        <v>8.7093089999999998E-2</v>
      </c>
      <c r="B40" s="17">
        <v>-0.96324390000000004</v>
      </c>
      <c r="C40" s="17">
        <f>IF($AJ$2, cp_data!B40, 2)</f>
        <v>-0.96324390000000004</v>
      </c>
      <c r="D40" s="17" t="s">
        <v>2</v>
      </c>
      <c r="E40" s="17">
        <v>8.7093089999999998E-2</v>
      </c>
      <c r="F40" s="17">
        <v>-0.99386629999999998</v>
      </c>
      <c r="G40" s="17">
        <f>IF($AJ$2, cp_data!F40, 2)</f>
        <v>-0.99386629999999998</v>
      </c>
      <c r="H40" s="17"/>
      <c r="I40" s="17"/>
      <c r="J40" s="17">
        <v>8.7093089999999998E-2</v>
      </c>
      <c r="K40" s="17">
        <v>-0.70423559999999996</v>
      </c>
      <c r="L40" s="17">
        <f t="shared" si="0"/>
        <v>-0.70423559999999996</v>
      </c>
      <c r="M40" s="17" t="s">
        <v>2</v>
      </c>
      <c r="N40" s="17">
        <v>8.7093089999999998E-2</v>
      </c>
      <c r="O40" s="17">
        <v>-0.72474859999999997</v>
      </c>
      <c r="P40" s="17">
        <f t="shared" si="1"/>
        <v>-0.72474859999999997</v>
      </c>
      <c r="Q40" s="17"/>
      <c r="R40" s="17"/>
      <c r="S40" s="17">
        <v>0.54240379999999999</v>
      </c>
      <c r="T40" s="17">
        <v>-0.32229940000000001</v>
      </c>
      <c r="U40" s="17">
        <f t="shared" si="2"/>
        <v>2</v>
      </c>
      <c r="V40" s="17" t="s">
        <v>2</v>
      </c>
      <c r="W40" s="17">
        <v>0.54240379999999999</v>
      </c>
      <c r="X40" s="17">
        <v>-0.3349087</v>
      </c>
      <c r="Y40" s="17">
        <f t="shared" si="3"/>
        <v>2</v>
      </c>
      <c r="Z40" s="17"/>
      <c r="AA40" s="17"/>
      <c r="AB40" s="17">
        <v>0.13666500000000001</v>
      </c>
      <c r="AC40" s="17">
        <v>-0.73005279999999995</v>
      </c>
      <c r="AD40" s="17">
        <f t="shared" si="4"/>
        <v>2</v>
      </c>
      <c r="AE40" s="17" t="s">
        <v>2</v>
      </c>
      <c r="AF40" s="17">
        <v>0.13666500000000001</v>
      </c>
      <c r="AG40" s="17">
        <v>-0.75122509999999998</v>
      </c>
      <c r="AH40" s="17">
        <f t="shared" si="5"/>
        <v>2</v>
      </c>
    </row>
    <row r="41" spans="1:34" x14ac:dyDescent="0.3">
      <c r="A41" s="17">
        <v>7.2558159999999997E-2</v>
      </c>
      <c r="B41" s="17">
        <v>-1.0126520000000001</v>
      </c>
      <c r="C41" s="17">
        <f>IF($AJ$2, cp_data!B41, 2)</f>
        <v>-1.0126520000000001</v>
      </c>
      <c r="D41" s="17" t="s">
        <v>2</v>
      </c>
      <c r="E41" s="17">
        <v>7.2558159999999997E-2</v>
      </c>
      <c r="F41" s="17">
        <v>-1.0466880000000001</v>
      </c>
      <c r="G41" s="17">
        <f>IF($AJ$2, cp_data!F41, 2)</f>
        <v>-1.0466880000000001</v>
      </c>
      <c r="H41" s="17"/>
      <c r="I41" s="17"/>
      <c r="J41" s="17">
        <v>7.2558159999999997E-2</v>
      </c>
      <c r="K41" s="17">
        <v>-0.69068070000000004</v>
      </c>
      <c r="L41" s="17">
        <f t="shared" si="0"/>
        <v>-0.69068070000000004</v>
      </c>
      <c r="M41" s="17" t="s">
        <v>2</v>
      </c>
      <c r="N41" s="17">
        <v>7.2558159999999997E-2</v>
      </c>
      <c r="O41" s="17">
        <v>-0.71270469999999997</v>
      </c>
      <c r="P41" s="17">
        <f t="shared" si="1"/>
        <v>-0.71270469999999997</v>
      </c>
      <c r="Q41" s="17"/>
      <c r="R41" s="17"/>
      <c r="S41" s="17">
        <v>0.52796880000000002</v>
      </c>
      <c r="T41" s="17">
        <v>-0.33574189999999998</v>
      </c>
      <c r="U41" s="17">
        <f t="shared" si="2"/>
        <v>2</v>
      </c>
      <c r="V41" s="17" t="s">
        <v>2</v>
      </c>
      <c r="W41" s="17">
        <v>0.52796880000000002</v>
      </c>
      <c r="X41" s="17">
        <v>-0.34861720000000002</v>
      </c>
      <c r="Y41" s="17">
        <f t="shared" si="3"/>
        <v>2</v>
      </c>
      <c r="Z41" s="17"/>
      <c r="AA41" s="17"/>
      <c r="AB41" s="17">
        <v>0.115871</v>
      </c>
      <c r="AC41" s="17">
        <v>-0.72342130000000004</v>
      </c>
      <c r="AD41" s="17">
        <f t="shared" si="4"/>
        <v>2</v>
      </c>
      <c r="AE41" s="17" t="s">
        <v>2</v>
      </c>
      <c r="AF41" s="17">
        <v>0.115871</v>
      </c>
      <c r="AG41" s="17">
        <v>-0.74563369999999995</v>
      </c>
      <c r="AH41" s="17">
        <f t="shared" si="5"/>
        <v>2</v>
      </c>
    </row>
    <row r="42" spans="1:34" x14ac:dyDescent="0.3">
      <c r="A42" s="17">
        <v>5.9237919999999999E-2</v>
      </c>
      <c r="B42" s="17">
        <v>-1.065669</v>
      </c>
      <c r="C42" s="17">
        <f>IF($AJ$2, cp_data!B42, 2)</f>
        <v>-1.065669</v>
      </c>
      <c r="D42" s="17" t="s">
        <v>2</v>
      </c>
      <c r="E42" s="17">
        <v>5.9237919999999999E-2</v>
      </c>
      <c r="F42" s="17">
        <v>-1.103747</v>
      </c>
      <c r="G42" s="17">
        <f>IF($AJ$2, cp_data!F42, 2)</f>
        <v>-1.103747</v>
      </c>
      <c r="H42" s="17"/>
      <c r="I42" s="17"/>
      <c r="J42" s="17">
        <v>5.9237919999999999E-2</v>
      </c>
      <c r="K42" s="17">
        <v>-0.6715004</v>
      </c>
      <c r="L42" s="17">
        <f t="shared" si="0"/>
        <v>-0.6715004</v>
      </c>
      <c r="M42" s="17" t="s">
        <v>2</v>
      </c>
      <c r="N42" s="17">
        <v>5.9237919999999999E-2</v>
      </c>
      <c r="O42" s="17">
        <v>-0.69532450000000001</v>
      </c>
      <c r="P42" s="17">
        <f t="shared" si="1"/>
        <v>-0.69532450000000001</v>
      </c>
      <c r="Q42" s="17"/>
      <c r="R42" s="17"/>
      <c r="S42" s="17">
        <v>0.51358910000000002</v>
      </c>
      <c r="T42" s="17">
        <v>-0.34936460000000003</v>
      </c>
      <c r="U42" s="17">
        <f t="shared" si="2"/>
        <v>2</v>
      </c>
      <c r="V42" s="17" t="s">
        <v>2</v>
      </c>
      <c r="W42" s="17">
        <v>0.51358910000000002</v>
      </c>
      <c r="X42" s="17">
        <v>-0.36252430000000002</v>
      </c>
      <c r="Y42" s="17">
        <f t="shared" si="3"/>
        <v>2</v>
      </c>
      <c r="Z42" s="17"/>
      <c r="AA42" s="17"/>
      <c r="AB42" s="17">
        <v>9.6490000000000006E-2</v>
      </c>
      <c r="AC42" s="17">
        <v>-0.71707880000000002</v>
      </c>
      <c r="AD42" s="17">
        <f t="shared" si="4"/>
        <v>2</v>
      </c>
      <c r="AE42" s="17" t="s">
        <v>2</v>
      </c>
      <c r="AF42" s="17">
        <v>9.6490000000000006E-2</v>
      </c>
      <c r="AG42" s="17">
        <v>-0.74104599999999998</v>
      </c>
      <c r="AH42" s="17">
        <f t="shared" si="5"/>
        <v>2</v>
      </c>
    </row>
    <row r="43" spans="1:34" x14ac:dyDescent="0.3">
      <c r="A43" s="17">
        <v>4.7170009999999998E-2</v>
      </c>
      <c r="B43" s="17">
        <v>-1.122106</v>
      </c>
      <c r="C43" s="17">
        <f>IF($AJ$2, cp_data!B43, 2)</f>
        <v>-1.122106</v>
      </c>
      <c r="D43" s="17" t="s">
        <v>2</v>
      </c>
      <c r="E43" s="17">
        <v>4.7170009999999998E-2</v>
      </c>
      <c r="F43" s="17">
        <v>-1.165138</v>
      </c>
      <c r="G43" s="17">
        <f>IF($AJ$2, cp_data!F43, 2)</f>
        <v>-1.165138</v>
      </c>
      <c r="H43" s="17"/>
      <c r="I43" s="17"/>
      <c r="J43" s="17">
        <v>4.7170009999999998E-2</v>
      </c>
      <c r="K43" s="17">
        <v>-0.6447406</v>
      </c>
      <c r="L43" s="17">
        <f t="shared" si="0"/>
        <v>-0.6447406</v>
      </c>
      <c r="M43" s="17" t="s">
        <v>2</v>
      </c>
      <c r="N43" s="17">
        <v>4.7170009999999998E-2</v>
      </c>
      <c r="O43" s="17">
        <v>-0.67072750000000003</v>
      </c>
      <c r="P43" s="17">
        <f t="shared" si="1"/>
        <v>-0.67072750000000003</v>
      </c>
      <c r="Q43" s="17"/>
      <c r="R43" s="17"/>
      <c r="S43" s="17">
        <v>0.49927329999999998</v>
      </c>
      <c r="T43" s="17">
        <v>-0.363176</v>
      </c>
      <c r="U43" s="17">
        <f t="shared" si="2"/>
        <v>2</v>
      </c>
      <c r="V43" s="17" t="s">
        <v>2</v>
      </c>
      <c r="W43" s="17">
        <v>0.49927329999999998</v>
      </c>
      <c r="X43" s="17">
        <v>-0.37663960000000002</v>
      </c>
      <c r="Y43" s="17">
        <f t="shared" si="3"/>
        <v>2</v>
      </c>
      <c r="Z43" s="17"/>
      <c r="AA43" s="17"/>
      <c r="AB43" s="17">
        <v>7.8604999999999994E-2</v>
      </c>
      <c r="AC43" s="17">
        <v>-0.7081267</v>
      </c>
      <c r="AD43" s="17">
        <f t="shared" si="4"/>
        <v>2</v>
      </c>
      <c r="AE43" s="17" t="s">
        <v>2</v>
      </c>
      <c r="AF43" s="17">
        <v>7.8604999999999994E-2</v>
      </c>
      <c r="AG43" s="17">
        <v>-0.73344969999999998</v>
      </c>
      <c r="AH43" s="17">
        <f t="shared" si="5"/>
        <v>2</v>
      </c>
    </row>
    <row r="44" spans="1:34" x14ac:dyDescent="0.3">
      <c r="A44" s="17">
        <v>3.6391319999999998E-2</v>
      </c>
      <c r="B44" s="17">
        <v>-1.1806620000000001</v>
      </c>
      <c r="C44" s="17">
        <f>IF($AJ$2, cp_data!B44, 2)</f>
        <v>-1.1806620000000001</v>
      </c>
      <c r="D44" s="17" t="s">
        <v>2</v>
      </c>
      <c r="E44" s="17">
        <v>3.6391319999999998E-2</v>
      </c>
      <c r="F44" s="17">
        <v>-1.2299089999999999</v>
      </c>
      <c r="G44" s="17">
        <f>IF($AJ$2, cp_data!F44, 2)</f>
        <v>-1.2299089999999999</v>
      </c>
      <c r="H44" s="17"/>
      <c r="I44" s="17"/>
      <c r="J44" s="17">
        <v>3.6391319999999998E-2</v>
      </c>
      <c r="K44" s="17">
        <v>-0.60705600000000004</v>
      </c>
      <c r="L44" s="17">
        <f t="shared" si="0"/>
        <v>-0.60705600000000004</v>
      </c>
      <c r="M44" s="17" t="s">
        <v>2</v>
      </c>
      <c r="N44" s="17">
        <v>3.6391319999999998E-2</v>
      </c>
      <c r="O44" s="17">
        <v>-0.63566199999999995</v>
      </c>
      <c r="P44" s="17">
        <f t="shared" si="1"/>
        <v>-0.63566199999999995</v>
      </c>
      <c r="Q44" s="17"/>
      <c r="R44" s="17"/>
      <c r="S44" s="17">
        <v>0.4850295</v>
      </c>
      <c r="T44" s="17">
        <v>-0.37718410000000002</v>
      </c>
      <c r="U44" s="17">
        <f t="shared" si="2"/>
        <v>2</v>
      </c>
      <c r="V44" s="17" t="s">
        <v>2</v>
      </c>
      <c r="W44" s="17">
        <v>0.4850295</v>
      </c>
      <c r="X44" s="17">
        <v>-0.3909724</v>
      </c>
      <c r="Y44" s="17">
        <f t="shared" si="3"/>
        <v>2</v>
      </c>
      <c r="Z44" s="17"/>
      <c r="AA44" s="17"/>
      <c r="AB44" s="17">
        <v>6.2299E-2</v>
      </c>
      <c r="AC44" s="17">
        <v>-0.69909770000000004</v>
      </c>
      <c r="AD44" s="17">
        <f t="shared" si="4"/>
        <v>2</v>
      </c>
      <c r="AE44" s="17" t="s">
        <v>2</v>
      </c>
      <c r="AF44" s="17">
        <v>6.2299E-2</v>
      </c>
      <c r="AG44" s="17">
        <v>-0.72761869999999995</v>
      </c>
      <c r="AH44" s="17">
        <f t="shared" si="5"/>
        <v>2</v>
      </c>
    </row>
    <row r="45" spans="1:34" x14ac:dyDescent="0.3">
      <c r="A45" s="17">
        <v>2.693808E-2</v>
      </c>
      <c r="B45" s="17">
        <v>-1.237357</v>
      </c>
      <c r="C45" s="17">
        <f>IF($AJ$2, cp_data!B45, 2)</f>
        <v>-1.237357</v>
      </c>
      <c r="D45" s="17" t="s">
        <v>2</v>
      </c>
      <c r="E45" s="17">
        <v>2.693808E-2</v>
      </c>
      <c r="F45" s="17">
        <v>-1.294521</v>
      </c>
      <c r="G45" s="17">
        <f>IF($AJ$2, cp_data!F45, 2)</f>
        <v>-1.294521</v>
      </c>
      <c r="H45" s="17"/>
      <c r="I45" s="17"/>
      <c r="J45" s="17">
        <v>2.693808E-2</v>
      </c>
      <c r="K45" s="17">
        <v>-0.55272560000000004</v>
      </c>
      <c r="L45" s="17">
        <f t="shared" si="0"/>
        <v>-0.55272560000000004</v>
      </c>
      <c r="M45" s="17" t="s">
        <v>2</v>
      </c>
      <c r="N45" s="17">
        <v>2.693808E-2</v>
      </c>
      <c r="O45" s="17">
        <v>-0.58444660000000004</v>
      </c>
      <c r="P45" s="17">
        <f t="shared" si="1"/>
        <v>-0.58444660000000004</v>
      </c>
      <c r="Q45" s="17"/>
      <c r="R45" s="17"/>
      <c r="S45" s="17">
        <v>0.4708659</v>
      </c>
      <c r="T45" s="17">
        <v>-0.39139649999999998</v>
      </c>
      <c r="U45" s="17">
        <f t="shared" si="2"/>
        <v>2</v>
      </c>
      <c r="V45" s="17" t="s">
        <v>2</v>
      </c>
      <c r="W45" s="17">
        <v>0.4708659</v>
      </c>
      <c r="X45" s="17">
        <v>-0.40553169999999999</v>
      </c>
      <c r="Y45" s="17">
        <f t="shared" si="3"/>
        <v>2</v>
      </c>
      <c r="Z45" s="17"/>
      <c r="AA45" s="17"/>
      <c r="AB45" s="17">
        <v>4.7662999999999997E-2</v>
      </c>
      <c r="AC45" s="17">
        <v>-0.67408809999999997</v>
      </c>
      <c r="AD45" s="17">
        <f t="shared" si="4"/>
        <v>2</v>
      </c>
      <c r="AE45" s="17" t="s">
        <v>2</v>
      </c>
      <c r="AF45" s="17">
        <v>4.7662999999999997E-2</v>
      </c>
      <c r="AG45" s="17">
        <v>-0.70630749999999998</v>
      </c>
      <c r="AH45" s="17">
        <f t="shared" si="5"/>
        <v>2</v>
      </c>
    </row>
    <row r="46" spans="1:34" x14ac:dyDescent="0.3">
      <c r="A46" s="17">
        <v>1.8845810000000001E-2</v>
      </c>
      <c r="B46" s="17">
        <v>-1.2824089999999999</v>
      </c>
      <c r="C46" s="17">
        <f>IF($AJ$2, cp_data!B46, 2)</f>
        <v>-1.2824089999999999</v>
      </c>
      <c r="D46" s="17" t="s">
        <v>2</v>
      </c>
      <c r="E46" s="17">
        <v>1.8845810000000001E-2</v>
      </c>
      <c r="F46" s="17">
        <v>-1.3493269999999999</v>
      </c>
      <c r="G46" s="17">
        <f>IF($AJ$2, cp_data!F46, 2)</f>
        <v>-1.3493269999999999</v>
      </c>
      <c r="H46" s="17"/>
      <c r="I46" s="17"/>
      <c r="J46" s="17">
        <v>1.8845810000000001E-2</v>
      </c>
      <c r="K46" s="17">
        <v>-0.47162009999999999</v>
      </c>
      <c r="L46" s="17">
        <f t="shared" si="0"/>
        <v>-0.47162009999999999</v>
      </c>
      <c r="M46" s="17" t="s">
        <v>2</v>
      </c>
      <c r="N46" s="17">
        <v>1.8845810000000001E-2</v>
      </c>
      <c r="O46" s="17">
        <v>-0.50709459999999995</v>
      </c>
      <c r="P46" s="17">
        <f t="shared" si="1"/>
        <v>-0.50709459999999995</v>
      </c>
      <c r="Q46" s="17"/>
      <c r="R46" s="17"/>
      <c r="S46" s="17">
        <v>0.45679009999999998</v>
      </c>
      <c r="T46" s="17">
        <v>-0.40582059999999998</v>
      </c>
      <c r="U46" s="17">
        <f t="shared" si="2"/>
        <v>2</v>
      </c>
      <c r="V46" s="17" t="s">
        <v>2</v>
      </c>
      <c r="W46" s="17">
        <v>0.45679009999999998</v>
      </c>
      <c r="X46" s="17">
        <v>-0.4203269</v>
      </c>
      <c r="Y46" s="17">
        <f t="shared" si="3"/>
        <v>2</v>
      </c>
      <c r="Z46" s="17"/>
      <c r="AA46" s="17"/>
      <c r="AB46" s="17">
        <v>3.4777000000000002E-2</v>
      </c>
      <c r="AC46" s="17">
        <v>-0.62705100000000003</v>
      </c>
      <c r="AD46" s="17">
        <f t="shared" si="4"/>
        <v>2</v>
      </c>
      <c r="AE46" s="17" t="s">
        <v>2</v>
      </c>
      <c r="AF46" s="17">
        <v>3.4777000000000002E-2</v>
      </c>
      <c r="AG46" s="17">
        <v>-0.66214600000000001</v>
      </c>
      <c r="AH46" s="17">
        <f t="shared" si="5"/>
        <v>2</v>
      </c>
    </row>
    <row r="47" spans="1:34" x14ac:dyDescent="0.3">
      <c r="A47" s="17">
        <v>1.2149419999999999E-2</v>
      </c>
      <c r="B47" s="17">
        <v>-1.2908949999999999</v>
      </c>
      <c r="C47" s="17">
        <f>IF($AJ$2, cp_data!B47, 2)</f>
        <v>-1.2908949999999999</v>
      </c>
      <c r="D47" s="17" t="s">
        <v>2</v>
      </c>
      <c r="E47" s="17">
        <v>1.2149419999999999E-2</v>
      </c>
      <c r="F47" s="17">
        <v>-1.3707419999999999</v>
      </c>
      <c r="G47" s="17">
        <f>IF($AJ$2, cp_data!F47, 2)</f>
        <v>-1.3707419999999999</v>
      </c>
      <c r="H47" s="17"/>
      <c r="I47" s="17"/>
      <c r="J47" s="17">
        <v>1.2149419999999999E-2</v>
      </c>
      <c r="K47" s="17">
        <v>-0.34690680000000002</v>
      </c>
      <c r="L47" s="17">
        <f t="shared" si="0"/>
        <v>-0.34690680000000002</v>
      </c>
      <c r="M47" s="17" t="s">
        <v>2</v>
      </c>
      <c r="N47" s="17">
        <v>1.2149419999999999E-2</v>
      </c>
      <c r="O47" s="17">
        <v>-0.38625769999999998</v>
      </c>
      <c r="P47" s="17">
        <f t="shared" si="1"/>
        <v>-0.38625769999999998</v>
      </c>
      <c r="Q47" s="17"/>
      <c r="R47" s="17"/>
      <c r="S47" s="17">
        <v>0.44280999999999998</v>
      </c>
      <c r="T47" s="17">
        <v>-0.42046339999999999</v>
      </c>
      <c r="U47" s="17">
        <f t="shared" si="2"/>
        <v>2</v>
      </c>
      <c r="V47" s="17" t="s">
        <v>2</v>
      </c>
      <c r="W47" s="17">
        <v>0.44280999999999998</v>
      </c>
      <c r="X47" s="17">
        <v>-0.43536740000000002</v>
      </c>
      <c r="Y47" s="17">
        <f t="shared" si="3"/>
        <v>2</v>
      </c>
      <c r="Z47" s="17"/>
      <c r="AA47" s="17"/>
      <c r="AB47" s="17">
        <v>2.3695000000000001E-2</v>
      </c>
      <c r="AC47" s="17">
        <v>-0.58433349999999995</v>
      </c>
      <c r="AD47" s="17">
        <f t="shared" si="4"/>
        <v>2</v>
      </c>
      <c r="AE47" s="17" t="s">
        <v>2</v>
      </c>
      <c r="AF47" s="17">
        <v>2.3695000000000001E-2</v>
      </c>
      <c r="AG47" s="17">
        <v>-0.62135949999999995</v>
      </c>
      <c r="AH47" s="17">
        <f t="shared" si="5"/>
        <v>2</v>
      </c>
    </row>
    <row r="48" spans="1:34" x14ac:dyDescent="0.3">
      <c r="A48" s="17">
        <v>6.8831980000000001E-3</v>
      </c>
      <c r="B48" s="17">
        <v>-1.213897</v>
      </c>
      <c r="C48" s="17">
        <f>IF($AJ$2, cp_data!B48, 2)</f>
        <v>-1.213897</v>
      </c>
      <c r="D48" s="17" t="s">
        <v>2</v>
      </c>
      <c r="E48" s="17">
        <v>6.8831980000000001E-3</v>
      </c>
      <c r="F48" s="17">
        <v>-1.305655</v>
      </c>
      <c r="G48" s="17">
        <f>IF($AJ$2, cp_data!F48, 2)</f>
        <v>-1.305655</v>
      </c>
      <c r="H48" s="17"/>
      <c r="I48" s="17"/>
      <c r="J48" s="17">
        <v>6.8831980000000001E-3</v>
      </c>
      <c r="K48" s="17">
        <v>-0.15076580000000001</v>
      </c>
      <c r="L48" s="17">
        <f t="shared" si="0"/>
        <v>-0.15076580000000001</v>
      </c>
      <c r="M48" s="17" t="s">
        <v>2</v>
      </c>
      <c r="N48" s="17">
        <v>6.8831980000000001E-3</v>
      </c>
      <c r="O48" s="17">
        <v>-0.19372890000000001</v>
      </c>
      <c r="P48" s="17">
        <f t="shared" si="1"/>
        <v>-0.19372890000000001</v>
      </c>
      <c r="Q48" s="17"/>
      <c r="R48" s="17"/>
      <c r="S48" s="17">
        <v>0.42893310000000001</v>
      </c>
      <c r="T48" s="17">
        <v>-0.43533169999999999</v>
      </c>
      <c r="U48" s="17">
        <f t="shared" si="2"/>
        <v>2</v>
      </c>
      <c r="V48" s="17" t="s">
        <v>2</v>
      </c>
      <c r="W48" s="17">
        <v>0.42893310000000001</v>
      </c>
      <c r="X48" s="17">
        <v>-0.4506636</v>
      </c>
      <c r="Y48" s="17">
        <f t="shared" si="3"/>
        <v>2</v>
      </c>
      <c r="Z48" s="17"/>
      <c r="AA48" s="17"/>
      <c r="AB48" s="17">
        <v>1.4515999999999999E-2</v>
      </c>
      <c r="AC48" s="17">
        <v>-0.54376310000000005</v>
      </c>
      <c r="AD48" s="17">
        <f t="shared" si="4"/>
        <v>2</v>
      </c>
      <c r="AE48" s="17" t="s">
        <v>2</v>
      </c>
      <c r="AF48" s="17">
        <v>1.4515999999999999E-2</v>
      </c>
      <c r="AG48" s="17">
        <v>-0.59147930000000004</v>
      </c>
      <c r="AH48" s="17">
        <f t="shared" si="5"/>
        <v>2</v>
      </c>
    </row>
    <row r="49" spans="1:34" x14ac:dyDescent="0.3">
      <c r="A49" s="17">
        <v>3.0808680000000001E-3</v>
      </c>
      <c r="B49" s="17">
        <v>-0.94921259999999996</v>
      </c>
      <c r="C49" s="17">
        <f>IF($AJ$2, cp_data!B49, 2)</f>
        <v>-0.94921259999999996</v>
      </c>
      <c r="D49" s="17" t="s">
        <v>2</v>
      </c>
      <c r="E49" s="17">
        <v>3.0808680000000001E-3</v>
      </c>
      <c r="F49" s="17">
        <v>-1.0524260000000001</v>
      </c>
      <c r="G49" s="17">
        <f>IF($AJ$2, cp_data!F49, 2)</f>
        <v>-1.0524260000000001</v>
      </c>
      <c r="H49" s="17"/>
      <c r="I49" s="17"/>
      <c r="J49" s="17">
        <v>3.0808680000000001E-3</v>
      </c>
      <c r="K49" s="17">
        <v>0.14909939999999999</v>
      </c>
      <c r="L49" s="17">
        <f t="shared" si="0"/>
        <v>0.14909939999999999</v>
      </c>
      <c r="M49" s="17" t="s">
        <v>2</v>
      </c>
      <c r="N49" s="17">
        <v>3.0808680000000001E-3</v>
      </c>
      <c r="O49" s="17">
        <v>0.105896</v>
      </c>
      <c r="P49" s="17">
        <f t="shared" si="1"/>
        <v>0.105896</v>
      </c>
      <c r="Q49" s="17"/>
      <c r="R49" s="17"/>
      <c r="S49" s="17">
        <v>0.4151667</v>
      </c>
      <c r="T49" s="17">
        <v>-0.4504321</v>
      </c>
      <c r="U49" s="17">
        <f t="shared" si="2"/>
        <v>2</v>
      </c>
      <c r="V49" s="17" t="s">
        <v>2</v>
      </c>
      <c r="W49" s="17">
        <v>0.4151667</v>
      </c>
      <c r="X49" s="17">
        <v>-0.46622629999999998</v>
      </c>
      <c r="Y49" s="17">
        <f t="shared" si="3"/>
        <v>2</v>
      </c>
      <c r="Z49" s="17"/>
      <c r="AA49" s="17"/>
      <c r="AB49" s="17">
        <v>7.4590000000000004E-3</v>
      </c>
      <c r="AC49" s="17">
        <v>-0.42352859999999998</v>
      </c>
      <c r="AD49" s="17">
        <f t="shared" si="4"/>
        <v>2</v>
      </c>
      <c r="AE49" s="17" t="s">
        <v>2</v>
      </c>
      <c r="AF49" s="17">
        <v>7.4590000000000004E-3</v>
      </c>
      <c r="AG49" s="17">
        <v>-0.47851670000000002</v>
      </c>
      <c r="AH49" s="17">
        <f t="shared" si="5"/>
        <v>2</v>
      </c>
    </row>
    <row r="50" spans="1:34" x14ac:dyDescent="0.3">
      <c r="A50" s="17">
        <v>7.7559169999999998E-4</v>
      </c>
      <c r="B50" s="17">
        <v>-0.39850020000000003</v>
      </c>
      <c r="C50" s="17">
        <f>IF($AJ$2, cp_data!B50, 2)</f>
        <v>-0.39850020000000003</v>
      </c>
      <c r="D50" s="17" t="s">
        <v>2</v>
      </c>
      <c r="E50" s="17">
        <v>7.7559169999999998E-4</v>
      </c>
      <c r="F50" s="17">
        <v>-0.49506080000000002</v>
      </c>
      <c r="G50" s="17">
        <f>IF($AJ$2, cp_data!F50, 2)</f>
        <v>-0.49506080000000002</v>
      </c>
      <c r="H50" s="17"/>
      <c r="I50" s="17"/>
      <c r="J50" s="17">
        <v>7.7559169999999998E-4</v>
      </c>
      <c r="K50" s="17">
        <v>0.55084690000000003</v>
      </c>
      <c r="L50" s="17">
        <f t="shared" si="0"/>
        <v>0.55084690000000003</v>
      </c>
      <c r="M50" s="17" t="s">
        <v>2</v>
      </c>
      <c r="N50" s="17">
        <v>7.7559169999999998E-4</v>
      </c>
      <c r="O50" s="17">
        <v>0.51499919999999999</v>
      </c>
      <c r="P50" s="17">
        <f t="shared" si="1"/>
        <v>0.51499919999999999</v>
      </c>
      <c r="Q50" s="17"/>
      <c r="R50" s="17"/>
      <c r="S50" s="17">
        <v>0.40151809999999999</v>
      </c>
      <c r="T50" s="17">
        <v>-0.46577089999999999</v>
      </c>
      <c r="U50" s="17">
        <f t="shared" si="2"/>
        <v>2</v>
      </c>
      <c r="V50" s="17" t="s">
        <v>2</v>
      </c>
      <c r="W50" s="17">
        <v>0.40151809999999999</v>
      </c>
      <c r="X50" s="17">
        <v>-0.48206769999999999</v>
      </c>
      <c r="Y50" s="17">
        <f t="shared" si="3"/>
        <v>2</v>
      </c>
      <c r="Z50" s="17"/>
      <c r="AA50" s="17"/>
      <c r="AB50" s="17">
        <v>2.7590000000000002E-3</v>
      </c>
      <c r="AC50" s="17">
        <v>-0.10672810000000001</v>
      </c>
      <c r="AD50" s="17">
        <f t="shared" si="4"/>
        <v>2</v>
      </c>
      <c r="AE50" s="17" t="s">
        <v>2</v>
      </c>
      <c r="AF50" s="17">
        <v>2.7590000000000002E-3</v>
      </c>
      <c r="AG50" s="17">
        <v>-0.16931089999999999</v>
      </c>
      <c r="AH50" s="17">
        <f t="shared" si="5"/>
        <v>2</v>
      </c>
    </row>
    <row r="51" spans="1:34" x14ac:dyDescent="0.3">
      <c r="A51" s="17">
        <v>0</v>
      </c>
      <c r="B51" s="17">
        <v>0.33323979999999997</v>
      </c>
      <c r="C51" s="17">
        <f>IF($AJ$2, cp_data!B51, 2)</f>
        <v>0.33323979999999997</v>
      </c>
      <c r="D51" s="17" t="s">
        <v>2</v>
      </c>
      <c r="E51" s="17">
        <v>0</v>
      </c>
      <c r="F51" s="17">
        <v>0.2639398</v>
      </c>
      <c r="G51" s="17">
        <f>IF($AJ$2, cp_data!F51, 2)</f>
        <v>0.2639398</v>
      </c>
      <c r="H51" s="17"/>
      <c r="I51" s="17"/>
      <c r="J51" s="17">
        <v>0</v>
      </c>
      <c r="K51" s="17">
        <v>0.90945069999999995</v>
      </c>
      <c r="L51" s="17">
        <f t="shared" si="0"/>
        <v>0.90945069999999995</v>
      </c>
      <c r="M51" s="17" t="s">
        <v>2</v>
      </c>
      <c r="N51" s="17">
        <v>0</v>
      </c>
      <c r="O51" s="17">
        <v>0.8922776</v>
      </c>
      <c r="P51" s="17">
        <f t="shared" si="1"/>
        <v>0.8922776</v>
      </c>
      <c r="Q51" s="17"/>
      <c r="R51" s="17"/>
      <c r="S51" s="17">
        <v>0.38799440000000002</v>
      </c>
      <c r="T51" s="17">
        <v>-0.4813538</v>
      </c>
      <c r="U51" s="17">
        <f t="shared" si="2"/>
        <v>2</v>
      </c>
      <c r="V51" s="17" t="s">
        <v>2</v>
      </c>
      <c r="W51" s="17">
        <v>0.38799440000000002</v>
      </c>
      <c r="X51" s="17">
        <v>-0.49820170000000003</v>
      </c>
      <c r="Y51" s="17">
        <f t="shared" si="3"/>
        <v>2</v>
      </c>
      <c r="Z51" s="17"/>
      <c r="AA51" s="17"/>
      <c r="AB51" s="17">
        <v>4.1399999999999998E-4</v>
      </c>
      <c r="AC51" s="17">
        <v>0.36467650000000001</v>
      </c>
      <c r="AD51" s="17">
        <f t="shared" si="4"/>
        <v>2</v>
      </c>
      <c r="AE51" s="17" t="s">
        <v>2</v>
      </c>
      <c r="AF51" s="17">
        <v>4.1399999999999998E-4</v>
      </c>
      <c r="AG51" s="17">
        <v>0.3123901</v>
      </c>
      <c r="AH51" s="17">
        <f t="shared" si="5"/>
        <v>2</v>
      </c>
    </row>
    <row r="52" spans="1:34" x14ac:dyDescent="0.3">
      <c r="A52" s="17">
        <v>7.7559169999999998E-4</v>
      </c>
      <c r="B52" s="17">
        <v>0.85223269999999995</v>
      </c>
      <c r="C52" s="17">
        <f>IF($AJ$2, cp_data!B52, 2)</f>
        <v>0.85223269999999995</v>
      </c>
      <c r="D52" s="17" t="s">
        <v>2</v>
      </c>
      <c r="E52" s="17">
        <v>7.7559169999999998E-4</v>
      </c>
      <c r="F52" s="17">
        <v>0.82160390000000005</v>
      </c>
      <c r="G52" s="17">
        <f>IF($AJ$2, cp_data!F52, 2)</f>
        <v>0.82160390000000005</v>
      </c>
      <c r="H52" s="17"/>
      <c r="I52" s="17"/>
      <c r="J52" s="17">
        <v>7.7559169999999998E-4</v>
      </c>
      <c r="K52" s="17">
        <v>0.98662660000000002</v>
      </c>
      <c r="L52" s="17">
        <f t="shared" si="0"/>
        <v>0.98662660000000002</v>
      </c>
      <c r="M52" s="17" t="s">
        <v>2</v>
      </c>
      <c r="N52" s="17">
        <v>7.7559169999999998E-4</v>
      </c>
      <c r="O52" s="17">
        <v>0.9919848</v>
      </c>
      <c r="P52" s="17">
        <f t="shared" si="1"/>
        <v>0.9919848</v>
      </c>
      <c r="Q52" s="17"/>
      <c r="R52" s="17"/>
      <c r="S52" s="17">
        <v>0.3746025</v>
      </c>
      <c r="T52" s="17">
        <v>-0.4971854</v>
      </c>
      <c r="U52" s="17">
        <f t="shared" si="2"/>
        <v>2</v>
      </c>
      <c r="V52" s="17" t="s">
        <v>2</v>
      </c>
      <c r="W52" s="17">
        <v>0.3746025</v>
      </c>
      <c r="X52" s="17">
        <v>-0.51464410000000005</v>
      </c>
      <c r="Y52" s="17">
        <f t="shared" si="3"/>
        <v>2</v>
      </c>
      <c r="Z52" s="17"/>
      <c r="AA52" s="17"/>
      <c r="AB52" s="17">
        <v>-1.5100000000000001E-4</v>
      </c>
      <c r="AC52" s="17">
        <v>0.74307610000000002</v>
      </c>
      <c r="AD52" s="17">
        <f t="shared" si="4"/>
        <v>2</v>
      </c>
      <c r="AE52" s="17" t="s">
        <v>2</v>
      </c>
      <c r="AF52" s="17">
        <v>-1.5100000000000001E-4</v>
      </c>
      <c r="AG52" s="17">
        <v>0.70630649999999995</v>
      </c>
      <c r="AH52" s="17">
        <f t="shared" si="5"/>
        <v>2</v>
      </c>
    </row>
    <row r="53" spans="1:34" x14ac:dyDescent="0.3">
      <c r="A53" s="17">
        <v>3.0808680000000001E-3</v>
      </c>
      <c r="B53" s="17">
        <v>0.99995509999999999</v>
      </c>
      <c r="C53" s="17">
        <f>IF($AJ$2, cp_data!B53, 2)</f>
        <v>0.99995509999999999</v>
      </c>
      <c r="D53" s="17" t="s">
        <v>2</v>
      </c>
      <c r="E53" s="17">
        <v>3.0808680000000001E-3</v>
      </c>
      <c r="F53" s="17">
        <v>0.99929380000000001</v>
      </c>
      <c r="G53" s="17">
        <f>IF($AJ$2, cp_data!F53, 2)</f>
        <v>0.99929380000000001</v>
      </c>
      <c r="H53" s="17"/>
      <c r="I53" s="17"/>
      <c r="J53" s="17">
        <v>3.0808680000000001E-3</v>
      </c>
      <c r="K53" s="17">
        <v>0.78151289999999995</v>
      </c>
      <c r="L53" s="17">
        <f t="shared" si="0"/>
        <v>0.78151289999999995</v>
      </c>
      <c r="M53" s="17" t="s">
        <v>2</v>
      </c>
      <c r="N53" s="17">
        <v>3.0808680000000001E-3</v>
      </c>
      <c r="O53" s="17">
        <v>0.80237809999999998</v>
      </c>
      <c r="P53" s="17">
        <f t="shared" si="1"/>
        <v>0.80237809999999998</v>
      </c>
      <c r="Q53" s="17"/>
      <c r="R53" s="17"/>
      <c r="S53" s="17">
        <v>0.36134929999999998</v>
      </c>
      <c r="T53" s="17">
        <v>-0.51326830000000001</v>
      </c>
      <c r="U53" s="17">
        <f t="shared" si="2"/>
        <v>2</v>
      </c>
      <c r="V53" s="17" t="s">
        <v>2</v>
      </c>
      <c r="W53" s="17">
        <v>0.36134929999999998</v>
      </c>
      <c r="X53" s="17">
        <v>-0.53141380000000005</v>
      </c>
      <c r="Y53" s="17">
        <f t="shared" si="3"/>
        <v>2</v>
      </c>
      <c r="Z53" s="17"/>
      <c r="AA53" s="17"/>
      <c r="AB53" s="17">
        <v>4.5899999999999999E-4</v>
      </c>
      <c r="AC53" s="17">
        <v>0.97615790000000002</v>
      </c>
      <c r="AD53" s="17">
        <f t="shared" si="4"/>
        <v>2</v>
      </c>
      <c r="AE53" s="17" t="s">
        <v>2</v>
      </c>
      <c r="AF53" s="17">
        <v>4.5899999999999999E-4</v>
      </c>
      <c r="AG53" s="17">
        <v>0.96583379999999996</v>
      </c>
      <c r="AH53" s="17">
        <f t="shared" si="5"/>
        <v>2</v>
      </c>
    </row>
    <row r="54" spans="1:34" x14ac:dyDescent="0.3">
      <c r="A54" s="17">
        <v>6.8831980000000001E-3</v>
      </c>
      <c r="B54" s="17">
        <v>0.9111515</v>
      </c>
      <c r="C54" s="17">
        <f>IF($AJ$2, cp_data!B54, 2)</f>
        <v>0.9111515</v>
      </c>
      <c r="D54" s="17" t="s">
        <v>2</v>
      </c>
      <c r="E54" s="17">
        <v>6.8831980000000001E-3</v>
      </c>
      <c r="F54" s="17">
        <v>0.92714569999999996</v>
      </c>
      <c r="G54" s="17">
        <f>IF($AJ$2, cp_data!F54, 2)</f>
        <v>0.92714569999999996</v>
      </c>
      <c r="H54" s="17"/>
      <c r="I54" s="17"/>
      <c r="J54" s="17">
        <v>6.8831980000000001E-3</v>
      </c>
      <c r="K54" s="17">
        <v>0.50490190000000001</v>
      </c>
      <c r="L54" s="17">
        <f t="shared" si="0"/>
        <v>0.50490190000000001</v>
      </c>
      <c r="M54" s="17" t="s">
        <v>2</v>
      </c>
      <c r="N54" s="17">
        <v>6.8831980000000001E-3</v>
      </c>
      <c r="O54" s="17">
        <v>0.53194560000000002</v>
      </c>
      <c r="P54" s="17">
        <f t="shared" si="1"/>
        <v>0.53194560000000002</v>
      </c>
      <c r="Q54" s="17"/>
      <c r="R54" s="17"/>
      <c r="S54" s="17">
        <v>0.34824149999999998</v>
      </c>
      <c r="T54" s="17">
        <v>-0.52960200000000002</v>
      </c>
      <c r="U54" s="17">
        <f t="shared" si="2"/>
        <v>2</v>
      </c>
      <c r="V54" s="17" t="s">
        <v>2</v>
      </c>
      <c r="W54" s="17">
        <v>0.34824149999999998</v>
      </c>
      <c r="X54" s="17">
        <v>-0.54853300000000005</v>
      </c>
      <c r="Y54" s="17">
        <f t="shared" si="3"/>
        <v>2</v>
      </c>
      <c r="Z54" s="17"/>
      <c r="AA54" s="17"/>
      <c r="AB54" s="17">
        <v>2.676E-3</v>
      </c>
      <c r="AC54" s="17">
        <v>0.94310629999999995</v>
      </c>
      <c r="AD54" s="17">
        <f t="shared" si="4"/>
        <v>2</v>
      </c>
      <c r="AE54" s="17" t="s">
        <v>2</v>
      </c>
      <c r="AF54" s="17">
        <v>2.676E-3</v>
      </c>
      <c r="AG54" s="17">
        <v>0.95547190000000004</v>
      </c>
      <c r="AH54" s="17">
        <f t="shared" si="5"/>
        <v>2</v>
      </c>
    </row>
    <row r="55" spans="1:34" x14ac:dyDescent="0.3">
      <c r="A55" s="17">
        <v>1.2149419999999999E-2</v>
      </c>
      <c r="B55" s="17">
        <v>0.74953530000000002</v>
      </c>
      <c r="C55" s="17">
        <f>IF($AJ$2, cp_data!B55, 2)</f>
        <v>0.74953530000000002</v>
      </c>
      <c r="D55" s="17" t="s">
        <v>2</v>
      </c>
      <c r="E55" s="17">
        <v>1.2149419999999999E-2</v>
      </c>
      <c r="F55" s="17">
        <v>0.77285800000000004</v>
      </c>
      <c r="G55" s="17">
        <f>IF($AJ$2, cp_data!F55, 2)</f>
        <v>0.77285800000000004</v>
      </c>
      <c r="H55" s="17"/>
      <c r="I55" s="17"/>
      <c r="J55" s="17">
        <v>1.2149419999999999E-2</v>
      </c>
      <c r="K55" s="17">
        <v>0.28137980000000001</v>
      </c>
      <c r="L55" s="17">
        <f t="shared" si="0"/>
        <v>0.28137980000000001</v>
      </c>
      <c r="M55" s="17" t="s">
        <v>2</v>
      </c>
      <c r="N55" s="17">
        <v>1.2149419999999999E-2</v>
      </c>
      <c r="O55" s="17">
        <v>0.30908780000000002</v>
      </c>
      <c r="P55" s="17">
        <f t="shared" si="1"/>
        <v>0.30908780000000002</v>
      </c>
      <c r="Q55" s="17"/>
      <c r="R55" s="17"/>
      <c r="S55" s="17">
        <v>0.33528560000000002</v>
      </c>
      <c r="T55" s="17">
        <v>-0.54617939999999998</v>
      </c>
      <c r="U55" s="17">
        <f t="shared" si="2"/>
        <v>2</v>
      </c>
      <c r="V55" s="17" t="s">
        <v>2</v>
      </c>
      <c r="W55" s="17">
        <v>0.33528560000000002</v>
      </c>
      <c r="X55" s="17">
        <v>-0.56602870000000005</v>
      </c>
      <c r="Y55" s="17">
        <f t="shared" si="3"/>
        <v>2</v>
      </c>
      <c r="Z55" s="17"/>
      <c r="AA55" s="17"/>
      <c r="AB55" s="17">
        <v>7.4450000000000002E-3</v>
      </c>
      <c r="AC55" s="17">
        <v>0.68755829999999996</v>
      </c>
      <c r="AD55" s="17">
        <f t="shared" si="4"/>
        <v>2</v>
      </c>
      <c r="AE55" s="17" t="s">
        <v>2</v>
      </c>
      <c r="AF55" s="17">
        <v>7.4450000000000002E-3</v>
      </c>
      <c r="AG55" s="17">
        <v>0.71216789999999996</v>
      </c>
      <c r="AH55" s="17">
        <f t="shared" si="5"/>
        <v>2</v>
      </c>
    </row>
    <row r="56" spans="1:34" x14ac:dyDescent="0.3">
      <c r="A56" s="17">
        <v>1.8845810000000001E-2</v>
      </c>
      <c r="B56" s="17">
        <v>0.58939799999999998</v>
      </c>
      <c r="C56" s="17">
        <f>IF($AJ$2, cp_data!B56, 2)</f>
        <v>0.58939799999999998</v>
      </c>
      <c r="D56" s="17" t="s">
        <v>2</v>
      </c>
      <c r="E56" s="17">
        <v>1.8845810000000001E-2</v>
      </c>
      <c r="F56" s="17">
        <v>0.61530019999999996</v>
      </c>
      <c r="G56" s="17">
        <f>IF($AJ$2, cp_data!F56, 2)</f>
        <v>0.61530019999999996</v>
      </c>
      <c r="H56" s="17"/>
      <c r="I56" s="17"/>
      <c r="J56" s="17">
        <v>1.8845810000000001E-2</v>
      </c>
      <c r="K56" s="17">
        <v>0.12623699999999999</v>
      </c>
      <c r="L56" s="17">
        <f t="shared" si="0"/>
        <v>0.12623699999999999</v>
      </c>
      <c r="M56" s="17" t="s">
        <v>2</v>
      </c>
      <c r="N56" s="17">
        <v>1.8845810000000001E-2</v>
      </c>
      <c r="O56" s="17">
        <v>0.15279290000000001</v>
      </c>
      <c r="P56" s="17">
        <f t="shared" si="1"/>
        <v>0.15279290000000001</v>
      </c>
      <c r="Q56" s="17"/>
      <c r="R56" s="17"/>
      <c r="S56" s="17">
        <v>0.3224882</v>
      </c>
      <c r="T56" s="17">
        <v>-0.56298309999999996</v>
      </c>
      <c r="U56" s="17">
        <f t="shared" si="2"/>
        <v>2</v>
      </c>
      <c r="V56" s="17" t="s">
        <v>2</v>
      </c>
      <c r="W56" s="17">
        <v>0.3224882</v>
      </c>
      <c r="X56" s="17">
        <v>-0.58393360000000005</v>
      </c>
      <c r="Y56" s="17">
        <f t="shared" si="3"/>
        <v>2</v>
      </c>
      <c r="Z56" s="17"/>
      <c r="AA56" s="17"/>
      <c r="AB56" s="17">
        <v>1.4782999999999999E-2</v>
      </c>
      <c r="AC56" s="17">
        <v>0.46226909999999999</v>
      </c>
      <c r="AD56" s="17">
        <f t="shared" si="4"/>
        <v>2</v>
      </c>
      <c r="AE56" s="17" t="s">
        <v>2</v>
      </c>
      <c r="AF56" s="17">
        <v>1.4782999999999999E-2</v>
      </c>
      <c r="AG56" s="17">
        <v>0.4882206</v>
      </c>
      <c r="AH56" s="17">
        <f t="shared" si="5"/>
        <v>2</v>
      </c>
    </row>
    <row r="57" spans="1:34" x14ac:dyDescent="0.3">
      <c r="A57" s="17">
        <v>2.693808E-2</v>
      </c>
      <c r="B57" s="17">
        <v>0.45187519999999998</v>
      </c>
      <c r="C57" s="17">
        <f>IF($AJ$2, cp_data!B57, 2)</f>
        <v>0.45187519999999998</v>
      </c>
      <c r="D57" s="17" t="s">
        <v>2</v>
      </c>
      <c r="E57" s="17">
        <v>2.693808E-2</v>
      </c>
      <c r="F57" s="17">
        <v>0.47827150000000002</v>
      </c>
      <c r="G57" s="17">
        <f>IF($AJ$2, cp_data!F57, 2)</f>
        <v>0.47827150000000002</v>
      </c>
      <c r="H57" s="17"/>
      <c r="I57" s="17"/>
      <c r="J57" s="17">
        <v>2.693808E-2</v>
      </c>
      <c r="K57" s="17">
        <v>2.3971869999999999E-2</v>
      </c>
      <c r="L57" s="17">
        <f t="shared" si="0"/>
        <v>2.3971869999999999E-2</v>
      </c>
      <c r="M57" s="17" t="s">
        <v>2</v>
      </c>
      <c r="N57" s="17">
        <v>2.693808E-2</v>
      </c>
      <c r="O57" s="17">
        <v>4.850492E-2</v>
      </c>
      <c r="P57" s="17">
        <f t="shared" si="1"/>
        <v>4.850492E-2</v>
      </c>
      <c r="Q57" s="17"/>
      <c r="R57" s="17"/>
      <c r="S57" s="17">
        <v>0.30985560000000001</v>
      </c>
      <c r="T57" s="17">
        <v>-0.57997639999999995</v>
      </c>
      <c r="U57" s="17">
        <f t="shared" si="2"/>
        <v>2</v>
      </c>
      <c r="V57" s="17" t="s">
        <v>2</v>
      </c>
      <c r="W57" s="17">
        <v>0.30985560000000001</v>
      </c>
      <c r="X57" s="17">
        <v>-0.60228839999999995</v>
      </c>
      <c r="Y57" s="17">
        <f t="shared" si="3"/>
        <v>2</v>
      </c>
      <c r="Z57" s="17"/>
      <c r="AA57" s="17"/>
      <c r="AB57" s="17">
        <v>2.4334000000000001E-2</v>
      </c>
      <c r="AC57" s="17">
        <v>0.32279370000000002</v>
      </c>
      <c r="AD57" s="17">
        <f t="shared" si="4"/>
        <v>2</v>
      </c>
      <c r="AE57" s="17" t="s">
        <v>2</v>
      </c>
      <c r="AF57" s="17">
        <v>2.4334000000000001E-2</v>
      </c>
      <c r="AG57" s="17">
        <v>0.34780529999999998</v>
      </c>
      <c r="AH57" s="17">
        <f t="shared" si="5"/>
        <v>2</v>
      </c>
    </row>
    <row r="58" spans="1:34" x14ac:dyDescent="0.3">
      <c r="A58" s="17">
        <v>3.6391319999999998E-2</v>
      </c>
      <c r="B58" s="17">
        <v>0.33917249999999999</v>
      </c>
      <c r="C58" s="17">
        <f>IF($AJ$2, cp_data!B58, 2)</f>
        <v>0.33917249999999999</v>
      </c>
      <c r="D58" s="17" t="s">
        <v>2</v>
      </c>
      <c r="E58" s="17">
        <v>3.6391319999999998E-2</v>
      </c>
      <c r="F58" s="17">
        <v>0.3649289</v>
      </c>
      <c r="G58" s="17">
        <f>IF($AJ$2, cp_data!F58, 2)</f>
        <v>0.3649289</v>
      </c>
      <c r="H58" s="17"/>
      <c r="I58" s="17"/>
      <c r="J58" s="17">
        <v>3.6391319999999998E-2</v>
      </c>
      <c r="K58" s="17">
        <v>-4.2764999999999997E-2</v>
      </c>
      <c r="L58" s="17">
        <f t="shared" si="0"/>
        <v>-4.2764999999999997E-2</v>
      </c>
      <c r="M58" s="17" t="s">
        <v>2</v>
      </c>
      <c r="N58" s="17">
        <v>3.6391319999999998E-2</v>
      </c>
      <c r="O58" s="17">
        <v>-2.01069E-2</v>
      </c>
      <c r="P58" s="17">
        <f t="shared" si="1"/>
        <v>-2.01069E-2</v>
      </c>
      <c r="Q58" s="17"/>
      <c r="R58" s="17"/>
      <c r="S58" s="17">
        <v>0.29739409999999999</v>
      </c>
      <c r="T58" s="17">
        <v>-0.59708839999999996</v>
      </c>
      <c r="U58" s="17">
        <f t="shared" si="2"/>
        <v>2</v>
      </c>
      <c r="V58" s="17" t="s">
        <v>2</v>
      </c>
      <c r="W58" s="17">
        <v>0.29739409999999999</v>
      </c>
      <c r="X58" s="17">
        <v>-0.62114389999999997</v>
      </c>
      <c r="Y58" s="17">
        <f t="shared" si="3"/>
        <v>2</v>
      </c>
      <c r="Z58" s="17"/>
      <c r="AA58" s="17"/>
      <c r="AB58" s="17">
        <v>3.5790000000000002E-2</v>
      </c>
      <c r="AC58" s="17">
        <v>0.21509410000000001</v>
      </c>
      <c r="AD58" s="17">
        <f t="shared" si="4"/>
        <v>2</v>
      </c>
      <c r="AE58" s="17" t="s">
        <v>2</v>
      </c>
      <c r="AF58" s="17">
        <v>3.5790000000000002E-2</v>
      </c>
      <c r="AG58" s="17">
        <v>0.23751120000000001</v>
      </c>
      <c r="AH58" s="17">
        <f t="shared" si="5"/>
        <v>2</v>
      </c>
    </row>
    <row r="59" spans="1:34" x14ac:dyDescent="0.3">
      <c r="A59" s="17">
        <v>4.7170009999999998E-2</v>
      </c>
      <c r="B59" s="17">
        <v>0.24764340000000001</v>
      </c>
      <c r="C59" s="17">
        <f>IF($AJ$2, cp_data!B59, 2)</f>
        <v>0.24764340000000001</v>
      </c>
      <c r="D59" s="17" t="s">
        <v>2</v>
      </c>
      <c r="E59" s="17">
        <v>4.7170009999999998E-2</v>
      </c>
      <c r="F59" s="17">
        <v>0.27248549999999999</v>
      </c>
      <c r="G59" s="17">
        <f>IF($AJ$2, cp_data!F59, 2)</f>
        <v>0.27248549999999999</v>
      </c>
      <c r="H59" s="17"/>
      <c r="I59" s="17"/>
      <c r="J59" s="17">
        <v>4.7170009999999998E-2</v>
      </c>
      <c r="K59" s="17">
        <v>-8.5734850000000001E-2</v>
      </c>
      <c r="L59" s="17">
        <f t="shared" si="0"/>
        <v>-8.5734850000000001E-2</v>
      </c>
      <c r="M59" s="17" t="s">
        <v>2</v>
      </c>
      <c r="N59" s="17">
        <v>4.7170009999999998E-2</v>
      </c>
      <c r="O59" s="17">
        <v>-6.4892439999999996E-2</v>
      </c>
      <c r="P59" s="17">
        <f t="shared" si="1"/>
        <v>-6.4892439999999996E-2</v>
      </c>
      <c r="Q59" s="17"/>
      <c r="R59" s="17"/>
      <c r="S59" s="17">
        <v>0.28510990000000003</v>
      </c>
      <c r="T59" s="17">
        <v>-0.61418309999999998</v>
      </c>
      <c r="U59" s="17">
        <f t="shared" si="2"/>
        <v>2</v>
      </c>
      <c r="V59" s="17" t="s">
        <v>2</v>
      </c>
      <c r="W59" s="17">
        <v>0.28510990000000003</v>
      </c>
      <c r="X59" s="17">
        <v>-0.64056449999999998</v>
      </c>
      <c r="Y59" s="17">
        <f t="shared" si="3"/>
        <v>2</v>
      </c>
      <c r="Z59" s="17"/>
      <c r="AA59" s="17"/>
      <c r="AB59" s="17">
        <v>4.9013000000000001E-2</v>
      </c>
      <c r="AC59" s="17">
        <v>0.1208077</v>
      </c>
      <c r="AD59" s="17">
        <f t="shared" si="4"/>
        <v>2</v>
      </c>
      <c r="AE59" s="17" t="s">
        <v>2</v>
      </c>
      <c r="AF59" s="17">
        <v>4.9013000000000001E-2</v>
      </c>
      <c r="AG59" s="17">
        <v>0.14195469999999999</v>
      </c>
      <c r="AH59" s="17">
        <f t="shared" si="5"/>
        <v>2</v>
      </c>
    </row>
    <row r="60" spans="1:34" x14ac:dyDescent="0.3">
      <c r="A60" s="17">
        <v>5.9237919999999999E-2</v>
      </c>
      <c r="B60" s="17">
        <v>0.1734416</v>
      </c>
      <c r="C60" s="17">
        <f>IF($AJ$2, cp_data!B60, 2)</f>
        <v>0.1734416</v>
      </c>
      <c r="D60" s="17" t="s">
        <v>2</v>
      </c>
      <c r="E60" s="17">
        <v>5.9237919999999999E-2</v>
      </c>
      <c r="F60" s="17">
        <v>0.1971617</v>
      </c>
      <c r="G60" s="17">
        <f>IF($AJ$2, cp_data!F60, 2)</f>
        <v>0.1971617</v>
      </c>
      <c r="H60" s="17"/>
      <c r="I60" s="17"/>
      <c r="J60" s="17">
        <v>5.9237919999999999E-2</v>
      </c>
      <c r="K60" s="17">
        <v>-0.11291039999999999</v>
      </c>
      <c r="L60" s="17">
        <f t="shared" si="0"/>
        <v>-0.11291039999999999</v>
      </c>
      <c r="M60" s="17" t="s">
        <v>2</v>
      </c>
      <c r="N60" s="17">
        <v>5.9237919999999999E-2</v>
      </c>
      <c r="O60" s="17">
        <v>-9.3638399999999997E-2</v>
      </c>
      <c r="P60" s="17">
        <f t="shared" si="1"/>
        <v>-9.3638399999999997E-2</v>
      </c>
      <c r="Q60" s="17"/>
      <c r="R60" s="17"/>
      <c r="S60" s="17">
        <v>0.273009</v>
      </c>
      <c r="T60" s="17">
        <v>-0.63100089999999998</v>
      </c>
      <c r="U60" s="17">
        <f t="shared" si="2"/>
        <v>2</v>
      </c>
      <c r="V60" s="17" t="s">
        <v>2</v>
      </c>
      <c r="W60" s="17">
        <v>0.273009</v>
      </c>
      <c r="X60" s="17">
        <v>-0.66063300000000003</v>
      </c>
      <c r="Y60" s="17">
        <f t="shared" si="3"/>
        <v>2</v>
      </c>
      <c r="Z60" s="17"/>
      <c r="AA60" s="17"/>
      <c r="AB60" s="17">
        <v>6.3934000000000005E-2</v>
      </c>
      <c r="AC60" s="17">
        <v>4.9295499999999999E-2</v>
      </c>
      <c r="AD60" s="17">
        <f t="shared" si="4"/>
        <v>2</v>
      </c>
      <c r="AE60" s="17" t="s">
        <v>2</v>
      </c>
      <c r="AF60" s="17">
        <v>6.3934000000000005E-2</v>
      </c>
      <c r="AG60" s="17">
        <v>6.9079479999999999E-2</v>
      </c>
      <c r="AH60" s="17">
        <f t="shared" si="5"/>
        <v>2</v>
      </c>
    </row>
    <row r="61" spans="1:34" x14ac:dyDescent="0.3">
      <c r="A61" s="17">
        <v>7.2558159999999997E-2</v>
      </c>
      <c r="B61" s="17">
        <v>0.11296100000000001</v>
      </c>
      <c r="C61" s="17">
        <f>IF($AJ$2, cp_data!B61, 2)</f>
        <v>0.11296100000000001</v>
      </c>
      <c r="D61" s="17" t="s">
        <v>2</v>
      </c>
      <c r="E61" s="17">
        <v>7.2558159999999997E-2</v>
      </c>
      <c r="F61" s="17">
        <v>0.1355944</v>
      </c>
      <c r="G61" s="17">
        <f>IF($AJ$2, cp_data!F61, 2)</f>
        <v>0.1355944</v>
      </c>
      <c r="H61" s="17"/>
      <c r="I61" s="17"/>
      <c r="J61" s="17">
        <v>7.2558159999999997E-2</v>
      </c>
      <c r="K61" s="17">
        <v>-0.1292635</v>
      </c>
      <c r="L61" s="17">
        <f t="shared" si="0"/>
        <v>-0.1292635</v>
      </c>
      <c r="M61" s="17" t="s">
        <v>2</v>
      </c>
      <c r="N61" s="17">
        <v>7.2558159999999997E-2</v>
      </c>
      <c r="O61" s="17">
        <v>-0.11136459999999999</v>
      </c>
      <c r="P61" s="17">
        <f t="shared" si="1"/>
        <v>-0.11136459999999999</v>
      </c>
      <c r="Q61" s="17"/>
      <c r="R61" s="17"/>
      <c r="S61" s="17">
        <v>0.26109749999999998</v>
      </c>
      <c r="T61" s="17">
        <v>-0.64707530000000002</v>
      </c>
      <c r="U61" s="17">
        <f t="shared" si="2"/>
        <v>2</v>
      </c>
      <c r="V61" s="17" t="s">
        <v>2</v>
      </c>
      <c r="W61" s="17">
        <v>0.26109749999999998</v>
      </c>
      <c r="X61" s="17">
        <v>-0.68145860000000003</v>
      </c>
      <c r="Y61" s="17">
        <f t="shared" si="3"/>
        <v>2</v>
      </c>
      <c r="Z61" s="17"/>
      <c r="AA61" s="17"/>
      <c r="AB61" s="17">
        <v>8.0475000000000005E-2</v>
      </c>
      <c r="AC61" s="17">
        <v>-1.9772589999999999E-3</v>
      </c>
      <c r="AD61" s="17">
        <f t="shared" si="4"/>
        <v>2</v>
      </c>
      <c r="AE61" s="17" t="s">
        <v>2</v>
      </c>
      <c r="AF61" s="17">
        <v>8.0475000000000005E-2</v>
      </c>
      <c r="AG61" s="17">
        <v>1.6899480000000001E-2</v>
      </c>
      <c r="AH61" s="17">
        <f t="shared" si="5"/>
        <v>2</v>
      </c>
    </row>
    <row r="62" spans="1:34" x14ac:dyDescent="0.3">
      <c r="A62" s="17">
        <v>8.7093089999999998E-2</v>
      </c>
      <c r="B62" s="17">
        <v>6.351598E-2</v>
      </c>
      <c r="C62" s="17">
        <f>IF($AJ$2, cp_data!B62, 2)</f>
        <v>6.351598E-2</v>
      </c>
      <c r="D62" s="17" t="s">
        <v>2</v>
      </c>
      <c r="E62" s="17">
        <v>8.7093089999999998E-2</v>
      </c>
      <c r="F62" s="17">
        <v>8.5101060000000006E-2</v>
      </c>
      <c r="G62" s="17">
        <f>IF($AJ$2, cp_data!F62, 2)</f>
        <v>8.5101060000000006E-2</v>
      </c>
      <c r="H62" s="17"/>
      <c r="I62" s="17"/>
      <c r="J62" s="17">
        <v>8.7093089999999998E-2</v>
      </c>
      <c r="K62" s="17">
        <v>-0.1380527</v>
      </c>
      <c r="L62" s="17">
        <f t="shared" si="0"/>
        <v>-0.1380527</v>
      </c>
      <c r="M62" s="17" t="s">
        <v>2</v>
      </c>
      <c r="N62" s="17">
        <v>8.7093089999999998E-2</v>
      </c>
      <c r="O62" s="17">
        <v>-0.121338</v>
      </c>
      <c r="P62" s="17">
        <f t="shared" si="1"/>
        <v>-0.121338</v>
      </c>
      <c r="Q62" s="17"/>
      <c r="R62" s="17"/>
      <c r="S62" s="17">
        <v>0.2493812</v>
      </c>
      <c r="T62" s="17">
        <v>-0.66191770000000005</v>
      </c>
      <c r="U62" s="17">
        <f t="shared" si="2"/>
        <v>2</v>
      </c>
      <c r="V62" s="17" t="s">
        <v>2</v>
      </c>
      <c r="W62" s="17">
        <v>0.2493812</v>
      </c>
      <c r="X62" s="17">
        <v>-0.7031887</v>
      </c>
      <c r="Y62" s="17">
        <f t="shared" si="3"/>
        <v>2</v>
      </c>
      <c r="Z62" s="17"/>
      <c r="AA62" s="17"/>
      <c r="AB62" s="17">
        <v>9.8544999999999994E-2</v>
      </c>
      <c r="AC62" s="17">
        <v>-4.5314300000000002E-2</v>
      </c>
      <c r="AD62" s="17">
        <f t="shared" si="4"/>
        <v>2</v>
      </c>
      <c r="AE62" s="17" t="s">
        <v>2</v>
      </c>
      <c r="AF62" s="17">
        <v>9.8544999999999994E-2</v>
      </c>
      <c r="AG62" s="17">
        <v>-2.7758089999999999E-2</v>
      </c>
      <c r="AH62" s="17">
        <f t="shared" si="5"/>
        <v>2</v>
      </c>
    </row>
    <row r="63" spans="1:34" x14ac:dyDescent="0.3">
      <c r="A63" s="17">
        <v>0.1028043</v>
      </c>
      <c r="B63" s="17">
        <v>2.2998919999999999E-2</v>
      </c>
      <c r="C63" s="17">
        <f>IF($AJ$2, cp_data!B63, 2)</f>
        <v>2.2998919999999999E-2</v>
      </c>
      <c r="D63" s="17" t="s">
        <v>2</v>
      </c>
      <c r="E63" s="17">
        <v>0.1028043</v>
      </c>
      <c r="F63" s="17">
        <v>4.3615800000000003E-2</v>
      </c>
      <c r="G63" s="17">
        <f>IF($AJ$2, cp_data!F63, 2)</f>
        <v>4.3615800000000003E-2</v>
      </c>
      <c r="H63" s="17"/>
      <c r="I63" s="17"/>
      <c r="J63" s="17">
        <v>0.1028043</v>
      </c>
      <c r="K63" s="17">
        <v>-0.1414271</v>
      </c>
      <c r="L63" s="17">
        <f t="shared" si="0"/>
        <v>-0.1414271</v>
      </c>
      <c r="M63" s="17" t="s">
        <v>2</v>
      </c>
      <c r="N63" s="17">
        <v>0.1028043</v>
      </c>
      <c r="O63" s="17">
        <v>-0.12573129999999999</v>
      </c>
      <c r="P63" s="17">
        <f t="shared" si="1"/>
        <v>-0.12573129999999999</v>
      </c>
      <c r="Q63" s="17"/>
      <c r="R63" s="17"/>
      <c r="S63" s="17">
        <v>0.23786599999999999</v>
      </c>
      <c r="T63" s="17">
        <v>-0.67666300000000001</v>
      </c>
      <c r="U63" s="17">
        <f t="shared" si="2"/>
        <v>2</v>
      </c>
      <c r="V63" s="17" t="s">
        <v>2</v>
      </c>
      <c r="W63" s="17">
        <v>0.23786599999999999</v>
      </c>
      <c r="X63" s="17">
        <v>-0.72602990000000001</v>
      </c>
      <c r="Y63" s="17">
        <f t="shared" si="3"/>
        <v>2</v>
      </c>
      <c r="Z63" s="17"/>
      <c r="AA63" s="17"/>
      <c r="AB63" s="17">
        <v>0.118063</v>
      </c>
      <c r="AC63" s="17">
        <v>-8.2287200000000005E-2</v>
      </c>
      <c r="AD63" s="17">
        <f t="shared" si="4"/>
        <v>2</v>
      </c>
      <c r="AE63" s="17" t="s">
        <v>2</v>
      </c>
      <c r="AF63" s="17">
        <v>0.118063</v>
      </c>
      <c r="AG63" s="17">
        <v>-6.5596979999999999E-2</v>
      </c>
      <c r="AH63" s="17">
        <f t="shared" si="5"/>
        <v>2</v>
      </c>
    </row>
    <row r="64" spans="1:34" x14ac:dyDescent="0.3">
      <c r="A64" s="17">
        <v>0.11965249999999999</v>
      </c>
      <c r="B64" s="17">
        <v>-1.0173750000000001E-2</v>
      </c>
      <c r="C64" s="17">
        <f>IF($AJ$2, cp_data!B64, 2)</f>
        <v>-1.0173750000000001E-2</v>
      </c>
      <c r="D64" s="17" t="s">
        <v>2</v>
      </c>
      <c r="E64" s="17">
        <v>0.11965249999999999</v>
      </c>
      <c r="F64" s="17">
        <v>9.5576329999999994E-3</v>
      </c>
      <c r="G64" s="17">
        <f>IF($AJ$2, cp_data!F64, 2)</f>
        <v>9.5576329999999994E-3</v>
      </c>
      <c r="H64" s="17"/>
      <c r="I64" s="17"/>
      <c r="J64" s="17">
        <v>0.11965249999999999</v>
      </c>
      <c r="K64" s="17">
        <v>-0.14085049999999999</v>
      </c>
      <c r="L64" s="17">
        <f t="shared" si="0"/>
        <v>-0.14085049999999999</v>
      </c>
      <c r="M64" s="17" t="s">
        <v>2</v>
      </c>
      <c r="N64" s="17">
        <v>0.11965249999999999</v>
      </c>
      <c r="O64" s="17">
        <v>-0.1260298</v>
      </c>
      <c r="P64" s="17">
        <f t="shared" si="1"/>
        <v>-0.1260298</v>
      </c>
      <c r="Q64" s="17"/>
      <c r="R64" s="17"/>
      <c r="S64" s="17">
        <v>0.22655749999999999</v>
      </c>
      <c r="T64" s="17">
        <v>-0.70513930000000002</v>
      </c>
      <c r="U64" s="17">
        <f t="shared" si="2"/>
        <v>2</v>
      </c>
      <c r="V64" s="17" t="s">
        <v>2</v>
      </c>
      <c r="W64" s="17">
        <v>0.22655749999999999</v>
      </c>
      <c r="X64" s="17">
        <v>-0.7502875</v>
      </c>
      <c r="Y64" s="17">
        <f t="shared" si="3"/>
        <v>2</v>
      </c>
      <c r="Z64" s="17"/>
      <c r="AA64" s="17"/>
      <c r="AB64" s="17">
        <v>0.13894899999999999</v>
      </c>
      <c r="AC64" s="17">
        <v>-0.114791</v>
      </c>
      <c r="AD64" s="17">
        <f t="shared" si="4"/>
        <v>2</v>
      </c>
      <c r="AE64" s="17" t="s">
        <v>2</v>
      </c>
      <c r="AF64" s="17">
        <v>0.13894899999999999</v>
      </c>
      <c r="AG64" s="17">
        <v>-9.8947720000000003E-2</v>
      </c>
      <c r="AH64" s="17">
        <f t="shared" si="5"/>
        <v>2</v>
      </c>
    </row>
    <row r="65" spans="1:34" x14ac:dyDescent="0.3">
      <c r="A65" s="17">
        <v>0.13759769999999999</v>
      </c>
      <c r="B65" s="17">
        <v>-3.722089E-2</v>
      </c>
      <c r="C65" s="17">
        <f>IF($AJ$2, cp_data!B65, 2)</f>
        <v>-3.722089E-2</v>
      </c>
      <c r="D65" s="17" t="s">
        <v>2</v>
      </c>
      <c r="E65" s="17">
        <v>0.13759769999999999</v>
      </c>
      <c r="F65" s="17">
        <v>-1.8291809999999999E-2</v>
      </c>
      <c r="G65" s="17">
        <f>IF($AJ$2, cp_data!F65, 2)</f>
        <v>-1.8291809999999999E-2</v>
      </c>
      <c r="H65" s="17"/>
      <c r="I65" s="17"/>
      <c r="J65" s="17">
        <v>0.13759769999999999</v>
      </c>
      <c r="K65" s="17">
        <v>-0.13735240000000001</v>
      </c>
      <c r="L65" s="17">
        <f t="shared" si="0"/>
        <v>-0.13735240000000001</v>
      </c>
      <c r="M65" s="17" t="s">
        <v>2</v>
      </c>
      <c r="N65" s="17">
        <v>0.13759769999999999</v>
      </c>
      <c r="O65" s="17">
        <v>-0.123281</v>
      </c>
      <c r="P65" s="17">
        <f t="shared" si="1"/>
        <v>-0.123281</v>
      </c>
      <c r="Q65" s="17"/>
      <c r="R65" s="17"/>
      <c r="S65" s="17">
        <v>0.2154615</v>
      </c>
      <c r="T65" s="17">
        <v>-0.79348099999999999</v>
      </c>
      <c r="U65" s="17">
        <f t="shared" si="2"/>
        <v>2</v>
      </c>
      <c r="V65" s="17" t="s">
        <v>2</v>
      </c>
      <c r="W65" s="17">
        <v>0.2154615</v>
      </c>
      <c r="X65" s="17">
        <v>-0.77645520000000001</v>
      </c>
      <c r="Y65" s="17">
        <f t="shared" si="3"/>
        <v>2</v>
      </c>
      <c r="Z65" s="17"/>
      <c r="AA65" s="17"/>
      <c r="AB65" s="17">
        <v>0.16112099999999999</v>
      </c>
      <c r="AC65" s="17">
        <v>-0.14377719999999999</v>
      </c>
      <c r="AD65" s="17">
        <f t="shared" si="4"/>
        <v>2</v>
      </c>
      <c r="AE65" s="17" t="s">
        <v>2</v>
      </c>
      <c r="AF65" s="17">
        <v>0.16112099999999999</v>
      </c>
      <c r="AG65" s="17">
        <v>-0.12867799999999999</v>
      </c>
      <c r="AH65" s="17">
        <f t="shared" si="5"/>
        <v>2</v>
      </c>
    </row>
    <row r="66" spans="1:34" x14ac:dyDescent="0.3">
      <c r="A66" s="17">
        <v>0.15659880000000001</v>
      </c>
      <c r="B66" s="17">
        <v>-5.9091490000000003E-2</v>
      </c>
      <c r="C66" s="17">
        <f>IF($AJ$2, cp_data!B66, 2)</f>
        <v>-5.9091490000000003E-2</v>
      </c>
      <c r="D66" s="17" t="s">
        <v>2</v>
      </c>
      <c r="E66" s="17">
        <v>0.15659880000000001</v>
      </c>
      <c r="F66" s="17">
        <v>-4.0885159999999997E-2</v>
      </c>
      <c r="G66" s="17">
        <f>IF($AJ$2, cp_data!F66, 2)</f>
        <v>-4.0885159999999997E-2</v>
      </c>
      <c r="H66" s="17"/>
      <c r="I66" s="17"/>
      <c r="J66" s="17">
        <v>0.15659880000000001</v>
      </c>
      <c r="K66" s="17">
        <v>-0.13168199999999999</v>
      </c>
      <c r="L66" s="17">
        <f t="shared" si="0"/>
        <v>-0.13168199999999999</v>
      </c>
      <c r="M66" s="17" t="s">
        <v>2</v>
      </c>
      <c r="N66" s="17">
        <v>0.15659880000000001</v>
      </c>
      <c r="O66" s="17">
        <v>-0.1182496</v>
      </c>
      <c r="P66" s="17">
        <f t="shared" si="1"/>
        <v>-0.1182496</v>
      </c>
      <c r="Q66" s="17"/>
      <c r="R66" s="17"/>
      <c r="S66" s="17">
        <v>0.2045835</v>
      </c>
      <c r="T66" s="17">
        <v>-0.81330460000000004</v>
      </c>
      <c r="U66" s="17">
        <f t="shared" si="2"/>
        <v>2</v>
      </c>
      <c r="V66" s="17" t="s">
        <v>2</v>
      </c>
      <c r="W66" s="17">
        <v>0.2045835</v>
      </c>
      <c r="X66" s="17">
        <v>-0.80548280000000005</v>
      </c>
      <c r="Y66" s="17">
        <f t="shared" si="3"/>
        <v>2</v>
      </c>
      <c r="Z66" s="17"/>
      <c r="AA66" s="17"/>
      <c r="AB66" s="17">
        <v>0.18449499999999999</v>
      </c>
      <c r="AC66" s="17">
        <v>-0.16935819999999999</v>
      </c>
      <c r="AD66" s="17">
        <f t="shared" si="4"/>
        <v>2</v>
      </c>
      <c r="AE66" s="17" t="s">
        <v>2</v>
      </c>
      <c r="AF66" s="17">
        <v>0.18449499999999999</v>
      </c>
      <c r="AG66" s="17">
        <v>-0.1549199</v>
      </c>
      <c r="AH66" s="17">
        <f t="shared" si="5"/>
        <v>2</v>
      </c>
    </row>
    <row r="67" spans="1:34" x14ac:dyDescent="0.3">
      <c r="A67" s="17">
        <v>0.17661379999999999</v>
      </c>
      <c r="B67" s="17">
        <v>-7.6539540000000003E-2</v>
      </c>
      <c r="C67" s="17">
        <f>IF($AJ$2, cp_data!B67, 2)</f>
        <v>-7.6539540000000003E-2</v>
      </c>
      <c r="D67" s="17" t="s">
        <v>2</v>
      </c>
      <c r="E67" s="17">
        <v>0.17661379999999999</v>
      </c>
      <c r="F67" s="17">
        <v>-5.8981270000000002E-2</v>
      </c>
      <c r="G67" s="17">
        <f>IF($AJ$2, cp_data!F67, 2)</f>
        <v>-5.8981270000000002E-2</v>
      </c>
      <c r="H67" s="17"/>
      <c r="I67" s="17"/>
      <c r="J67" s="17">
        <v>0.17661379999999999</v>
      </c>
      <c r="K67" s="17">
        <v>-0.1244054</v>
      </c>
      <c r="L67" s="17">
        <f t="shared" ref="L67:L100" si="6">IF($AJ$3, K67, 2)</f>
        <v>-0.1244054</v>
      </c>
      <c r="M67" s="17" t="s">
        <v>2</v>
      </c>
      <c r="N67" s="17">
        <v>0.17661379999999999</v>
      </c>
      <c r="O67" s="17">
        <v>-0.111514</v>
      </c>
      <c r="P67" s="17">
        <f t="shared" ref="P67:P100" si="7">IF($AJ$3, O67, 2)</f>
        <v>-0.111514</v>
      </c>
      <c r="Q67" s="17"/>
      <c r="R67" s="17"/>
      <c r="S67" s="17">
        <v>0.19392899999999999</v>
      </c>
      <c r="T67" s="17">
        <v>-0.83880980000000005</v>
      </c>
      <c r="U67" s="17">
        <f t="shared" ref="U67:U130" si="8">IF($AJ$4, T67, 2)</f>
        <v>2</v>
      </c>
      <c r="V67" s="17" t="s">
        <v>2</v>
      </c>
      <c r="W67" s="17">
        <v>0.19392899999999999</v>
      </c>
      <c r="X67" s="17">
        <v>-0.84065109999999998</v>
      </c>
      <c r="Y67" s="17">
        <f t="shared" ref="Y67:Y130" si="9">IF($AJ$4, X67, 2)</f>
        <v>2</v>
      </c>
      <c r="Z67" s="17"/>
      <c r="AA67" s="17"/>
      <c r="AB67" s="17">
        <v>0.208983</v>
      </c>
      <c r="AC67" s="17">
        <v>-0.19083</v>
      </c>
      <c r="AD67" s="17">
        <f t="shared" ref="AD67:AD102" si="10">IF($AJ$5, AC67, 2)</f>
        <v>2</v>
      </c>
      <c r="AE67" s="17" t="s">
        <v>2</v>
      </c>
      <c r="AF67" s="17">
        <v>0.208983</v>
      </c>
      <c r="AG67" s="17">
        <v>-0.17689650000000001</v>
      </c>
      <c r="AH67" s="17">
        <f t="shared" ref="AH67:AH102" si="11">IF($AJ$5, AG67, 2)</f>
        <v>2</v>
      </c>
    </row>
    <row r="68" spans="1:34" x14ac:dyDescent="0.3">
      <c r="A68" s="17">
        <v>0.19759979999999999</v>
      </c>
      <c r="B68" s="17">
        <v>-9.0177069999999998E-2</v>
      </c>
      <c r="C68" s="17">
        <f>IF($AJ$2, cp_data!B68, 2)</f>
        <v>-9.0177069999999998E-2</v>
      </c>
      <c r="D68" s="17" t="s">
        <v>2</v>
      </c>
      <c r="E68" s="17">
        <v>0.19759979999999999</v>
      </c>
      <c r="F68" s="17">
        <v>-7.3197369999999998E-2</v>
      </c>
      <c r="G68" s="17">
        <f>IF($AJ$2, cp_data!F68, 2)</f>
        <v>-7.3197369999999998E-2</v>
      </c>
      <c r="H68" s="17"/>
      <c r="I68" s="17"/>
      <c r="J68" s="17">
        <v>0.19759979999999999</v>
      </c>
      <c r="K68" s="17">
        <v>-0.1159679</v>
      </c>
      <c r="L68" s="17">
        <f t="shared" si="6"/>
        <v>-0.1159679</v>
      </c>
      <c r="M68" s="17" t="s">
        <v>2</v>
      </c>
      <c r="N68" s="17">
        <v>0.19759979999999999</v>
      </c>
      <c r="O68" s="17">
        <v>-0.1035296</v>
      </c>
      <c r="P68" s="17">
        <f t="shared" si="7"/>
        <v>-0.1035296</v>
      </c>
      <c r="Q68" s="17"/>
      <c r="R68" s="17"/>
      <c r="S68" s="17">
        <v>0.18350340000000001</v>
      </c>
      <c r="T68" s="17">
        <v>-0.86770230000000004</v>
      </c>
      <c r="U68" s="17">
        <f t="shared" si="8"/>
        <v>2</v>
      </c>
      <c r="V68" s="17" t="s">
        <v>2</v>
      </c>
      <c r="W68" s="17">
        <v>0.18350340000000001</v>
      </c>
      <c r="X68" s="17">
        <v>-0.87929420000000003</v>
      </c>
      <c r="Y68" s="17">
        <f t="shared" si="9"/>
        <v>2</v>
      </c>
      <c r="Z68" s="17"/>
      <c r="AA68" s="17"/>
      <c r="AB68" s="17">
        <v>0.23449400000000001</v>
      </c>
      <c r="AC68" s="17">
        <v>-0.20840529999999999</v>
      </c>
      <c r="AD68" s="17">
        <f t="shared" si="10"/>
        <v>2</v>
      </c>
      <c r="AE68" s="17" t="s">
        <v>2</v>
      </c>
      <c r="AF68" s="17">
        <v>0.23449400000000001</v>
      </c>
      <c r="AG68" s="17">
        <v>-0.1948867</v>
      </c>
      <c r="AH68" s="17">
        <f t="shared" si="11"/>
        <v>2</v>
      </c>
    </row>
    <row r="69" spans="1:34" x14ac:dyDescent="0.3">
      <c r="A69" s="17">
        <v>0.2195125</v>
      </c>
      <c r="B69" s="17">
        <v>-0.100512</v>
      </c>
      <c r="C69" s="17">
        <f>IF($AJ$2, cp_data!B69, 2)</f>
        <v>-0.100512</v>
      </c>
      <c r="D69" s="17" t="s">
        <v>2</v>
      </c>
      <c r="E69" s="17">
        <v>0.2195125</v>
      </c>
      <c r="F69" s="17">
        <v>-8.4046280000000001E-2</v>
      </c>
      <c r="G69" s="17">
        <f>IF($AJ$2, cp_data!F69, 2)</f>
        <v>-8.4046280000000001E-2</v>
      </c>
      <c r="H69" s="17"/>
      <c r="I69" s="17"/>
      <c r="J69" s="17">
        <v>0.2195125</v>
      </c>
      <c r="K69" s="17">
        <v>-0.1067342</v>
      </c>
      <c r="L69" s="17">
        <f t="shared" si="6"/>
        <v>-0.1067342</v>
      </c>
      <c r="M69" s="17" t="s">
        <v>2</v>
      </c>
      <c r="N69" s="17">
        <v>0.2195125</v>
      </c>
      <c r="O69" s="17">
        <v>-9.4669409999999996E-2</v>
      </c>
      <c r="P69" s="17">
        <f t="shared" si="7"/>
        <v>-9.4669409999999996E-2</v>
      </c>
      <c r="Q69" s="17"/>
      <c r="R69" s="17"/>
      <c r="S69" s="17">
        <v>0.1733122</v>
      </c>
      <c r="T69" s="17">
        <v>-0.89950790000000003</v>
      </c>
      <c r="U69" s="17">
        <f t="shared" si="8"/>
        <v>2</v>
      </c>
      <c r="V69" s="17" t="s">
        <v>2</v>
      </c>
      <c r="W69" s="17">
        <v>0.1733122</v>
      </c>
      <c r="X69" s="17">
        <v>-0.91869789999999996</v>
      </c>
      <c r="Y69" s="17">
        <f t="shared" si="9"/>
        <v>2</v>
      </c>
      <c r="Z69" s="17"/>
      <c r="AA69" s="17"/>
      <c r="AB69" s="17">
        <v>0.260932</v>
      </c>
      <c r="AC69" s="17">
        <v>-0.22330530000000001</v>
      </c>
      <c r="AD69" s="17">
        <f t="shared" si="10"/>
        <v>2</v>
      </c>
      <c r="AE69" s="17" t="s">
        <v>2</v>
      </c>
      <c r="AF69" s="17">
        <v>0.260932</v>
      </c>
      <c r="AG69" s="17">
        <v>-0.21020910000000001</v>
      </c>
      <c r="AH69" s="17">
        <f t="shared" si="11"/>
        <v>2</v>
      </c>
    </row>
    <row r="70" spans="1:34" x14ac:dyDescent="0.3">
      <c r="A70" s="17">
        <v>0.24230679999999999</v>
      </c>
      <c r="B70" s="17">
        <v>-0.10797470000000001</v>
      </c>
      <c r="C70" s="17">
        <f>IF($AJ$2, cp_data!B70, 2)</f>
        <v>-0.10797470000000001</v>
      </c>
      <c r="D70" s="17" t="s">
        <v>2</v>
      </c>
      <c r="E70" s="17">
        <v>0.24230679999999999</v>
      </c>
      <c r="F70" s="17">
        <v>-9.1962840000000004E-2</v>
      </c>
      <c r="G70" s="17">
        <f>IF($AJ$2, cp_data!F70, 2)</f>
        <v>-9.1962840000000004E-2</v>
      </c>
      <c r="H70" s="17"/>
      <c r="I70" s="17"/>
      <c r="J70" s="17">
        <v>0.24230679999999999</v>
      </c>
      <c r="K70" s="17">
        <v>-9.7016580000000005E-2</v>
      </c>
      <c r="L70" s="17">
        <f t="shared" si="6"/>
        <v>-9.7016580000000005E-2</v>
      </c>
      <c r="M70" s="17" t="s">
        <v>2</v>
      </c>
      <c r="N70" s="17">
        <v>0.24230679999999999</v>
      </c>
      <c r="O70" s="17">
        <v>-8.5252469999999997E-2</v>
      </c>
      <c r="P70" s="17">
        <f t="shared" si="7"/>
        <v>-8.5252469999999997E-2</v>
      </c>
      <c r="Q70" s="17"/>
      <c r="R70" s="17"/>
      <c r="S70" s="17">
        <v>0.16336049999999999</v>
      </c>
      <c r="T70" s="17">
        <v>-0.9331142</v>
      </c>
      <c r="U70" s="17">
        <f t="shared" si="8"/>
        <v>2</v>
      </c>
      <c r="V70" s="17" t="s">
        <v>2</v>
      </c>
      <c r="W70" s="17">
        <v>0.16336049999999999</v>
      </c>
      <c r="X70" s="17">
        <v>-0.95759910000000004</v>
      </c>
      <c r="Y70" s="17">
        <f t="shared" si="9"/>
        <v>2</v>
      </c>
      <c r="Z70" s="17"/>
      <c r="AA70" s="17"/>
      <c r="AB70" s="17">
        <v>0.28819699999999998</v>
      </c>
      <c r="AC70" s="17">
        <v>-0.23830680000000001</v>
      </c>
      <c r="AD70" s="17">
        <f t="shared" si="10"/>
        <v>2</v>
      </c>
      <c r="AE70" s="17" t="s">
        <v>2</v>
      </c>
      <c r="AF70" s="17">
        <v>0.28819699999999998</v>
      </c>
      <c r="AG70" s="17">
        <v>-0.22615579999999999</v>
      </c>
      <c r="AH70" s="17">
        <f t="shared" si="11"/>
        <v>2</v>
      </c>
    </row>
    <row r="71" spans="1:34" x14ac:dyDescent="0.3">
      <c r="A71" s="17">
        <v>0.26593610000000001</v>
      </c>
      <c r="B71" s="17">
        <v>-0.112937</v>
      </c>
      <c r="C71" s="17">
        <f>IF($AJ$2, cp_data!B71, 2)</f>
        <v>-0.112937</v>
      </c>
      <c r="D71" s="17" t="s">
        <v>2</v>
      </c>
      <c r="E71" s="17">
        <v>0.26593610000000001</v>
      </c>
      <c r="F71" s="17">
        <v>-9.7322409999999998E-2</v>
      </c>
      <c r="G71" s="17">
        <f>IF($AJ$2, cp_data!F71, 2)</f>
        <v>-9.7322409999999998E-2</v>
      </c>
      <c r="H71" s="17"/>
      <c r="I71" s="17"/>
      <c r="J71" s="17">
        <v>0.26593610000000001</v>
      </c>
      <c r="K71" s="17">
        <v>-8.7095329999999999E-2</v>
      </c>
      <c r="L71" s="17">
        <f t="shared" si="6"/>
        <v>-8.7095329999999999E-2</v>
      </c>
      <c r="M71" s="17" t="s">
        <v>2</v>
      </c>
      <c r="N71" s="17">
        <v>0.26593610000000001</v>
      </c>
      <c r="O71" s="17">
        <v>-7.5565129999999994E-2</v>
      </c>
      <c r="P71" s="17">
        <f t="shared" si="7"/>
        <v>-7.5565129999999994E-2</v>
      </c>
      <c r="Q71" s="17"/>
      <c r="R71" s="17"/>
      <c r="S71" s="17">
        <v>0.1536536</v>
      </c>
      <c r="T71" s="17">
        <v>-0.96682069999999998</v>
      </c>
      <c r="U71" s="17">
        <f t="shared" si="8"/>
        <v>2</v>
      </c>
      <c r="V71" s="17" t="s">
        <v>2</v>
      </c>
      <c r="W71" s="17">
        <v>0.1536536</v>
      </c>
      <c r="X71" s="17">
        <v>-0.9948825</v>
      </c>
      <c r="Y71" s="17">
        <f t="shared" si="9"/>
        <v>2</v>
      </c>
      <c r="Z71" s="17"/>
      <c r="AA71" s="17"/>
      <c r="AB71" s="17">
        <v>0.316189</v>
      </c>
      <c r="AC71" s="17">
        <v>-0.24865399999999999</v>
      </c>
      <c r="AD71" s="17">
        <f t="shared" si="10"/>
        <v>2</v>
      </c>
      <c r="AE71" s="17" t="s">
        <v>2</v>
      </c>
      <c r="AF71" s="17">
        <v>0.316189</v>
      </c>
      <c r="AG71" s="17">
        <v>-0.23705480000000001</v>
      </c>
      <c r="AH71" s="17">
        <f t="shared" si="11"/>
        <v>2</v>
      </c>
    </row>
    <row r="72" spans="1:34" x14ac:dyDescent="0.3">
      <c r="A72" s="17">
        <v>0.29035240000000001</v>
      </c>
      <c r="B72" s="17">
        <v>-0.1157248</v>
      </c>
      <c r="C72" s="17">
        <f>IF($AJ$2, cp_data!B72, 2)</f>
        <v>-0.1157248</v>
      </c>
      <c r="D72" s="17" t="s">
        <v>2</v>
      </c>
      <c r="E72" s="17">
        <v>0.29035240000000001</v>
      </c>
      <c r="F72" s="17">
        <v>-0.1004539</v>
      </c>
      <c r="G72" s="17">
        <f>IF($AJ$2, cp_data!F72, 2)</f>
        <v>-0.1004539</v>
      </c>
      <c r="H72" s="17"/>
      <c r="I72" s="17"/>
      <c r="J72" s="17">
        <v>0.29035240000000001</v>
      </c>
      <c r="K72" s="17">
        <v>-7.7237769999999997E-2</v>
      </c>
      <c r="L72" s="17">
        <f t="shared" si="6"/>
        <v>-7.7237769999999997E-2</v>
      </c>
      <c r="M72" s="17" t="s">
        <v>2</v>
      </c>
      <c r="N72" s="17">
        <v>0.29035240000000001</v>
      </c>
      <c r="O72" s="17">
        <v>-6.5880659999999994E-2</v>
      </c>
      <c r="P72" s="17">
        <f t="shared" si="7"/>
        <v>-6.5880659999999994E-2</v>
      </c>
      <c r="Q72" s="17"/>
      <c r="R72" s="17"/>
      <c r="S72" s="17">
        <v>0.14419670000000001</v>
      </c>
      <c r="T72" s="17">
        <v>-0.99899519999999997</v>
      </c>
      <c r="U72" s="17">
        <f t="shared" si="8"/>
        <v>2</v>
      </c>
      <c r="V72" s="17" t="s">
        <v>2</v>
      </c>
      <c r="W72" s="17">
        <v>0.14419670000000001</v>
      </c>
      <c r="X72" s="17">
        <v>-1.029585</v>
      </c>
      <c r="Y72" s="17">
        <f t="shared" si="9"/>
        <v>2</v>
      </c>
      <c r="Z72" s="17"/>
      <c r="AA72" s="17"/>
      <c r="AB72" s="17">
        <v>0.34480100000000002</v>
      </c>
      <c r="AC72" s="17">
        <v>-0.25181530000000002</v>
      </c>
      <c r="AD72" s="17">
        <f t="shared" si="10"/>
        <v>2</v>
      </c>
      <c r="AE72" s="17" t="s">
        <v>2</v>
      </c>
      <c r="AF72" s="17">
        <v>0.34480100000000002</v>
      </c>
      <c r="AG72" s="17">
        <v>-0.24053089999999999</v>
      </c>
      <c r="AH72" s="17">
        <f t="shared" si="11"/>
        <v>2</v>
      </c>
    </row>
    <row r="73" spans="1:34" x14ac:dyDescent="0.3">
      <c r="A73" s="17">
        <v>0.31550650000000002</v>
      </c>
      <c r="B73" s="17">
        <v>-0.1166268</v>
      </c>
      <c r="C73" s="17">
        <f>IF($AJ$2, cp_data!B73, 2)</f>
        <v>-0.1166268</v>
      </c>
      <c r="D73" s="17" t="s">
        <v>2</v>
      </c>
      <c r="E73" s="17">
        <v>0.31550650000000002</v>
      </c>
      <c r="F73" s="17">
        <v>-0.1016485</v>
      </c>
      <c r="G73" s="17">
        <f>IF($AJ$2, cp_data!F73, 2)</f>
        <v>-0.1016485</v>
      </c>
      <c r="H73" s="17"/>
      <c r="I73" s="17"/>
      <c r="J73" s="17">
        <v>0.31550650000000002</v>
      </c>
      <c r="K73" s="17">
        <v>-6.7716239999999997E-2</v>
      </c>
      <c r="L73" s="17">
        <f t="shared" si="6"/>
        <v>-6.7716239999999997E-2</v>
      </c>
      <c r="M73" s="17" t="s">
        <v>2</v>
      </c>
      <c r="N73" s="17">
        <v>0.31550650000000002</v>
      </c>
      <c r="O73" s="17">
        <v>-5.647713E-2</v>
      </c>
      <c r="P73" s="17">
        <f t="shared" si="7"/>
        <v>-5.647713E-2</v>
      </c>
      <c r="Q73" s="17"/>
      <c r="R73" s="17"/>
      <c r="S73" s="17">
        <v>0.1349949</v>
      </c>
      <c r="T73" s="17">
        <v>-1.0283119999999999</v>
      </c>
      <c r="U73" s="17">
        <f t="shared" si="8"/>
        <v>2</v>
      </c>
      <c r="V73" s="17" t="s">
        <v>2</v>
      </c>
      <c r="W73" s="17">
        <v>0.1349949</v>
      </c>
      <c r="X73" s="17">
        <v>-1.060837</v>
      </c>
      <c r="Y73" s="17">
        <f t="shared" si="9"/>
        <v>2</v>
      </c>
      <c r="Z73" s="17"/>
      <c r="AA73" s="17"/>
      <c r="AB73" s="17">
        <v>0.373921</v>
      </c>
      <c r="AC73" s="17">
        <v>-0.24746699999999999</v>
      </c>
      <c r="AD73" s="17">
        <f t="shared" si="10"/>
        <v>2</v>
      </c>
      <c r="AE73" s="17" t="s">
        <v>2</v>
      </c>
      <c r="AF73" s="17">
        <v>0.373921</v>
      </c>
      <c r="AG73" s="17">
        <v>-0.23641760000000001</v>
      </c>
      <c r="AH73" s="17">
        <f t="shared" si="11"/>
        <v>2</v>
      </c>
    </row>
    <row r="74" spans="1:34" x14ac:dyDescent="0.3">
      <c r="A74" s="17">
        <v>0.34134759999999997</v>
      </c>
      <c r="B74" s="17">
        <v>-0.1159009</v>
      </c>
      <c r="C74" s="17">
        <f>IF($AJ$2, cp_data!B74, 2)</f>
        <v>-0.1159009</v>
      </c>
      <c r="D74" s="17" t="s">
        <v>2</v>
      </c>
      <c r="E74" s="17">
        <v>0.34134759999999997</v>
      </c>
      <c r="F74" s="17">
        <v>-0.1011662</v>
      </c>
      <c r="G74" s="17">
        <f>IF($AJ$2, cp_data!F74, 2)</f>
        <v>-0.1011662</v>
      </c>
      <c r="H74" s="17"/>
      <c r="I74" s="17"/>
      <c r="J74" s="17">
        <v>0.34134759999999997</v>
      </c>
      <c r="K74" s="17">
        <v>-5.8865939999999999E-2</v>
      </c>
      <c r="L74" s="17">
        <f t="shared" si="6"/>
        <v>-5.8865939999999999E-2</v>
      </c>
      <c r="M74" s="17" t="s">
        <v>2</v>
      </c>
      <c r="N74" s="17">
        <v>0.34134759999999997</v>
      </c>
      <c r="O74" s="17">
        <v>-4.7710139999999998E-2</v>
      </c>
      <c r="P74" s="17">
        <f t="shared" si="7"/>
        <v>-4.7710139999999998E-2</v>
      </c>
      <c r="Q74" s="17"/>
      <c r="R74" s="17"/>
      <c r="S74" s="17">
        <v>0.12605330000000001</v>
      </c>
      <c r="T74" s="17">
        <v>-1.0537270000000001</v>
      </c>
      <c r="U74" s="17">
        <f t="shared" si="8"/>
        <v>2</v>
      </c>
      <c r="V74" s="17" t="s">
        <v>2</v>
      </c>
      <c r="W74" s="17">
        <v>0.12605330000000001</v>
      </c>
      <c r="X74" s="17">
        <v>-1.08785</v>
      </c>
      <c r="Y74" s="17">
        <f t="shared" si="9"/>
        <v>2</v>
      </c>
      <c r="Z74" s="17"/>
      <c r="AA74" s="17"/>
      <c r="AB74" s="17">
        <v>0.40343899999999999</v>
      </c>
      <c r="AC74" s="17">
        <v>-0.2361895</v>
      </c>
      <c r="AD74" s="17">
        <f t="shared" si="10"/>
        <v>2</v>
      </c>
      <c r="AE74" s="17" t="s">
        <v>2</v>
      </c>
      <c r="AF74" s="17">
        <v>0.40343899999999999</v>
      </c>
      <c r="AG74" s="17">
        <v>-0.22530259999999999</v>
      </c>
      <c r="AH74" s="17">
        <f t="shared" si="11"/>
        <v>2</v>
      </c>
    </row>
    <row r="75" spans="1:34" x14ac:dyDescent="0.3">
      <c r="A75" s="17">
        <v>0.36782290000000001</v>
      </c>
      <c r="B75" s="17">
        <v>-0.1137777</v>
      </c>
      <c r="C75" s="17">
        <f>IF($AJ$2, cp_data!B75, 2)</f>
        <v>-0.1137777</v>
      </c>
      <c r="D75" s="17" t="s">
        <v>2</v>
      </c>
      <c r="E75" s="17">
        <v>0.36782290000000001</v>
      </c>
      <c r="F75" s="17">
        <v>-9.9238989999999999E-2</v>
      </c>
      <c r="G75" s="17">
        <f>IF($AJ$2, cp_data!F75, 2)</f>
        <v>-9.9238989999999999E-2</v>
      </c>
      <c r="H75" s="17"/>
      <c r="I75" s="17"/>
      <c r="J75" s="17">
        <v>0.36782290000000001</v>
      </c>
      <c r="K75" s="17">
        <v>-5.1045500000000001E-2</v>
      </c>
      <c r="L75" s="17">
        <f t="shared" si="6"/>
        <v>-5.1045500000000001E-2</v>
      </c>
      <c r="M75" s="17" t="s">
        <v>2</v>
      </c>
      <c r="N75" s="17">
        <v>0.36782290000000001</v>
      </c>
      <c r="O75" s="17">
        <v>-3.989533E-2</v>
      </c>
      <c r="P75" s="17">
        <f t="shared" si="7"/>
        <v>-3.989533E-2</v>
      </c>
      <c r="Q75" s="17"/>
      <c r="R75" s="17"/>
      <c r="S75" s="17">
        <v>0.1173767</v>
      </c>
      <c r="T75" s="17">
        <v>-1.0743959999999999</v>
      </c>
      <c r="U75" s="17">
        <f t="shared" si="8"/>
        <v>2</v>
      </c>
      <c r="V75" s="17" t="s">
        <v>2</v>
      </c>
      <c r="W75" s="17">
        <v>0.1173767</v>
      </c>
      <c r="X75" s="17">
        <v>-1.109917</v>
      </c>
      <c r="Y75" s="17">
        <f t="shared" si="9"/>
        <v>2</v>
      </c>
      <c r="Z75" s="17"/>
      <c r="AA75" s="17"/>
      <c r="AB75" s="17">
        <v>0.43324099999999999</v>
      </c>
      <c r="AC75" s="17">
        <v>-0.2189091</v>
      </c>
      <c r="AD75" s="17">
        <f t="shared" si="10"/>
        <v>2</v>
      </c>
      <c r="AE75" s="17" t="s">
        <v>2</v>
      </c>
      <c r="AF75" s="17">
        <v>0.43324099999999999</v>
      </c>
      <c r="AG75" s="17">
        <v>-0.20797959999999999</v>
      </c>
      <c r="AH75" s="17">
        <f t="shared" si="11"/>
        <v>2</v>
      </c>
    </row>
    <row r="76" spans="1:34" x14ac:dyDescent="0.3">
      <c r="A76" s="17">
        <v>0.39487820000000001</v>
      </c>
      <c r="B76" s="17">
        <v>-0.11046350000000001</v>
      </c>
      <c r="C76" s="17">
        <f>IF($AJ$2, cp_data!B76, 2)</f>
        <v>-0.11046350000000001</v>
      </c>
      <c r="D76" s="17" t="s">
        <v>2</v>
      </c>
      <c r="E76" s="17">
        <v>0.39487820000000001</v>
      </c>
      <c r="F76" s="17">
        <v>-9.6074300000000001E-2</v>
      </c>
      <c r="G76" s="17">
        <f>IF($AJ$2, cp_data!F76, 2)</f>
        <v>-9.6074300000000001E-2</v>
      </c>
      <c r="H76" s="17"/>
      <c r="I76" s="17"/>
      <c r="J76" s="17">
        <v>0.39487820000000001</v>
      </c>
      <c r="K76" s="17">
        <v>-4.5751180000000002E-2</v>
      </c>
      <c r="L76" s="17">
        <f t="shared" si="6"/>
        <v>-4.5751180000000002E-2</v>
      </c>
      <c r="M76" s="17" t="s">
        <v>2</v>
      </c>
      <c r="N76" s="17">
        <v>0.39487820000000001</v>
      </c>
      <c r="O76" s="17">
        <v>-3.5232640000000003E-2</v>
      </c>
      <c r="P76" s="17">
        <f t="shared" si="7"/>
        <v>-3.5232640000000003E-2</v>
      </c>
      <c r="Q76" s="17"/>
      <c r="R76" s="17"/>
      <c r="S76" s="17">
        <v>0.1089702</v>
      </c>
      <c r="T76" s="17">
        <v>-1.089628</v>
      </c>
      <c r="U76" s="17">
        <f t="shared" si="8"/>
        <v>2</v>
      </c>
      <c r="V76" s="17" t="s">
        <v>2</v>
      </c>
      <c r="W76" s="17">
        <v>0.1089702</v>
      </c>
      <c r="X76" s="17">
        <v>-1.1264190000000001</v>
      </c>
      <c r="Y76" s="17">
        <f t="shared" si="9"/>
        <v>2</v>
      </c>
      <c r="Z76" s="17"/>
      <c r="AA76" s="17"/>
      <c r="AB76" s="17">
        <v>0.46321699999999999</v>
      </c>
      <c r="AC76" s="17">
        <v>-0.19705320000000001</v>
      </c>
      <c r="AD76" s="17">
        <f t="shared" si="10"/>
        <v>2</v>
      </c>
      <c r="AE76" s="17" t="s">
        <v>2</v>
      </c>
      <c r="AF76" s="17">
        <v>0.46321699999999999</v>
      </c>
      <c r="AG76" s="17">
        <v>-0.18559610000000001</v>
      </c>
      <c r="AH76" s="17">
        <f t="shared" si="11"/>
        <v>2</v>
      </c>
    </row>
    <row r="77" spans="1:34" x14ac:dyDescent="0.3">
      <c r="A77" s="17">
        <v>0.42245709999999997</v>
      </c>
      <c r="B77" s="17">
        <v>-0.106142</v>
      </c>
      <c r="C77" s="17">
        <f>IF($AJ$2, cp_data!B77, 2)</f>
        <v>-0.106142</v>
      </c>
      <c r="D77" s="17" t="s">
        <v>2</v>
      </c>
      <c r="E77" s="17">
        <v>0.42245709999999997</v>
      </c>
      <c r="F77" s="17">
        <v>-9.1855939999999997E-2</v>
      </c>
      <c r="G77" s="17">
        <f>IF($AJ$2, cp_data!F77, 2)</f>
        <v>-9.1855939999999997E-2</v>
      </c>
      <c r="H77" s="17"/>
      <c r="I77" s="17"/>
      <c r="J77" s="17">
        <v>0.42245709999999997</v>
      </c>
      <c r="K77" s="17">
        <v>-4.2527629999999997E-2</v>
      </c>
      <c r="L77" s="17">
        <f t="shared" si="6"/>
        <v>-4.2527629999999997E-2</v>
      </c>
      <c r="M77" s="17" t="s">
        <v>2</v>
      </c>
      <c r="N77" s="17">
        <v>0.42245709999999997</v>
      </c>
      <c r="O77" s="17">
        <v>-3.3155469999999999E-2</v>
      </c>
      <c r="P77" s="17">
        <f t="shared" si="7"/>
        <v>-3.3155469999999999E-2</v>
      </c>
      <c r="Q77" s="17"/>
      <c r="R77" s="17"/>
      <c r="S77" s="17">
        <v>0.1008386</v>
      </c>
      <c r="T77" s="17">
        <v>-1.098859</v>
      </c>
      <c r="U77" s="17">
        <f t="shared" si="8"/>
        <v>2</v>
      </c>
      <c r="V77" s="17" t="s">
        <v>2</v>
      </c>
      <c r="W77" s="17">
        <v>0.1008386</v>
      </c>
      <c r="X77" s="17">
        <v>-1.136835</v>
      </c>
      <c r="Y77" s="17">
        <f t="shared" si="9"/>
        <v>2</v>
      </c>
      <c r="Z77" s="17"/>
      <c r="AA77" s="17"/>
      <c r="AB77" s="17">
        <v>0.493259</v>
      </c>
      <c r="AC77" s="17">
        <v>-0.1728539</v>
      </c>
      <c r="AD77" s="17">
        <f t="shared" si="10"/>
        <v>2</v>
      </c>
      <c r="AE77" s="17" t="s">
        <v>2</v>
      </c>
      <c r="AF77" s="17">
        <v>0.493259</v>
      </c>
      <c r="AG77" s="17">
        <v>-0.15995319999999999</v>
      </c>
      <c r="AH77" s="17">
        <f t="shared" si="11"/>
        <v>2</v>
      </c>
    </row>
    <row r="78" spans="1:34" x14ac:dyDescent="0.3">
      <c r="A78" s="17">
        <v>0.45050109999999999</v>
      </c>
      <c r="B78" s="17">
        <v>-0.10097490000000001</v>
      </c>
      <c r="C78" s="17">
        <f>IF($AJ$2, cp_data!B78, 2)</f>
        <v>-0.10097490000000001</v>
      </c>
      <c r="D78" s="17" t="s">
        <v>2</v>
      </c>
      <c r="E78" s="17">
        <v>0.45050109999999999</v>
      </c>
      <c r="F78" s="17">
        <v>-8.6745139999999998E-2</v>
      </c>
      <c r="G78" s="17">
        <f>IF($AJ$2, cp_data!F78, 2)</f>
        <v>-8.6745139999999998E-2</v>
      </c>
      <c r="H78" s="17"/>
      <c r="I78" s="17"/>
      <c r="J78" s="17">
        <v>0.45050109999999999</v>
      </c>
      <c r="K78" s="17">
        <v>-3.6247000000000001E-2</v>
      </c>
      <c r="L78" s="17">
        <f t="shared" si="6"/>
        <v>-3.6247000000000001E-2</v>
      </c>
      <c r="M78" s="17" t="s">
        <v>2</v>
      </c>
      <c r="N78" s="17">
        <v>0.45050109999999999</v>
      </c>
      <c r="O78" s="17">
        <v>-2.6280850000000001E-2</v>
      </c>
      <c r="P78" s="17">
        <f t="shared" si="7"/>
        <v>-2.6280850000000001E-2</v>
      </c>
      <c r="Q78" s="17"/>
      <c r="R78" s="17"/>
      <c r="S78" s="17">
        <v>9.2986669999999993E-2</v>
      </c>
      <c r="T78" s="17">
        <v>-1.1016429999999999</v>
      </c>
      <c r="U78" s="17">
        <f t="shared" si="8"/>
        <v>2</v>
      </c>
      <c r="V78" s="17" t="s">
        <v>2</v>
      </c>
      <c r="W78" s="17">
        <v>9.2986669999999993E-2</v>
      </c>
      <c r="X78" s="17">
        <v>-1.1407419999999999</v>
      </c>
      <c r="Y78" s="17">
        <f t="shared" si="9"/>
        <v>2</v>
      </c>
      <c r="Z78" s="17"/>
      <c r="AA78" s="17"/>
      <c r="AB78" s="17">
        <v>0.52326399999999995</v>
      </c>
      <c r="AC78" s="17">
        <v>-0.14889079999999999</v>
      </c>
      <c r="AD78" s="17">
        <f t="shared" si="10"/>
        <v>2</v>
      </c>
      <c r="AE78" s="17" t="s">
        <v>2</v>
      </c>
      <c r="AF78" s="17">
        <v>0.52326399999999995</v>
      </c>
      <c r="AG78" s="17">
        <v>-0.1324929</v>
      </c>
      <c r="AH78" s="17">
        <f t="shared" si="11"/>
        <v>2</v>
      </c>
    </row>
    <row r="79" spans="1:34" x14ac:dyDescent="0.3">
      <c r="A79" s="17">
        <v>0.47894910000000002</v>
      </c>
      <c r="B79" s="17">
        <v>-9.5102359999999997E-2</v>
      </c>
      <c r="C79" s="17">
        <f>IF($AJ$2, cp_data!B79, 2)</f>
        <v>-9.5102359999999997E-2</v>
      </c>
      <c r="D79" s="17" t="s">
        <v>2</v>
      </c>
      <c r="E79" s="17">
        <v>0.47894910000000002</v>
      </c>
      <c r="F79" s="17">
        <v>-8.0880889999999997E-2</v>
      </c>
      <c r="G79" s="17">
        <f>IF($AJ$2, cp_data!F79, 2)</f>
        <v>-8.0880889999999997E-2</v>
      </c>
      <c r="H79" s="17"/>
      <c r="I79" s="17"/>
      <c r="J79" s="17">
        <v>0.47894910000000002</v>
      </c>
      <c r="K79" s="17">
        <v>-2.9031520000000002E-2</v>
      </c>
      <c r="L79" s="17">
        <f t="shared" si="6"/>
        <v>-2.9031520000000002E-2</v>
      </c>
      <c r="M79" s="17" t="s">
        <v>2</v>
      </c>
      <c r="N79" s="17">
        <v>0.47894910000000002</v>
      </c>
      <c r="O79" s="17">
        <v>-1.863482E-2</v>
      </c>
      <c r="P79" s="17">
        <f t="shared" si="7"/>
        <v>-1.863482E-2</v>
      </c>
      <c r="Q79" s="17"/>
      <c r="R79" s="17"/>
      <c r="S79" s="17">
        <v>8.5419300000000004E-2</v>
      </c>
      <c r="T79" s="17">
        <v>-1.09765</v>
      </c>
      <c r="U79" s="17">
        <f t="shared" si="8"/>
        <v>2</v>
      </c>
      <c r="V79" s="17" t="s">
        <v>2</v>
      </c>
      <c r="W79" s="17">
        <v>8.5419300000000004E-2</v>
      </c>
      <c r="X79" s="17">
        <v>-1.1378239999999999</v>
      </c>
      <c r="Y79" s="17">
        <f t="shared" si="9"/>
        <v>2</v>
      </c>
      <c r="Z79" s="17"/>
      <c r="AA79" s="17"/>
      <c r="AB79" s="17">
        <v>0.55312799999999995</v>
      </c>
      <c r="AC79" s="17">
        <v>-0.12770490000000001</v>
      </c>
      <c r="AD79" s="17">
        <f t="shared" si="10"/>
        <v>2</v>
      </c>
      <c r="AE79" s="17" t="s">
        <v>2</v>
      </c>
      <c r="AF79" s="17">
        <v>0.55312799999999995</v>
      </c>
      <c r="AG79" s="17">
        <v>-0.1035867</v>
      </c>
      <c r="AH79" s="17">
        <f t="shared" si="11"/>
        <v>2</v>
      </c>
    </row>
    <row r="80" spans="1:34" x14ac:dyDescent="0.3">
      <c r="A80" s="17">
        <v>0.50773780000000002</v>
      </c>
      <c r="B80" s="17">
        <v>-8.8643799999999995E-2</v>
      </c>
      <c r="C80" s="17">
        <f>IF($AJ$2, cp_data!B80, 2)</f>
        <v>-8.8643799999999995E-2</v>
      </c>
      <c r="D80" s="17" t="s">
        <v>2</v>
      </c>
      <c r="E80" s="17">
        <v>0.50773780000000002</v>
      </c>
      <c r="F80" s="17">
        <v>-7.4379909999999994E-2</v>
      </c>
      <c r="G80" s="17">
        <f>IF($AJ$2, cp_data!F80, 2)</f>
        <v>-7.4379909999999994E-2</v>
      </c>
      <c r="H80" s="17"/>
      <c r="I80" s="17"/>
      <c r="J80" s="17">
        <v>0.50773780000000002</v>
      </c>
      <c r="K80" s="17">
        <v>-2.1269659999999999E-2</v>
      </c>
      <c r="L80" s="17">
        <f t="shared" si="6"/>
        <v>-2.1269659999999999E-2</v>
      </c>
      <c r="M80" s="17" t="s">
        <v>2</v>
      </c>
      <c r="N80" s="17">
        <v>0.50773780000000002</v>
      </c>
      <c r="O80" s="17">
        <v>-1.041192E-2</v>
      </c>
      <c r="P80" s="17">
        <f t="shared" si="7"/>
        <v>-1.041192E-2</v>
      </c>
      <c r="Q80" s="17"/>
      <c r="R80" s="17"/>
      <c r="S80" s="17">
        <v>7.8141150000000006E-2</v>
      </c>
      <c r="T80" s="17">
        <v>-1.086657</v>
      </c>
      <c r="U80" s="17">
        <f t="shared" si="8"/>
        <v>2</v>
      </c>
      <c r="V80" s="17" t="s">
        <v>2</v>
      </c>
      <c r="W80" s="17">
        <v>7.8141150000000006E-2</v>
      </c>
      <c r="X80" s="17">
        <v>-1.1278710000000001</v>
      </c>
      <c r="Y80" s="17">
        <f t="shared" si="9"/>
        <v>2</v>
      </c>
      <c r="Z80" s="17"/>
      <c r="AA80" s="17"/>
      <c r="AB80" s="17">
        <v>0.58275100000000002</v>
      </c>
      <c r="AC80" s="17">
        <v>-0.11048330000000001</v>
      </c>
      <c r="AD80" s="17">
        <f t="shared" si="10"/>
        <v>2</v>
      </c>
      <c r="AE80" s="17" t="s">
        <v>2</v>
      </c>
      <c r="AF80" s="17">
        <v>0.58275100000000002</v>
      </c>
      <c r="AG80" s="17">
        <v>-7.4114079999999999E-2</v>
      </c>
      <c r="AH80" s="17">
        <f t="shared" si="11"/>
        <v>2</v>
      </c>
    </row>
    <row r="81" spans="1:34" x14ac:dyDescent="0.3">
      <c r="A81" s="17">
        <v>0.53680050000000001</v>
      </c>
      <c r="B81" s="17">
        <v>-8.1697729999999996E-2</v>
      </c>
      <c r="C81" s="17">
        <f>IF($AJ$2, cp_data!B81, 2)</f>
        <v>-8.1697729999999996E-2</v>
      </c>
      <c r="D81" s="17" t="s">
        <v>2</v>
      </c>
      <c r="E81" s="17">
        <v>0.53680050000000001</v>
      </c>
      <c r="F81" s="17">
        <v>-6.7336389999999996E-2</v>
      </c>
      <c r="G81" s="17">
        <f>IF($AJ$2, cp_data!F81, 2)</f>
        <v>-6.7336389999999996E-2</v>
      </c>
      <c r="H81" s="17"/>
      <c r="I81" s="17"/>
      <c r="J81" s="17">
        <v>0.53680050000000001</v>
      </c>
      <c r="K81" s="17">
        <v>-1.333581E-2</v>
      </c>
      <c r="L81" s="17">
        <f t="shared" si="6"/>
        <v>-1.333581E-2</v>
      </c>
      <c r="M81" s="17" t="s">
        <v>2</v>
      </c>
      <c r="N81" s="17">
        <v>0.53680050000000001</v>
      </c>
      <c r="O81" s="17">
        <v>-1.93059E-3</v>
      </c>
      <c r="P81" s="17">
        <f t="shared" si="7"/>
        <v>-1.93059E-3</v>
      </c>
      <c r="Q81" s="17"/>
      <c r="R81" s="17"/>
      <c r="S81" s="17">
        <v>7.1156899999999995E-2</v>
      </c>
      <c r="T81" s="17">
        <v>-1.0685450000000001</v>
      </c>
      <c r="U81" s="17">
        <f t="shared" si="8"/>
        <v>2</v>
      </c>
      <c r="V81" s="17" t="s">
        <v>2</v>
      </c>
      <c r="W81" s="17">
        <v>7.1156899999999995E-2</v>
      </c>
      <c r="X81" s="17">
        <v>-1.1107720000000001</v>
      </c>
      <c r="Y81" s="17">
        <f t="shared" si="9"/>
        <v>2</v>
      </c>
      <c r="Z81" s="17"/>
      <c r="AA81" s="17"/>
      <c r="AB81" s="17">
        <v>0.61203600000000002</v>
      </c>
      <c r="AC81" s="17">
        <v>-3.8002319999999999E-2</v>
      </c>
      <c r="AD81" s="17">
        <f t="shared" si="10"/>
        <v>2</v>
      </c>
      <c r="AE81" s="17" t="s">
        <v>2</v>
      </c>
      <c r="AF81" s="17">
        <v>0.61203600000000002</v>
      </c>
      <c r="AG81" s="17">
        <v>-4.4539250000000002E-2</v>
      </c>
      <c r="AH81" s="17">
        <f t="shared" si="11"/>
        <v>2</v>
      </c>
    </row>
    <row r="82" spans="1:34" x14ac:dyDescent="0.3">
      <c r="A82" s="17">
        <v>0.56606769999999995</v>
      </c>
      <c r="B82" s="17">
        <v>-7.4342240000000004E-2</v>
      </c>
      <c r="C82" s="17">
        <f>IF($AJ$2, cp_data!B82, 2)</f>
        <v>-7.4342240000000004E-2</v>
      </c>
      <c r="D82" s="17" t="s">
        <v>2</v>
      </c>
      <c r="E82" s="17">
        <v>0.56606769999999995</v>
      </c>
      <c r="F82" s="17">
        <v>-5.9821550000000001E-2</v>
      </c>
      <c r="G82" s="17">
        <f>IF($AJ$2, cp_data!F82, 2)</f>
        <v>-5.9821550000000001E-2</v>
      </c>
      <c r="H82" s="17"/>
      <c r="I82" s="17"/>
      <c r="J82" s="17">
        <v>0.56606769999999995</v>
      </c>
      <c r="K82" s="17">
        <v>-5.5136899999999999E-3</v>
      </c>
      <c r="L82" s="17">
        <f t="shared" si="6"/>
        <v>-5.5136899999999999E-3</v>
      </c>
      <c r="M82" s="17" t="s">
        <v>2</v>
      </c>
      <c r="N82" s="17">
        <v>0.56606769999999995</v>
      </c>
      <c r="O82" s="17">
        <v>6.659646E-3</v>
      </c>
      <c r="P82" s="17">
        <f t="shared" si="7"/>
        <v>6.659646E-3</v>
      </c>
      <c r="Q82" s="17"/>
      <c r="R82" s="17"/>
      <c r="S82" s="17">
        <v>6.447116E-2</v>
      </c>
      <c r="T82" s="17">
        <v>-1.0432870000000001</v>
      </c>
      <c r="U82" s="17">
        <f t="shared" si="8"/>
        <v>2</v>
      </c>
      <c r="V82" s="17" t="s">
        <v>2</v>
      </c>
      <c r="W82" s="17">
        <v>6.447116E-2</v>
      </c>
      <c r="X82" s="17">
        <v>-1.086508</v>
      </c>
      <c r="Y82" s="17">
        <f t="shared" si="9"/>
        <v>2</v>
      </c>
      <c r="Z82" s="17"/>
      <c r="AA82" s="17"/>
      <c r="AB82" s="17">
        <v>0.64088400000000001</v>
      </c>
      <c r="AC82" s="17">
        <v>-1.127797E-2</v>
      </c>
      <c r="AD82" s="17">
        <f t="shared" si="10"/>
        <v>2</v>
      </c>
      <c r="AE82" s="17" t="s">
        <v>2</v>
      </c>
      <c r="AF82" s="17">
        <v>0.64088400000000001</v>
      </c>
      <c r="AG82" s="17">
        <v>-1.353967E-2</v>
      </c>
      <c r="AH82" s="17">
        <f t="shared" si="11"/>
        <v>2</v>
      </c>
    </row>
    <row r="83" spans="1:34" x14ac:dyDescent="0.3">
      <c r="A83" s="17">
        <v>0.5954661</v>
      </c>
      <c r="B83" s="17">
        <v>-6.6635769999999997E-2</v>
      </c>
      <c r="C83" s="17">
        <f>IF($AJ$2, cp_data!B83, 2)</f>
        <v>-6.6635769999999997E-2</v>
      </c>
      <c r="D83" s="17" t="s">
        <v>2</v>
      </c>
      <c r="E83" s="17">
        <v>0.5954661</v>
      </c>
      <c r="F83" s="17">
        <v>-5.1882949999999997E-2</v>
      </c>
      <c r="G83" s="17">
        <f>IF($AJ$2, cp_data!F83, 2)</f>
        <v>-5.1882949999999997E-2</v>
      </c>
      <c r="H83" s="17"/>
      <c r="I83" s="17"/>
      <c r="J83" s="17">
        <v>0.5954661</v>
      </c>
      <c r="K83" s="17">
        <v>1.816493E-3</v>
      </c>
      <c r="L83" s="17">
        <f t="shared" si="6"/>
        <v>1.816493E-3</v>
      </c>
      <c r="M83" s="17" t="s">
        <v>2</v>
      </c>
      <c r="N83" s="17">
        <v>0.5954661</v>
      </c>
      <c r="O83" s="17">
        <v>1.526372E-2</v>
      </c>
      <c r="P83" s="17">
        <f t="shared" si="7"/>
        <v>1.526372E-2</v>
      </c>
      <c r="Q83" s="17"/>
      <c r="R83" s="17"/>
      <c r="S83" s="17">
        <v>5.8088529999999999E-2</v>
      </c>
      <c r="T83" s="17">
        <v>-1.0109269999999999</v>
      </c>
      <c r="U83" s="17">
        <f t="shared" si="8"/>
        <v>2</v>
      </c>
      <c r="V83" s="17" t="s">
        <v>2</v>
      </c>
      <c r="W83" s="17">
        <v>5.8088529999999999E-2</v>
      </c>
      <c r="X83" s="17">
        <v>-1.0551349999999999</v>
      </c>
      <c r="Y83" s="17">
        <f t="shared" si="9"/>
        <v>2</v>
      </c>
      <c r="Z83" s="17"/>
      <c r="AA83" s="17"/>
      <c r="AB83" s="17">
        <v>0.66920400000000002</v>
      </c>
      <c r="AC83" s="17">
        <v>1.51892E-2</v>
      </c>
      <c r="AD83" s="17">
        <f t="shared" si="10"/>
        <v>2</v>
      </c>
      <c r="AE83" s="17" t="s">
        <v>2</v>
      </c>
      <c r="AF83" s="17">
        <v>0.66920400000000002</v>
      </c>
      <c r="AG83" s="17">
        <v>1.7775429999999998E-2</v>
      </c>
      <c r="AH83" s="17">
        <f t="shared" si="11"/>
        <v>2</v>
      </c>
    </row>
    <row r="84" spans="1:34" x14ac:dyDescent="0.3">
      <c r="A84" s="17">
        <v>0.62491819999999998</v>
      </c>
      <c r="B84" s="17">
        <v>-5.8618620000000003E-2</v>
      </c>
      <c r="C84" s="17">
        <f>IF($AJ$2, cp_data!B84, 2)</f>
        <v>-5.8618620000000003E-2</v>
      </c>
      <c r="D84" s="17" t="s">
        <v>2</v>
      </c>
      <c r="E84" s="17">
        <v>0.62491819999999998</v>
      </c>
      <c r="F84" s="17">
        <v>-4.3543709999999999E-2</v>
      </c>
      <c r="G84" s="17">
        <f>IF($AJ$2, cp_data!F84, 2)</f>
        <v>-4.3543709999999999E-2</v>
      </c>
      <c r="H84" s="17"/>
      <c r="I84" s="17"/>
      <c r="J84" s="17">
        <v>0.62491819999999998</v>
      </c>
      <c r="K84" s="17">
        <v>7.686862E-3</v>
      </c>
      <c r="L84" s="17">
        <f t="shared" si="6"/>
        <v>7.686862E-3</v>
      </c>
      <c r="M84" s="17" t="s">
        <v>2</v>
      </c>
      <c r="N84" s="17">
        <v>0.62491819999999998</v>
      </c>
      <c r="O84" s="17">
        <v>2.383182E-2</v>
      </c>
      <c r="P84" s="17">
        <f t="shared" si="7"/>
        <v>2.383182E-2</v>
      </c>
      <c r="Q84" s="17"/>
      <c r="R84" s="17"/>
      <c r="S84" s="17">
        <v>5.2013520000000001E-2</v>
      </c>
      <c r="T84" s="17">
        <v>-0.97156500000000001</v>
      </c>
      <c r="U84" s="17">
        <f t="shared" si="8"/>
        <v>2</v>
      </c>
      <c r="V84" s="17" t="s">
        <v>2</v>
      </c>
      <c r="W84" s="17">
        <v>5.2013520000000001E-2</v>
      </c>
      <c r="X84" s="17">
        <v>-1.0167600000000001</v>
      </c>
      <c r="Y84" s="17">
        <f t="shared" si="9"/>
        <v>2</v>
      </c>
      <c r="Z84" s="17"/>
      <c r="AA84" s="17"/>
      <c r="AB84" s="17">
        <v>0.69690399999999997</v>
      </c>
      <c r="AC84" s="17">
        <v>4.2946270000000002E-2</v>
      </c>
      <c r="AD84" s="17">
        <f t="shared" si="10"/>
        <v>2</v>
      </c>
      <c r="AE84" s="17" t="s">
        <v>2</v>
      </c>
      <c r="AF84" s="17">
        <v>0.69690399999999997</v>
      </c>
      <c r="AG84" s="17">
        <v>4.8741010000000001E-2</v>
      </c>
      <c r="AH84" s="17">
        <f t="shared" si="11"/>
        <v>2</v>
      </c>
    </row>
    <row r="85" spans="1:34" x14ac:dyDescent="0.3">
      <c r="A85" s="17">
        <v>0.65434190000000003</v>
      </c>
      <c r="B85" s="17">
        <v>-5.0316199999999998E-2</v>
      </c>
      <c r="C85" s="17">
        <f>IF($AJ$2, cp_data!B85, 2)</f>
        <v>-5.0316199999999998E-2</v>
      </c>
      <c r="D85" s="17" t="s">
        <v>2</v>
      </c>
      <c r="E85" s="17">
        <v>0.65434190000000003</v>
      </c>
      <c r="F85" s="17">
        <v>-3.480134E-2</v>
      </c>
      <c r="G85" s="17">
        <f>IF($AJ$2, cp_data!F85, 2)</f>
        <v>-3.480134E-2</v>
      </c>
      <c r="H85" s="17"/>
      <c r="I85" s="17"/>
      <c r="J85" s="17">
        <v>0.65434190000000003</v>
      </c>
      <c r="K85" s="17">
        <v>1.445664E-2</v>
      </c>
      <c r="L85" s="17">
        <f t="shared" si="6"/>
        <v>1.445664E-2</v>
      </c>
      <c r="M85" s="17" t="s">
        <v>2</v>
      </c>
      <c r="N85" s="17">
        <v>0.65434190000000003</v>
      </c>
      <c r="O85" s="17">
        <v>3.2349620000000003E-2</v>
      </c>
      <c r="P85" s="17">
        <f t="shared" si="7"/>
        <v>3.2349620000000003E-2</v>
      </c>
      <c r="Q85" s="17"/>
      <c r="R85" s="17"/>
      <c r="S85" s="17">
        <v>4.6250630000000001E-2</v>
      </c>
      <c r="T85" s="17">
        <v>-0.92532650000000005</v>
      </c>
      <c r="U85" s="17">
        <f t="shared" si="8"/>
        <v>2</v>
      </c>
      <c r="V85" s="17" t="s">
        <v>2</v>
      </c>
      <c r="W85" s="17">
        <v>4.6250630000000001E-2</v>
      </c>
      <c r="X85" s="17">
        <v>-0.97151750000000003</v>
      </c>
      <c r="Y85" s="17">
        <f t="shared" si="9"/>
        <v>2</v>
      </c>
      <c r="Z85" s="17"/>
      <c r="AA85" s="17"/>
      <c r="AB85" s="17">
        <v>0.72389800000000004</v>
      </c>
      <c r="AC85" s="17">
        <v>7.0025130000000005E-2</v>
      </c>
      <c r="AD85" s="17">
        <f t="shared" si="10"/>
        <v>2</v>
      </c>
      <c r="AE85" s="17" t="s">
        <v>2</v>
      </c>
      <c r="AF85" s="17">
        <v>0.72389800000000004</v>
      </c>
      <c r="AG85" s="17">
        <v>7.7775410000000003E-2</v>
      </c>
      <c r="AH85" s="17">
        <f t="shared" si="11"/>
        <v>2</v>
      </c>
    </row>
    <row r="86" spans="1:34" x14ac:dyDescent="0.3">
      <c r="A86" s="17">
        <v>0.68364999999999998</v>
      </c>
      <c r="B86" s="17">
        <v>-4.1745690000000002E-2</v>
      </c>
      <c r="C86" s="17">
        <f>IF($AJ$2, cp_data!B86, 2)</f>
        <v>-4.1745690000000002E-2</v>
      </c>
      <c r="D86" s="17" t="s">
        <v>2</v>
      </c>
      <c r="E86" s="17">
        <v>0.68364999999999998</v>
      </c>
      <c r="F86" s="17">
        <v>-2.5626360000000001E-2</v>
      </c>
      <c r="G86" s="17">
        <f>IF($AJ$2, cp_data!F86, 2)</f>
        <v>-2.5626360000000001E-2</v>
      </c>
      <c r="H86" s="17"/>
      <c r="I86" s="17"/>
      <c r="J86" s="17">
        <v>0.68364999999999998</v>
      </c>
      <c r="K86" s="17">
        <v>3.9629530000000003E-2</v>
      </c>
      <c r="L86" s="17">
        <f t="shared" si="6"/>
        <v>3.9629530000000003E-2</v>
      </c>
      <c r="M86" s="17" t="s">
        <v>2</v>
      </c>
      <c r="N86" s="17">
        <v>0.68364999999999998</v>
      </c>
      <c r="O86" s="17">
        <v>4.0835009999999998E-2</v>
      </c>
      <c r="P86" s="17">
        <f t="shared" si="7"/>
        <v>4.0835009999999998E-2</v>
      </c>
      <c r="Q86" s="17"/>
      <c r="R86" s="17"/>
      <c r="S86" s="17">
        <v>4.0804310000000003E-2</v>
      </c>
      <c r="T86" s="17">
        <v>-0.87233170000000004</v>
      </c>
      <c r="U86" s="17">
        <f t="shared" si="8"/>
        <v>2</v>
      </c>
      <c r="V86" s="17" t="s">
        <v>2</v>
      </c>
      <c r="W86" s="17">
        <v>4.0804310000000003E-2</v>
      </c>
      <c r="X86" s="17">
        <v>-0.91953890000000005</v>
      </c>
      <c r="Y86" s="17">
        <f t="shared" si="9"/>
        <v>2</v>
      </c>
      <c r="Z86" s="17"/>
      <c r="AA86" s="17"/>
      <c r="AB86" s="17">
        <v>0.75009800000000004</v>
      </c>
      <c r="AC86" s="17">
        <v>9.7953189999999996E-2</v>
      </c>
      <c r="AD86" s="17">
        <f t="shared" si="10"/>
        <v>2</v>
      </c>
      <c r="AE86" s="17" t="s">
        <v>2</v>
      </c>
      <c r="AF86" s="17">
        <v>0.75009800000000004</v>
      </c>
      <c r="AG86" s="17">
        <v>0.10740760000000001</v>
      </c>
      <c r="AH86" s="17">
        <f t="shared" si="11"/>
        <v>2</v>
      </c>
    </row>
    <row r="87" spans="1:34" x14ac:dyDescent="0.3">
      <c r="A87" s="17">
        <v>0.71274870000000001</v>
      </c>
      <c r="B87" s="17">
        <v>-3.2929880000000002E-2</v>
      </c>
      <c r="C87" s="17">
        <f>IF($AJ$2, cp_data!B87, 2)</f>
        <v>-3.2929880000000002E-2</v>
      </c>
      <c r="D87" s="17" t="s">
        <v>2</v>
      </c>
      <c r="E87" s="17">
        <v>0.71274870000000001</v>
      </c>
      <c r="F87" s="17">
        <v>-1.5960309999999998E-2</v>
      </c>
      <c r="G87" s="17">
        <f>IF($AJ$2, cp_data!F87, 2)</f>
        <v>-1.5960309999999998E-2</v>
      </c>
      <c r="H87" s="17"/>
      <c r="I87" s="17"/>
      <c r="J87" s="17">
        <v>0.71274870000000001</v>
      </c>
      <c r="K87" s="17">
        <v>4.7500939999999998E-2</v>
      </c>
      <c r="L87" s="17">
        <f t="shared" si="6"/>
        <v>4.7500939999999998E-2</v>
      </c>
      <c r="M87" s="17" t="s">
        <v>2</v>
      </c>
      <c r="N87" s="17">
        <v>0.71274870000000001</v>
      </c>
      <c r="O87" s="17">
        <v>4.933717E-2</v>
      </c>
      <c r="P87" s="17">
        <f t="shared" si="7"/>
        <v>4.933717E-2</v>
      </c>
      <c r="Q87" s="17"/>
      <c r="R87" s="17"/>
      <c r="S87" s="17">
        <v>3.5678950000000001E-2</v>
      </c>
      <c r="T87" s="17">
        <v>-0.8126601</v>
      </c>
      <c r="U87" s="17">
        <f t="shared" si="8"/>
        <v>2</v>
      </c>
      <c r="V87" s="17" t="s">
        <v>2</v>
      </c>
      <c r="W87" s="17">
        <v>3.5678950000000001E-2</v>
      </c>
      <c r="X87" s="17">
        <v>-0.86091280000000003</v>
      </c>
      <c r="Y87" s="17">
        <f t="shared" si="9"/>
        <v>2</v>
      </c>
      <c r="Z87" s="17"/>
      <c r="AA87" s="17"/>
      <c r="AB87" s="17">
        <v>0.77542100000000003</v>
      </c>
      <c r="AC87" s="17">
        <v>0.12337770000000001</v>
      </c>
      <c r="AD87" s="17">
        <f t="shared" si="10"/>
        <v>2</v>
      </c>
      <c r="AE87" s="17" t="s">
        <v>2</v>
      </c>
      <c r="AF87" s="17">
        <v>0.77542100000000003</v>
      </c>
      <c r="AG87" s="17">
        <v>0.1339321</v>
      </c>
      <c r="AH87" s="17">
        <f t="shared" si="11"/>
        <v>2</v>
      </c>
    </row>
    <row r="88" spans="1:34" x14ac:dyDescent="0.3">
      <c r="A88" s="17">
        <v>0.74153729999999995</v>
      </c>
      <c r="B88" s="17">
        <v>-2.3926900000000001E-2</v>
      </c>
      <c r="C88" s="17">
        <f>IF($AJ$2, cp_data!B88, 2)</f>
        <v>-2.3926900000000001E-2</v>
      </c>
      <c r="D88" s="17" t="s">
        <v>2</v>
      </c>
      <c r="E88" s="17">
        <v>0.74153729999999995</v>
      </c>
      <c r="F88" s="17">
        <v>-5.712979E-3</v>
      </c>
      <c r="G88" s="17">
        <f>IF($AJ$2, cp_data!F88, 2)</f>
        <v>-5.712979E-3</v>
      </c>
      <c r="H88" s="17"/>
      <c r="I88" s="17"/>
      <c r="J88" s="17">
        <v>0.74153729999999995</v>
      </c>
      <c r="K88" s="17">
        <v>5.2927050000000003E-2</v>
      </c>
      <c r="L88" s="17">
        <f t="shared" si="6"/>
        <v>5.2927050000000003E-2</v>
      </c>
      <c r="M88" s="17" t="s">
        <v>2</v>
      </c>
      <c r="N88" s="17">
        <v>0.74153729999999995</v>
      </c>
      <c r="O88" s="17">
        <v>5.793777E-2</v>
      </c>
      <c r="P88" s="17">
        <f t="shared" si="7"/>
        <v>5.793777E-2</v>
      </c>
      <c r="Q88" s="17"/>
      <c r="R88" s="17"/>
      <c r="S88" s="17">
        <v>3.0878920000000001E-2</v>
      </c>
      <c r="T88" s="17">
        <v>-0.74630920000000001</v>
      </c>
      <c r="U88" s="17">
        <f t="shared" si="8"/>
        <v>2</v>
      </c>
      <c r="V88" s="17" t="s">
        <v>2</v>
      </c>
      <c r="W88" s="17">
        <v>3.0878920000000001E-2</v>
      </c>
      <c r="X88" s="17">
        <v>-0.79564480000000004</v>
      </c>
      <c r="Y88" s="17">
        <f t="shared" si="9"/>
        <v>2</v>
      </c>
      <c r="Z88" s="17"/>
      <c r="AA88" s="17"/>
      <c r="AB88" s="17">
        <v>0.79978199999999999</v>
      </c>
      <c r="AC88" s="17">
        <v>0.14891299999999999</v>
      </c>
      <c r="AD88" s="17">
        <f t="shared" si="10"/>
        <v>2</v>
      </c>
      <c r="AE88" s="17" t="s">
        <v>2</v>
      </c>
      <c r="AF88" s="17">
        <v>0.79978199999999999</v>
      </c>
      <c r="AG88" s="17">
        <v>0.1609631</v>
      </c>
      <c r="AH88" s="17">
        <f t="shared" si="11"/>
        <v>2</v>
      </c>
    </row>
    <row r="89" spans="1:34" x14ac:dyDescent="0.3">
      <c r="A89" s="17">
        <v>0.76990630000000004</v>
      </c>
      <c r="B89" s="17">
        <v>-1.489131E-2</v>
      </c>
      <c r="C89" s="17">
        <f>IF($AJ$2, cp_data!B89, 2)</f>
        <v>-1.489131E-2</v>
      </c>
      <c r="D89" s="17" t="s">
        <v>2</v>
      </c>
      <c r="E89" s="17">
        <v>0.76990630000000004</v>
      </c>
      <c r="F89" s="17">
        <v>5.2415700000000001E-3</v>
      </c>
      <c r="G89" s="17">
        <f>IF($AJ$2, cp_data!F89, 2)</f>
        <v>5.2415700000000001E-3</v>
      </c>
      <c r="H89" s="17"/>
      <c r="I89" s="17"/>
      <c r="J89" s="17">
        <v>0.76990630000000004</v>
      </c>
      <c r="K89" s="17">
        <v>5.896614E-2</v>
      </c>
      <c r="L89" s="17">
        <f t="shared" si="6"/>
        <v>5.896614E-2</v>
      </c>
      <c r="M89" s="17" t="s">
        <v>2</v>
      </c>
      <c r="N89" s="17">
        <v>0.76990630000000004</v>
      </c>
      <c r="O89" s="17">
        <v>6.6754019999999997E-2</v>
      </c>
      <c r="P89" s="17">
        <f t="shared" si="7"/>
        <v>6.6754019999999997E-2</v>
      </c>
      <c r="Q89" s="17"/>
      <c r="R89" s="17"/>
      <c r="S89" s="17">
        <v>2.6408540000000001E-2</v>
      </c>
      <c r="T89" s="17">
        <v>-0.67314890000000005</v>
      </c>
      <c r="U89" s="17">
        <f t="shared" si="8"/>
        <v>2</v>
      </c>
      <c r="V89" s="17" t="s">
        <v>2</v>
      </c>
      <c r="W89" s="17">
        <v>2.6408540000000001E-2</v>
      </c>
      <c r="X89" s="17">
        <v>-0.72360930000000001</v>
      </c>
      <c r="Y89" s="17">
        <f t="shared" si="9"/>
        <v>2</v>
      </c>
      <c r="Z89" s="17"/>
      <c r="AA89" s="17"/>
      <c r="AB89" s="17">
        <v>0.82310399999999995</v>
      </c>
      <c r="AC89" s="17">
        <v>0.1712967</v>
      </c>
      <c r="AD89" s="17">
        <f t="shared" si="10"/>
        <v>2</v>
      </c>
      <c r="AE89" s="17" t="s">
        <v>2</v>
      </c>
      <c r="AF89" s="17">
        <v>0.82310399999999995</v>
      </c>
      <c r="AG89" s="17">
        <v>0.18447340000000001</v>
      </c>
      <c r="AH89" s="17">
        <f t="shared" si="11"/>
        <v>2</v>
      </c>
    </row>
    <row r="90" spans="1:34" x14ac:dyDescent="0.3">
      <c r="A90" s="17">
        <v>0.79773620000000001</v>
      </c>
      <c r="B90" s="17">
        <v>-6.2407920000000002E-3</v>
      </c>
      <c r="C90" s="17">
        <f>IF($AJ$2, cp_data!B90, 2)</f>
        <v>-6.2407920000000002E-3</v>
      </c>
      <c r="D90" s="17" t="s">
        <v>2</v>
      </c>
      <c r="E90" s="17">
        <v>0.79773620000000001</v>
      </c>
      <c r="F90" s="17">
        <v>1.7071050000000001E-2</v>
      </c>
      <c r="G90" s="17">
        <f>IF($AJ$2, cp_data!F90, 2)</f>
        <v>1.7071050000000001E-2</v>
      </c>
      <c r="H90" s="17"/>
      <c r="I90" s="17"/>
      <c r="J90" s="17">
        <v>0.79773620000000001</v>
      </c>
      <c r="K90" s="17">
        <v>6.599323E-2</v>
      </c>
      <c r="L90" s="17">
        <f t="shared" si="6"/>
        <v>6.599323E-2</v>
      </c>
      <c r="M90" s="17" t="s">
        <v>2</v>
      </c>
      <c r="N90" s="17">
        <v>0.79773620000000001</v>
      </c>
      <c r="O90" s="17">
        <v>7.5944159999999997E-2</v>
      </c>
      <c r="P90" s="17">
        <f t="shared" si="7"/>
        <v>7.5944159999999997E-2</v>
      </c>
      <c r="Q90" s="17"/>
      <c r="R90" s="17"/>
      <c r="S90" s="17">
        <v>2.2272110000000001E-2</v>
      </c>
      <c r="T90" s="17">
        <v>-0.59287000000000001</v>
      </c>
      <c r="U90" s="17">
        <f t="shared" si="8"/>
        <v>2</v>
      </c>
      <c r="V90" s="17" t="s">
        <v>2</v>
      </c>
      <c r="W90" s="17">
        <v>2.2272110000000001E-2</v>
      </c>
      <c r="X90" s="17">
        <v>-0.64449559999999995</v>
      </c>
      <c r="Y90" s="17">
        <f t="shared" si="9"/>
        <v>2</v>
      </c>
      <c r="Z90" s="17"/>
      <c r="AA90" s="17"/>
      <c r="AB90" s="17">
        <v>0.845306</v>
      </c>
      <c r="AC90" s="17">
        <v>0.1917507</v>
      </c>
      <c r="AD90" s="17">
        <f t="shared" si="10"/>
        <v>2</v>
      </c>
      <c r="AE90" s="17" t="s">
        <v>2</v>
      </c>
      <c r="AF90" s="17">
        <v>0.845306</v>
      </c>
      <c r="AG90" s="17">
        <v>0.20620920000000001</v>
      </c>
      <c r="AH90" s="17">
        <f t="shared" si="11"/>
        <v>2</v>
      </c>
    </row>
    <row r="91" spans="1:34" x14ac:dyDescent="0.3">
      <c r="A91" s="17">
        <v>0.82489440000000003</v>
      </c>
      <c r="B91" s="17">
        <v>8.4862610000000004E-4</v>
      </c>
      <c r="C91" s="17">
        <f>IF($AJ$2, cp_data!B91, 2)</f>
        <v>8.4862610000000004E-4</v>
      </c>
      <c r="D91" s="17" t="s">
        <v>2</v>
      </c>
      <c r="E91" s="17">
        <v>0.82489440000000003</v>
      </c>
      <c r="F91" s="17">
        <v>2.9994389999999999E-2</v>
      </c>
      <c r="G91" s="17">
        <f>IF($AJ$2, cp_data!F91, 2)</f>
        <v>2.9994389999999999E-2</v>
      </c>
      <c r="H91" s="17"/>
      <c r="I91" s="17"/>
      <c r="J91" s="17">
        <v>0.82489440000000003</v>
      </c>
      <c r="K91" s="17">
        <v>7.3931049999999998E-2</v>
      </c>
      <c r="L91" s="17">
        <f t="shared" si="6"/>
        <v>7.3931049999999998E-2</v>
      </c>
      <c r="M91" s="17" t="s">
        <v>2</v>
      </c>
      <c r="N91" s="17">
        <v>0.82489440000000003</v>
      </c>
      <c r="O91" s="17">
        <v>8.571666E-2</v>
      </c>
      <c r="P91" s="17">
        <f t="shared" si="7"/>
        <v>8.571666E-2</v>
      </c>
      <c r="Q91" s="17"/>
      <c r="R91" s="17"/>
      <c r="S91" s="17">
        <v>1.847385E-2</v>
      </c>
      <c r="T91" s="17">
        <v>-0.50492970000000004</v>
      </c>
      <c r="U91" s="17">
        <f t="shared" si="8"/>
        <v>2</v>
      </c>
      <c r="V91" s="17" t="s">
        <v>2</v>
      </c>
      <c r="W91" s="17">
        <v>1.847385E-2</v>
      </c>
      <c r="X91" s="17">
        <v>-0.55774840000000003</v>
      </c>
      <c r="Y91" s="17">
        <f t="shared" si="9"/>
        <v>2</v>
      </c>
      <c r="Z91" s="17"/>
      <c r="AA91" s="17"/>
      <c r="AB91" s="17">
        <v>0.86631199999999997</v>
      </c>
      <c r="AC91" s="17">
        <v>0.2100766</v>
      </c>
      <c r="AD91" s="17">
        <f t="shared" si="10"/>
        <v>2</v>
      </c>
      <c r="AE91" s="17" t="s">
        <v>2</v>
      </c>
      <c r="AF91" s="17">
        <v>0.86631199999999997</v>
      </c>
      <c r="AG91" s="17">
        <v>0.22590830000000001</v>
      </c>
      <c r="AH91" s="17">
        <f t="shared" si="11"/>
        <v>2</v>
      </c>
    </row>
    <row r="92" spans="1:34" x14ac:dyDescent="0.3">
      <c r="A92" s="17">
        <v>0.85123280000000001</v>
      </c>
      <c r="B92" s="17">
        <v>1.5931310000000001E-2</v>
      </c>
      <c r="C92" s="17">
        <f>IF($AJ$2, cp_data!B92, 2)</f>
        <v>1.5931310000000001E-2</v>
      </c>
      <c r="D92" s="17" t="s">
        <v>2</v>
      </c>
      <c r="E92" s="17">
        <v>0.85123280000000001</v>
      </c>
      <c r="F92" s="17">
        <v>4.4297089999999997E-2</v>
      </c>
      <c r="G92" s="17">
        <f>IF($AJ$2, cp_data!F92, 2)</f>
        <v>4.4297089999999997E-2</v>
      </c>
      <c r="H92" s="17"/>
      <c r="I92" s="17"/>
      <c r="J92" s="17">
        <v>0.85123280000000001</v>
      </c>
      <c r="K92" s="17">
        <v>8.2801319999999998E-2</v>
      </c>
      <c r="L92" s="17">
        <f t="shared" si="6"/>
        <v>8.2801319999999998E-2</v>
      </c>
      <c r="M92" s="17" t="s">
        <v>2</v>
      </c>
      <c r="N92" s="17">
        <v>0.85123280000000001</v>
      </c>
      <c r="O92" s="17">
        <v>9.6345310000000003E-2</v>
      </c>
      <c r="P92" s="17">
        <f t="shared" si="7"/>
        <v>9.6345310000000003E-2</v>
      </c>
      <c r="Q92" s="17"/>
      <c r="R92" s="17"/>
      <c r="S92" s="17">
        <v>1.501799E-2</v>
      </c>
      <c r="T92" s="17">
        <v>-0.40849659999999999</v>
      </c>
      <c r="U92" s="17">
        <f t="shared" si="8"/>
        <v>2</v>
      </c>
      <c r="V92" s="17" t="s">
        <v>2</v>
      </c>
      <c r="W92" s="17">
        <v>1.501799E-2</v>
      </c>
      <c r="X92" s="17">
        <v>-0.46250479999999999</v>
      </c>
      <c r="Y92" s="17">
        <f t="shared" si="9"/>
        <v>2</v>
      </c>
      <c r="Z92" s="17"/>
      <c r="AA92" s="17"/>
      <c r="AB92" s="17">
        <v>0.886046</v>
      </c>
      <c r="AC92" s="17">
        <v>0.22657269999999999</v>
      </c>
      <c r="AD92" s="17">
        <f t="shared" si="10"/>
        <v>2</v>
      </c>
      <c r="AE92" s="17" t="s">
        <v>2</v>
      </c>
      <c r="AF92" s="17">
        <v>0.886046</v>
      </c>
      <c r="AG92" s="17">
        <v>0.24406810000000001</v>
      </c>
      <c r="AH92" s="17">
        <f t="shared" si="11"/>
        <v>2</v>
      </c>
    </row>
    <row r="93" spans="1:34" x14ac:dyDescent="0.3">
      <c r="A93" s="17">
        <v>0.876583</v>
      </c>
      <c r="B93" s="17">
        <v>5.0404329999999997E-2</v>
      </c>
      <c r="C93" s="17">
        <f>IF($AJ$2, cp_data!B93, 2)</f>
        <v>5.0404329999999997E-2</v>
      </c>
      <c r="D93" s="17" t="s">
        <v>2</v>
      </c>
      <c r="E93" s="17">
        <v>0.876583</v>
      </c>
      <c r="F93" s="17">
        <v>6.0357260000000003E-2</v>
      </c>
      <c r="G93" s="17">
        <f>IF($AJ$2, cp_data!F93, 2)</f>
        <v>6.0357260000000003E-2</v>
      </c>
      <c r="H93" s="17"/>
      <c r="I93" s="17"/>
      <c r="J93" s="17">
        <v>0.876583</v>
      </c>
      <c r="K93" s="17">
        <v>9.2772279999999999E-2</v>
      </c>
      <c r="L93" s="17">
        <f t="shared" si="6"/>
        <v>9.2772279999999999E-2</v>
      </c>
      <c r="M93" s="17" t="s">
        <v>2</v>
      </c>
      <c r="N93" s="17">
        <v>0.876583</v>
      </c>
      <c r="O93" s="17">
        <v>0.1081951</v>
      </c>
      <c r="P93" s="17">
        <f t="shared" si="7"/>
        <v>0.1081951</v>
      </c>
      <c r="Q93" s="17"/>
      <c r="R93" s="17"/>
      <c r="S93" s="17">
        <v>1.190869E-2</v>
      </c>
      <c r="T93" s="17">
        <v>-0.30240820000000002</v>
      </c>
      <c r="U93" s="17">
        <f t="shared" si="8"/>
        <v>2</v>
      </c>
      <c r="V93" s="17" t="s">
        <v>2</v>
      </c>
      <c r="W93" s="17">
        <v>1.190869E-2</v>
      </c>
      <c r="X93" s="17">
        <v>-0.3575393</v>
      </c>
      <c r="Y93" s="17">
        <f t="shared" si="9"/>
        <v>2</v>
      </c>
      <c r="Z93" s="17"/>
      <c r="AA93" s="17"/>
      <c r="AB93" s="17">
        <v>0.90443700000000005</v>
      </c>
      <c r="AC93" s="17">
        <v>0.24090030000000001</v>
      </c>
      <c r="AD93" s="17">
        <f t="shared" si="10"/>
        <v>2</v>
      </c>
      <c r="AE93" s="17" t="s">
        <v>2</v>
      </c>
      <c r="AF93" s="17">
        <v>0.90443700000000005</v>
      </c>
      <c r="AG93" s="17">
        <v>0.26024570000000002</v>
      </c>
      <c r="AH93" s="17">
        <f t="shared" si="11"/>
        <v>2</v>
      </c>
    </row>
    <row r="94" spans="1:34" x14ac:dyDescent="0.3">
      <c r="A94" s="17">
        <v>0.90074949999999998</v>
      </c>
      <c r="B94" s="17">
        <v>6.6858189999999998E-2</v>
      </c>
      <c r="C94" s="17">
        <f>IF($AJ$2, cp_data!B94, 2)</f>
        <v>6.6858189999999998E-2</v>
      </c>
      <c r="D94" s="17" t="s">
        <v>2</v>
      </c>
      <c r="E94" s="17">
        <v>0.90074949999999998</v>
      </c>
      <c r="F94" s="17">
        <v>7.8692509999999993E-2</v>
      </c>
      <c r="G94" s="17">
        <f>IF($AJ$2, cp_data!F94, 2)</f>
        <v>7.8692509999999993E-2</v>
      </c>
      <c r="H94" s="17"/>
      <c r="I94" s="17"/>
      <c r="J94" s="17">
        <v>0.90074949999999998</v>
      </c>
      <c r="K94" s="17">
        <v>0.1041444</v>
      </c>
      <c r="L94" s="17">
        <f t="shared" si="6"/>
        <v>0.1041444</v>
      </c>
      <c r="M94" s="17" t="s">
        <v>2</v>
      </c>
      <c r="N94" s="17">
        <v>0.90074949999999998</v>
      </c>
      <c r="O94" s="17">
        <v>0.1217679</v>
      </c>
      <c r="P94" s="17">
        <f t="shared" si="7"/>
        <v>0.1217679</v>
      </c>
      <c r="Q94" s="17"/>
      <c r="R94" s="17"/>
      <c r="S94" s="17">
        <v>9.1500910000000008E-3</v>
      </c>
      <c r="T94" s="17">
        <v>-0.18516289999999999</v>
      </c>
      <c r="U94" s="17">
        <f t="shared" si="8"/>
        <v>2</v>
      </c>
      <c r="V94" s="17" t="s">
        <v>2</v>
      </c>
      <c r="W94" s="17">
        <v>9.1500910000000008E-3</v>
      </c>
      <c r="X94" s="17">
        <v>-0.24124110000000001</v>
      </c>
      <c r="Y94" s="17">
        <f t="shared" si="9"/>
        <v>2</v>
      </c>
      <c r="Z94" s="17"/>
      <c r="AA94" s="17"/>
      <c r="AB94" s="17">
        <v>0.92141799999999996</v>
      </c>
      <c r="AC94" s="17">
        <v>0.25357220000000003</v>
      </c>
      <c r="AD94" s="17">
        <f t="shared" si="10"/>
        <v>2</v>
      </c>
      <c r="AE94" s="17" t="s">
        <v>2</v>
      </c>
      <c r="AF94" s="17">
        <v>0.92141799999999996</v>
      </c>
      <c r="AG94" s="17">
        <v>0.2755358</v>
      </c>
      <c r="AH94" s="17">
        <f t="shared" si="11"/>
        <v>2</v>
      </c>
    </row>
    <row r="95" spans="1:34" x14ac:dyDescent="0.3">
      <c r="A95" s="17">
        <v>0.92349979999999998</v>
      </c>
      <c r="B95" s="17">
        <v>8.2682179999999994E-2</v>
      </c>
      <c r="C95" s="17">
        <f>IF($AJ$2, cp_data!B95, 2)</f>
        <v>8.2682179999999994E-2</v>
      </c>
      <c r="D95" s="17" t="s">
        <v>2</v>
      </c>
      <c r="E95" s="17">
        <v>0.92349979999999998</v>
      </c>
      <c r="F95" s="17">
        <v>0.10004689999999999</v>
      </c>
      <c r="G95" s="17">
        <f>IF($AJ$2, cp_data!F95, 2)</f>
        <v>0.10004689999999999</v>
      </c>
      <c r="H95" s="17"/>
      <c r="I95" s="17"/>
      <c r="J95" s="17">
        <v>0.92349979999999998</v>
      </c>
      <c r="K95" s="17">
        <v>0.11736820000000001</v>
      </c>
      <c r="L95" s="17">
        <f t="shared" si="6"/>
        <v>0.11736820000000001</v>
      </c>
      <c r="M95" s="17" t="s">
        <v>2</v>
      </c>
      <c r="N95" s="17">
        <v>0.92349979999999998</v>
      </c>
      <c r="O95" s="17">
        <v>0.13779060000000001</v>
      </c>
      <c r="P95" s="17">
        <f t="shared" si="7"/>
        <v>0.13779060000000001</v>
      </c>
      <c r="Q95" s="17"/>
      <c r="R95" s="17"/>
      <c r="S95" s="17">
        <v>6.7462989999999999E-3</v>
      </c>
      <c r="T95" s="17">
        <v>-5.5036809999999999E-2</v>
      </c>
      <c r="U95" s="17">
        <f t="shared" si="8"/>
        <v>2</v>
      </c>
      <c r="V95" s="17" t="s">
        <v>2</v>
      </c>
      <c r="W95" s="17">
        <v>6.7462989999999999E-3</v>
      </c>
      <c r="X95" s="17">
        <v>-0.1116837</v>
      </c>
      <c r="Y95" s="17">
        <f t="shared" si="9"/>
        <v>2</v>
      </c>
      <c r="Z95" s="17"/>
      <c r="AA95" s="17"/>
      <c r="AB95" s="17">
        <v>0.93692699999999995</v>
      </c>
      <c r="AC95" s="17">
        <v>0.26281680000000002</v>
      </c>
      <c r="AD95" s="17">
        <f t="shared" si="10"/>
        <v>2</v>
      </c>
      <c r="AE95" s="17" t="s">
        <v>2</v>
      </c>
      <c r="AF95" s="17">
        <v>0.93692699999999995</v>
      </c>
      <c r="AG95" s="17">
        <v>0.28717179999999998</v>
      </c>
      <c r="AH95" s="17">
        <f t="shared" si="11"/>
        <v>2</v>
      </c>
    </row>
    <row r="96" spans="1:34" x14ac:dyDescent="0.3">
      <c r="A96" s="17">
        <v>0.94454689999999997</v>
      </c>
      <c r="B96" s="17">
        <v>0.10197730000000001</v>
      </c>
      <c r="C96" s="17">
        <f>IF($AJ$2, cp_data!B96, 2)</f>
        <v>0.10197730000000001</v>
      </c>
      <c r="D96" s="17" t="s">
        <v>2</v>
      </c>
      <c r="E96" s="17">
        <v>0.94454689999999997</v>
      </c>
      <c r="F96" s="17">
        <v>0.12558920000000001</v>
      </c>
      <c r="G96" s="17">
        <f>IF($AJ$2, cp_data!F96, 2)</f>
        <v>0.12558920000000001</v>
      </c>
      <c r="H96" s="17"/>
      <c r="I96" s="17"/>
      <c r="J96" s="17">
        <v>0.94454689999999997</v>
      </c>
      <c r="K96" s="17">
        <v>0.13307620000000001</v>
      </c>
      <c r="L96" s="17">
        <f t="shared" si="6"/>
        <v>0.13307620000000001</v>
      </c>
      <c r="M96" s="17" t="s">
        <v>2</v>
      </c>
      <c r="N96" s="17">
        <v>0.94454689999999997</v>
      </c>
      <c r="O96" s="17">
        <v>0.1573976</v>
      </c>
      <c r="P96" s="17">
        <f t="shared" si="7"/>
        <v>0.1573976</v>
      </c>
      <c r="Q96" s="17"/>
      <c r="R96" s="17"/>
      <c r="S96" s="17">
        <v>4.7013810000000001E-3</v>
      </c>
      <c r="T96" s="17">
        <v>8.9649839999999995E-2</v>
      </c>
      <c r="U96" s="17">
        <f t="shared" si="8"/>
        <v>2</v>
      </c>
      <c r="V96" s="17" t="s">
        <v>2</v>
      </c>
      <c r="W96" s="17">
        <v>4.7013810000000001E-3</v>
      </c>
      <c r="X96" s="17">
        <v>3.3092820000000002E-2</v>
      </c>
      <c r="Y96" s="17">
        <f t="shared" si="9"/>
        <v>2</v>
      </c>
      <c r="Z96" s="17"/>
      <c r="AA96" s="17"/>
      <c r="AB96" s="17">
        <v>0.95090300000000005</v>
      </c>
      <c r="AC96" s="17">
        <v>0.27007310000000001</v>
      </c>
      <c r="AD96" s="17">
        <f t="shared" si="10"/>
        <v>2</v>
      </c>
      <c r="AE96" s="17" t="s">
        <v>2</v>
      </c>
      <c r="AF96" s="17">
        <v>0.95090300000000005</v>
      </c>
      <c r="AG96" s="17">
        <v>0.29790349999999999</v>
      </c>
      <c r="AH96" s="17">
        <f t="shared" si="11"/>
        <v>2</v>
      </c>
    </row>
    <row r="97" spans="1:34" x14ac:dyDescent="0.3">
      <c r="A97" s="17">
        <v>0.9635184</v>
      </c>
      <c r="B97" s="17">
        <v>0.1260734</v>
      </c>
      <c r="C97" s="17">
        <f>IF($AJ$2, cp_data!B97, 2)</f>
        <v>0.1260734</v>
      </c>
      <c r="D97" s="17" t="s">
        <v>2</v>
      </c>
      <c r="E97" s="17">
        <v>0.9635184</v>
      </c>
      <c r="F97" s="17">
        <v>0.15723480000000001</v>
      </c>
      <c r="G97" s="17">
        <f>IF($AJ$2, cp_data!F97, 2)</f>
        <v>0.15723480000000001</v>
      </c>
      <c r="H97" s="17"/>
      <c r="I97" s="17"/>
      <c r="J97" s="17">
        <v>0.9635184</v>
      </c>
      <c r="K97" s="17">
        <v>0.1522249</v>
      </c>
      <c r="L97" s="17">
        <f t="shared" si="6"/>
        <v>0.1522249</v>
      </c>
      <c r="M97" s="17" t="s">
        <v>2</v>
      </c>
      <c r="N97" s="17">
        <v>0.9635184</v>
      </c>
      <c r="O97" s="17">
        <v>0.18252060000000001</v>
      </c>
      <c r="P97" s="17">
        <f t="shared" si="7"/>
        <v>0.18252060000000001</v>
      </c>
      <c r="Q97" s="17"/>
      <c r="R97" s="17"/>
      <c r="S97" s="17">
        <v>3.01937E-3</v>
      </c>
      <c r="T97" s="17">
        <v>0.24962909999999999</v>
      </c>
      <c r="U97" s="17">
        <f t="shared" si="8"/>
        <v>2</v>
      </c>
      <c r="V97" s="17" t="s">
        <v>2</v>
      </c>
      <c r="W97" s="17">
        <v>3.01937E-3</v>
      </c>
      <c r="X97" s="17">
        <v>0.1943542</v>
      </c>
      <c r="Y97" s="17">
        <f t="shared" si="9"/>
        <v>2</v>
      </c>
      <c r="Z97" s="17"/>
      <c r="AA97" s="17"/>
      <c r="AB97" s="17">
        <v>0.96329200000000004</v>
      </c>
      <c r="AC97" s="17">
        <v>0.2742445</v>
      </c>
      <c r="AD97" s="17">
        <f t="shared" si="10"/>
        <v>2</v>
      </c>
      <c r="AE97" s="17" t="s">
        <v>2</v>
      </c>
      <c r="AF97" s="17">
        <v>0.96329200000000004</v>
      </c>
      <c r="AG97" s="17">
        <v>0.30601050000000002</v>
      </c>
      <c r="AH97" s="17">
        <f t="shared" si="11"/>
        <v>2</v>
      </c>
    </row>
    <row r="98" spans="1:34" x14ac:dyDescent="0.3">
      <c r="A98" s="17">
        <v>0.97988949999999997</v>
      </c>
      <c r="B98" s="17">
        <v>0.15576010000000001</v>
      </c>
      <c r="C98" s="17">
        <f>IF($AJ$2, cp_data!B98, 2)</f>
        <v>0.15576010000000001</v>
      </c>
      <c r="D98" s="17" t="s">
        <v>2</v>
      </c>
      <c r="E98" s="17">
        <v>0.97988949999999997</v>
      </c>
      <c r="F98" s="17">
        <v>0.19971920000000001</v>
      </c>
      <c r="G98" s="17">
        <f>IF($AJ$2, cp_data!F98, 2)</f>
        <v>0.19971920000000001</v>
      </c>
      <c r="H98" s="17"/>
      <c r="I98" s="17"/>
      <c r="J98" s="17">
        <v>0.97988949999999997</v>
      </c>
      <c r="K98" s="17">
        <v>0.1755044</v>
      </c>
      <c r="L98" s="17">
        <f t="shared" si="6"/>
        <v>0.1755044</v>
      </c>
      <c r="M98" s="17" t="s">
        <v>2</v>
      </c>
      <c r="N98" s="17">
        <v>0.97988949999999997</v>
      </c>
      <c r="O98" s="17">
        <v>0.21754209999999999</v>
      </c>
      <c r="P98" s="17">
        <f t="shared" si="7"/>
        <v>0.21754209999999999</v>
      </c>
      <c r="Q98" s="17"/>
      <c r="R98" s="17"/>
      <c r="S98" s="17">
        <v>1.7042719999999999E-3</v>
      </c>
      <c r="T98" s="17">
        <v>0.42336859999999998</v>
      </c>
      <c r="U98" s="17">
        <f t="shared" si="8"/>
        <v>2</v>
      </c>
      <c r="V98" s="17" t="s">
        <v>2</v>
      </c>
      <c r="W98" s="17">
        <v>1.7042719999999999E-3</v>
      </c>
      <c r="X98" s="17">
        <v>0.37114599999999998</v>
      </c>
      <c r="Y98" s="17">
        <f t="shared" si="9"/>
        <v>2</v>
      </c>
      <c r="Z98" s="17"/>
      <c r="AA98" s="17"/>
      <c r="AB98" s="17">
        <v>0.97404800000000002</v>
      </c>
      <c r="AC98" s="17">
        <v>0.27573589999999998</v>
      </c>
      <c r="AD98" s="17">
        <f t="shared" si="10"/>
        <v>2</v>
      </c>
      <c r="AE98" s="17" t="s">
        <v>2</v>
      </c>
      <c r="AF98" s="17">
        <v>0.97404800000000002</v>
      </c>
      <c r="AG98" s="17">
        <v>0.31278460000000002</v>
      </c>
      <c r="AH98" s="17">
        <f t="shared" si="11"/>
        <v>2</v>
      </c>
    </row>
    <row r="99" spans="1:34" x14ac:dyDescent="0.3">
      <c r="A99" s="17">
        <v>0.99280060000000003</v>
      </c>
      <c r="B99" s="17">
        <v>0.1947344</v>
      </c>
      <c r="C99" s="17">
        <f>IF($AJ$2, cp_data!B99, 2)</f>
        <v>0.1947344</v>
      </c>
      <c r="D99" s="17" t="s">
        <v>2</v>
      </c>
      <c r="E99" s="17">
        <v>0.99280060000000003</v>
      </c>
      <c r="F99" s="17">
        <v>0.25677329999999998</v>
      </c>
      <c r="G99" s="17">
        <f>IF($AJ$2, cp_data!F99, 2)</f>
        <v>0.25677329999999998</v>
      </c>
      <c r="H99" s="17"/>
      <c r="I99" s="17"/>
      <c r="J99" s="17">
        <v>0.99280060000000003</v>
      </c>
      <c r="K99" s="17">
        <v>0.20528080000000001</v>
      </c>
      <c r="L99" s="17">
        <f t="shared" si="6"/>
        <v>0.20528080000000001</v>
      </c>
      <c r="M99" s="17" t="s">
        <v>2</v>
      </c>
      <c r="N99" s="17">
        <v>0.99280060000000003</v>
      </c>
      <c r="O99" s="17">
        <v>0.26747660000000001</v>
      </c>
      <c r="P99" s="17">
        <f t="shared" si="7"/>
        <v>0.26747660000000001</v>
      </c>
      <c r="Q99" s="17"/>
      <c r="R99" s="17"/>
      <c r="S99" s="17">
        <v>7.6005530000000003E-4</v>
      </c>
      <c r="T99" s="17">
        <v>0.60405260000000005</v>
      </c>
      <c r="U99" s="17">
        <f t="shared" si="8"/>
        <v>2</v>
      </c>
      <c r="V99" s="17" t="s">
        <v>2</v>
      </c>
      <c r="W99" s="17">
        <v>7.6005530000000003E-4</v>
      </c>
      <c r="X99" s="17">
        <v>0.55761190000000005</v>
      </c>
      <c r="Y99" s="17">
        <f t="shared" si="9"/>
        <v>2</v>
      </c>
      <c r="Z99" s="17"/>
      <c r="AA99" s="17"/>
      <c r="AB99" s="17">
        <v>0.98312900000000003</v>
      </c>
      <c r="AC99" s="17">
        <v>0.27446150000000002</v>
      </c>
      <c r="AD99" s="17">
        <f t="shared" si="10"/>
        <v>2</v>
      </c>
      <c r="AE99" s="17" t="s">
        <v>2</v>
      </c>
      <c r="AF99" s="17">
        <v>0.98312900000000003</v>
      </c>
      <c r="AG99" s="17">
        <v>0.31959340000000003</v>
      </c>
      <c r="AH99" s="17">
        <f t="shared" si="11"/>
        <v>2</v>
      </c>
    </row>
    <row r="100" spans="1:34" x14ac:dyDescent="0.3">
      <c r="A100" s="17">
        <v>1</v>
      </c>
      <c r="B100" s="17">
        <v>0.21402270000000001</v>
      </c>
      <c r="C100" s="17">
        <f>IF($AJ$2, cp_data!B100, 2)</f>
        <v>0.21402270000000001</v>
      </c>
      <c r="D100" s="17" t="s">
        <v>2</v>
      </c>
      <c r="E100" s="17">
        <v>1</v>
      </c>
      <c r="F100" s="17">
        <v>0.41561999999999999</v>
      </c>
      <c r="G100" s="17">
        <f>IF($AJ$2, cp_data!F100, 2)</f>
        <v>0.41561999999999999</v>
      </c>
      <c r="H100" s="17"/>
      <c r="I100" s="17"/>
      <c r="J100" s="17">
        <v>1</v>
      </c>
      <c r="K100" s="17">
        <v>0.2157733</v>
      </c>
      <c r="L100" s="17">
        <f t="shared" si="6"/>
        <v>0.2157733</v>
      </c>
      <c r="M100" s="17" t="s">
        <v>2</v>
      </c>
      <c r="N100" s="17">
        <v>1</v>
      </c>
      <c r="O100" s="17">
        <v>0.41481669999999998</v>
      </c>
      <c r="P100" s="17">
        <f t="shared" si="7"/>
        <v>0.41481669999999998</v>
      </c>
      <c r="Q100" s="17"/>
      <c r="R100" s="17"/>
      <c r="S100" s="17">
        <v>1.906617E-4</v>
      </c>
      <c r="T100" s="17">
        <v>0.7767889</v>
      </c>
      <c r="U100" s="17">
        <f t="shared" si="8"/>
        <v>2</v>
      </c>
      <c r="V100" s="17" t="s">
        <v>2</v>
      </c>
      <c r="W100" s="17">
        <v>1.906617E-4</v>
      </c>
      <c r="X100" s="17">
        <v>0.73952510000000005</v>
      </c>
      <c r="Y100" s="17">
        <f t="shared" si="9"/>
        <v>2</v>
      </c>
      <c r="Z100" s="17"/>
      <c r="AA100" s="17"/>
      <c r="AB100" s="17">
        <v>0.99049900000000002</v>
      </c>
      <c r="AC100" s="17">
        <v>0.26809470000000002</v>
      </c>
      <c r="AD100" s="17">
        <f t="shared" si="10"/>
        <v>2</v>
      </c>
      <c r="AE100" s="17" t="s">
        <v>2</v>
      </c>
      <c r="AF100" s="17">
        <v>0.99049900000000002</v>
      </c>
      <c r="AG100" s="17">
        <v>0.32233800000000001</v>
      </c>
      <c r="AH100" s="17">
        <f t="shared" si="11"/>
        <v>2</v>
      </c>
    </row>
    <row r="101" spans="1:34" x14ac:dyDescent="0.3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>
        <v>0</v>
      </c>
      <c r="T101" s="18">
        <v>0.91635690000000003</v>
      </c>
      <c r="U101" s="17">
        <f t="shared" si="8"/>
        <v>2</v>
      </c>
      <c r="V101" s="18" t="s">
        <v>2</v>
      </c>
      <c r="W101" s="18">
        <v>0</v>
      </c>
      <c r="X101" s="18">
        <v>0.89203250000000001</v>
      </c>
      <c r="Y101" s="17">
        <f t="shared" si="9"/>
        <v>2</v>
      </c>
      <c r="Z101" s="18"/>
      <c r="AA101" s="18"/>
      <c r="AB101" s="18">
        <v>0.99613099999999999</v>
      </c>
      <c r="AC101" s="18">
        <v>0.25842490000000001</v>
      </c>
      <c r="AD101" s="17">
        <f t="shared" si="10"/>
        <v>2</v>
      </c>
      <c r="AE101" s="18" t="s">
        <v>2</v>
      </c>
      <c r="AF101" s="18">
        <v>0.99613099999999999</v>
      </c>
      <c r="AG101" s="18">
        <v>0.33988309999999999</v>
      </c>
      <c r="AH101" s="17">
        <f t="shared" si="11"/>
        <v>2</v>
      </c>
    </row>
    <row r="102" spans="1:34" x14ac:dyDescent="0.3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>
        <v>1.906617E-4</v>
      </c>
      <c r="T102" s="18">
        <v>0.99245539999999999</v>
      </c>
      <c r="U102" s="17">
        <f t="shared" si="8"/>
        <v>2</v>
      </c>
      <c r="V102" s="18" t="s">
        <v>2</v>
      </c>
      <c r="W102" s="18">
        <v>1.906617E-4</v>
      </c>
      <c r="X102" s="18">
        <v>0.98384419999999995</v>
      </c>
      <c r="Y102" s="17">
        <f t="shared" si="9"/>
        <v>2</v>
      </c>
      <c r="Z102" s="18"/>
      <c r="AA102" s="18"/>
      <c r="AB102" s="18">
        <v>1</v>
      </c>
      <c r="AC102" s="18">
        <v>0.22845070000000001</v>
      </c>
      <c r="AD102" s="17">
        <f t="shared" si="10"/>
        <v>2</v>
      </c>
      <c r="AE102" s="18" t="s">
        <v>2</v>
      </c>
      <c r="AF102" s="18">
        <v>1</v>
      </c>
      <c r="AG102" s="18">
        <v>0.24732419999999999</v>
      </c>
      <c r="AH102" s="17">
        <f t="shared" si="11"/>
        <v>2</v>
      </c>
    </row>
    <row r="103" spans="1:34" x14ac:dyDescent="0.3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>
        <v>7.6005530000000003E-4</v>
      </c>
      <c r="T103" s="18">
        <v>0.98506020000000005</v>
      </c>
      <c r="U103" s="17">
        <f t="shared" si="8"/>
        <v>2</v>
      </c>
      <c r="V103" s="18" t="s">
        <v>2</v>
      </c>
      <c r="W103" s="18">
        <v>7.6005530000000003E-4</v>
      </c>
      <c r="X103" s="18">
        <v>0.99323519999999998</v>
      </c>
      <c r="Y103" s="17">
        <f t="shared" si="9"/>
        <v>2</v>
      </c>
      <c r="Z103" s="18"/>
      <c r="AA103" s="18"/>
      <c r="AB103" s="18"/>
      <c r="AC103" s="18"/>
      <c r="AD103" s="18"/>
      <c r="AE103" s="18"/>
      <c r="AF103" s="18"/>
      <c r="AG103" s="18"/>
    </row>
    <row r="104" spans="1:34" x14ac:dyDescent="0.3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>
        <v>1.7042719999999999E-3</v>
      </c>
      <c r="T104" s="18">
        <v>0.89751530000000002</v>
      </c>
      <c r="U104" s="17">
        <f t="shared" si="8"/>
        <v>2</v>
      </c>
      <c r="V104" s="18" t="s">
        <v>2</v>
      </c>
      <c r="W104" s="18">
        <v>1.7042719999999999E-3</v>
      </c>
      <c r="X104" s="18">
        <v>0.92064570000000001</v>
      </c>
      <c r="Y104" s="17">
        <f t="shared" si="9"/>
        <v>2</v>
      </c>
      <c r="Z104" s="18"/>
      <c r="AA104" s="18"/>
      <c r="AB104" s="18"/>
      <c r="AC104" s="18"/>
      <c r="AD104" s="18"/>
      <c r="AE104" s="18"/>
      <c r="AF104" s="18"/>
      <c r="AG104" s="18"/>
    </row>
    <row r="105" spans="1:34" x14ac:dyDescent="0.3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>
        <v>3.01937E-3</v>
      </c>
      <c r="T105" s="18">
        <v>0.75949180000000005</v>
      </c>
      <c r="U105" s="17">
        <f t="shared" si="8"/>
        <v>2</v>
      </c>
      <c r="V105" s="18" t="s">
        <v>2</v>
      </c>
      <c r="W105" s="18">
        <v>3.01937E-3</v>
      </c>
      <c r="X105" s="18">
        <v>0.79355569999999997</v>
      </c>
      <c r="Y105" s="17">
        <f t="shared" si="9"/>
        <v>2</v>
      </c>
      <c r="Z105" s="18"/>
      <c r="AA105" s="18"/>
      <c r="AB105" s="18"/>
      <c r="AC105" s="18"/>
      <c r="AD105" s="18"/>
      <c r="AE105" s="18"/>
      <c r="AF105" s="18"/>
      <c r="AG105" s="18"/>
    </row>
    <row r="106" spans="1:34" x14ac:dyDescent="0.3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>
        <v>4.7013810000000001E-3</v>
      </c>
      <c r="T106" s="18">
        <v>0.60955519999999996</v>
      </c>
      <c r="U106" s="17">
        <f t="shared" si="8"/>
        <v>2</v>
      </c>
      <c r="V106" s="18" t="s">
        <v>2</v>
      </c>
      <c r="W106" s="18">
        <v>4.7013810000000001E-3</v>
      </c>
      <c r="X106" s="18">
        <v>0.64987640000000002</v>
      </c>
      <c r="Y106" s="17">
        <f t="shared" si="9"/>
        <v>2</v>
      </c>
      <c r="Z106" s="18"/>
      <c r="AA106" s="18"/>
      <c r="AB106" s="18"/>
      <c r="AC106" s="18"/>
      <c r="AD106" s="18"/>
      <c r="AE106" s="18"/>
      <c r="AF106" s="18"/>
      <c r="AG106" s="18"/>
    </row>
    <row r="107" spans="1:34" x14ac:dyDescent="0.3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>
        <v>6.7462989999999999E-3</v>
      </c>
      <c r="T107" s="18">
        <v>0.47505150000000002</v>
      </c>
      <c r="U107" s="17">
        <f t="shared" si="8"/>
        <v>2</v>
      </c>
      <c r="V107" s="18" t="s">
        <v>2</v>
      </c>
      <c r="W107" s="18">
        <v>6.7462989999999999E-3</v>
      </c>
      <c r="X107" s="18">
        <v>0.51798880000000003</v>
      </c>
      <c r="Y107" s="17">
        <f t="shared" si="9"/>
        <v>2</v>
      </c>
      <c r="Z107" s="18"/>
      <c r="AA107" s="18"/>
      <c r="AB107" s="18"/>
      <c r="AC107" s="18"/>
      <c r="AD107" s="18"/>
      <c r="AE107" s="18"/>
      <c r="AF107" s="18"/>
      <c r="AG107" s="18"/>
    </row>
    <row r="108" spans="1:34" x14ac:dyDescent="0.3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>
        <v>9.1500910000000008E-3</v>
      </c>
      <c r="T108" s="18">
        <v>0.36768210000000001</v>
      </c>
      <c r="U108" s="17">
        <f t="shared" si="8"/>
        <v>2</v>
      </c>
      <c r="V108" s="18" t="s">
        <v>2</v>
      </c>
      <c r="W108" s="18">
        <v>9.1500910000000008E-3</v>
      </c>
      <c r="X108" s="18">
        <v>0.41067150000000002</v>
      </c>
      <c r="Y108" s="17">
        <f t="shared" si="9"/>
        <v>2</v>
      </c>
      <c r="Z108" s="18"/>
      <c r="AA108" s="18"/>
      <c r="AB108" s="18"/>
      <c r="AC108" s="18"/>
      <c r="AD108" s="18"/>
      <c r="AE108" s="18"/>
      <c r="AF108" s="18"/>
      <c r="AG108" s="18"/>
    </row>
    <row r="109" spans="1:34" x14ac:dyDescent="0.3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>
        <v>1.190869E-2</v>
      </c>
      <c r="T109" s="18">
        <v>0.28781240000000002</v>
      </c>
      <c r="U109" s="17">
        <f t="shared" si="8"/>
        <v>2</v>
      </c>
      <c r="V109" s="18" t="s">
        <v>2</v>
      </c>
      <c r="W109" s="18">
        <v>1.190869E-2</v>
      </c>
      <c r="X109" s="18">
        <v>0.32953539999999998</v>
      </c>
      <c r="Y109" s="17">
        <f t="shared" si="9"/>
        <v>2</v>
      </c>
      <c r="Z109" s="18"/>
      <c r="AA109" s="18"/>
      <c r="AB109" s="18"/>
      <c r="AC109" s="18"/>
      <c r="AD109" s="18"/>
      <c r="AE109" s="18"/>
      <c r="AF109" s="18"/>
      <c r="AG109" s="18"/>
    </row>
    <row r="110" spans="1:34" x14ac:dyDescent="0.3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>
        <v>1.501799E-2</v>
      </c>
      <c r="T110" s="18">
        <v>0.23126150000000001</v>
      </c>
      <c r="U110" s="17">
        <f t="shared" si="8"/>
        <v>2</v>
      </c>
      <c r="V110" s="18" t="s">
        <v>2</v>
      </c>
      <c r="W110" s="18">
        <v>1.501799E-2</v>
      </c>
      <c r="X110" s="18">
        <v>0.2710167</v>
      </c>
      <c r="Y110" s="17">
        <f t="shared" si="9"/>
        <v>2</v>
      </c>
      <c r="Z110" s="18"/>
      <c r="AA110" s="18"/>
      <c r="AB110" s="18"/>
      <c r="AC110" s="18"/>
      <c r="AD110" s="18"/>
      <c r="AE110" s="18"/>
      <c r="AF110" s="18"/>
      <c r="AG110" s="18"/>
    </row>
    <row r="111" spans="1:34" x14ac:dyDescent="0.3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>
        <v>1.847385E-2</v>
      </c>
      <c r="T111" s="18">
        <v>0.1926069</v>
      </c>
      <c r="U111" s="17">
        <f t="shared" si="8"/>
        <v>2</v>
      </c>
      <c r="V111" s="18" t="s">
        <v>2</v>
      </c>
      <c r="W111" s="18">
        <v>1.847385E-2</v>
      </c>
      <c r="X111" s="18">
        <v>0.23018359999999999</v>
      </c>
      <c r="Y111" s="17">
        <f t="shared" si="9"/>
        <v>2</v>
      </c>
      <c r="Z111" s="18"/>
      <c r="AA111" s="18"/>
      <c r="AB111" s="18"/>
      <c r="AC111" s="18"/>
      <c r="AD111" s="18"/>
      <c r="AE111" s="18"/>
      <c r="AF111" s="18"/>
      <c r="AG111" s="18"/>
    </row>
    <row r="112" spans="1:34" x14ac:dyDescent="0.3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>
        <v>2.2272110000000001E-2</v>
      </c>
      <c r="T112" s="18">
        <v>0.1670365</v>
      </c>
      <c r="U112" s="17">
        <f t="shared" si="8"/>
        <v>2</v>
      </c>
      <c r="V112" s="18" t="s">
        <v>2</v>
      </c>
      <c r="W112" s="18">
        <v>2.2272110000000001E-2</v>
      </c>
      <c r="X112" s="18">
        <v>0.20243849999999999</v>
      </c>
      <c r="Y112" s="17">
        <f t="shared" si="9"/>
        <v>2</v>
      </c>
      <c r="Z112" s="18"/>
      <c r="AA112" s="18"/>
      <c r="AB112" s="18"/>
      <c r="AC112" s="18"/>
      <c r="AD112" s="18"/>
      <c r="AE112" s="18"/>
      <c r="AF112" s="18"/>
      <c r="AG112" s="18"/>
    </row>
    <row r="113" spans="1:33" x14ac:dyDescent="0.3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>
        <v>2.6408540000000001E-2</v>
      </c>
      <c r="T113" s="18">
        <v>0.15068980000000001</v>
      </c>
      <c r="U113" s="17">
        <f t="shared" si="8"/>
        <v>2</v>
      </c>
      <c r="V113" s="18" t="s">
        <v>2</v>
      </c>
      <c r="W113" s="18">
        <v>2.6408540000000001E-2</v>
      </c>
      <c r="X113" s="18">
        <v>0.1840408</v>
      </c>
      <c r="Y113" s="17">
        <f t="shared" si="9"/>
        <v>2</v>
      </c>
      <c r="Z113" s="18"/>
      <c r="AA113" s="18"/>
      <c r="AB113" s="18"/>
      <c r="AC113" s="18"/>
      <c r="AD113" s="18"/>
      <c r="AE113" s="18"/>
      <c r="AF113" s="18"/>
      <c r="AG113" s="18"/>
    </row>
    <row r="114" spans="1:33" x14ac:dyDescent="0.3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>
        <v>3.0878920000000001E-2</v>
      </c>
      <c r="T114" s="18">
        <v>0.140657</v>
      </c>
      <c r="U114" s="17">
        <f t="shared" si="8"/>
        <v>2</v>
      </c>
      <c r="V114" s="18" t="s">
        <v>2</v>
      </c>
      <c r="W114" s="18">
        <v>3.0878920000000001E-2</v>
      </c>
      <c r="X114" s="18">
        <v>0.17212749999999999</v>
      </c>
      <c r="Y114" s="17">
        <f t="shared" si="9"/>
        <v>2</v>
      </c>
      <c r="Z114" s="18"/>
      <c r="AA114" s="18"/>
      <c r="AB114" s="18"/>
      <c r="AC114" s="18"/>
      <c r="AD114" s="18"/>
      <c r="AE114" s="18"/>
      <c r="AF114" s="18"/>
      <c r="AG114" s="18"/>
    </row>
    <row r="115" spans="1:33" x14ac:dyDescent="0.3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>
        <v>3.5678950000000001E-2</v>
      </c>
      <c r="T115" s="18">
        <v>0.13479769999999999</v>
      </c>
      <c r="U115" s="17">
        <f t="shared" si="8"/>
        <v>2</v>
      </c>
      <c r="V115" s="18" t="s">
        <v>2</v>
      </c>
      <c r="W115" s="18">
        <v>3.5678950000000001E-2</v>
      </c>
      <c r="X115" s="18">
        <v>0.16456809999999999</v>
      </c>
      <c r="Y115" s="17">
        <f t="shared" si="9"/>
        <v>2</v>
      </c>
      <c r="Z115" s="18"/>
      <c r="AA115" s="18"/>
      <c r="AB115" s="18"/>
      <c r="AC115" s="18"/>
      <c r="AD115" s="18"/>
      <c r="AE115" s="18"/>
      <c r="AF115" s="18"/>
      <c r="AG115" s="18"/>
    </row>
    <row r="116" spans="1:33" x14ac:dyDescent="0.3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>
        <v>4.0804310000000003E-2</v>
      </c>
      <c r="T116" s="18">
        <v>0.13155410000000001</v>
      </c>
      <c r="U116" s="17">
        <f t="shared" si="8"/>
        <v>2</v>
      </c>
      <c r="V116" s="18" t="s">
        <v>2</v>
      </c>
      <c r="W116" s="18">
        <v>4.0804310000000003E-2</v>
      </c>
      <c r="X116" s="18">
        <v>0.1597963</v>
      </c>
      <c r="Y116" s="17">
        <f t="shared" si="9"/>
        <v>2</v>
      </c>
      <c r="Z116" s="18"/>
      <c r="AA116" s="18"/>
      <c r="AB116" s="18"/>
      <c r="AC116" s="18"/>
      <c r="AD116" s="18"/>
      <c r="AE116" s="18"/>
      <c r="AF116" s="18"/>
      <c r="AG116" s="18"/>
    </row>
    <row r="117" spans="1:33" x14ac:dyDescent="0.3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>
        <v>4.6250630000000001E-2</v>
      </c>
      <c r="T117" s="18">
        <v>0.1297952</v>
      </c>
      <c r="U117" s="17">
        <f t="shared" si="8"/>
        <v>2</v>
      </c>
      <c r="V117" s="18" t="s">
        <v>2</v>
      </c>
      <c r="W117" s="18">
        <v>4.6250630000000001E-2</v>
      </c>
      <c r="X117" s="18">
        <v>0.1566641</v>
      </c>
      <c r="Y117" s="17">
        <f t="shared" si="9"/>
        <v>2</v>
      </c>
      <c r="Z117" s="18"/>
      <c r="AA117" s="18"/>
      <c r="AB117" s="18"/>
      <c r="AC117" s="18"/>
      <c r="AD117" s="18"/>
      <c r="AE117" s="18"/>
      <c r="AF117" s="18"/>
      <c r="AG117" s="18"/>
    </row>
    <row r="118" spans="1:33" x14ac:dyDescent="0.3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>
        <v>5.2013520000000001E-2</v>
      </c>
      <c r="T118" s="18">
        <v>0.12869800000000001</v>
      </c>
      <c r="U118" s="17">
        <f t="shared" si="8"/>
        <v>2</v>
      </c>
      <c r="V118" s="18" t="s">
        <v>2</v>
      </c>
      <c r="W118" s="18">
        <v>5.2013520000000001E-2</v>
      </c>
      <c r="X118" s="18">
        <v>0.1543291</v>
      </c>
      <c r="Y118" s="17">
        <f t="shared" si="9"/>
        <v>2</v>
      </c>
      <c r="Z118" s="18"/>
      <c r="AA118" s="18"/>
      <c r="AB118" s="18"/>
      <c r="AC118" s="18"/>
      <c r="AD118" s="18"/>
      <c r="AE118" s="18"/>
      <c r="AF118" s="18"/>
      <c r="AG118" s="18"/>
    </row>
    <row r="119" spans="1:33" x14ac:dyDescent="0.3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>
        <v>5.8088529999999999E-2</v>
      </c>
      <c r="T119" s="18">
        <v>0.12766060000000001</v>
      </c>
      <c r="U119" s="17">
        <f t="shared" si="8"/>
        <v>2</v>
      </c>
      <c r="V119" s="18" t="s">
        <v>2</v>
      </c>
      <c r="W119" s="18">
        <v>5.8088529999999999E-2</v>
      </c>
      <c r="X119" s="18">
        <v>0.15217069999999999</v>
      </c>
      <c r="Y119" s="17">
        <f t="shared" si="9"/>
        <v>2</v>
      </c>
      <c r="Z119" s="18"/>
      <c r="AA119" s="18"/>
      <c r="AB119" s="18"/>
      <c r="AC119" s="18"/>
      <c r="AD119" s="18"/>
      <c r="AE119" s="18"/>
      <c r="AF119" s="18"/>
      <c r="AG119" s="18"/>
    </row>
    <row r="120" spans="1:33" x14ac:dyDescent="0.3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>
        <v>6.447116E-2</v>
      </c>
      <c r="T120" s="18">
        <v>0.12623989999999999</v>
      </c>
      <c r="U120" s="17">
        <f t="shared" si="8"/>
        <v>2</v>
      </c>
      <c r="V120" s="18" t="s">
        <v>2</v>
      </c>
      <c r="W120" s="18">
        <v>6.447116E-2</v>
      </c>
      <c r="X120" s="18">
        <v>0.14972969999999999</v>
      </c>
      <c r="Y120" s="17">
        <f t="shared" si="9"/>
        <v>2</v>
      </c>
      <c r="Z120" s="18"/>
      <c r="AA120" s="18"/>
      <c r="AB120" s="18"/>
      <c r="AC120" s="18"/>
      <c r="AD120" s="18"/>
      <c r="AE120" s="18"/>
      <c r="AF120" s="18"/>
      <c r="AG120" s="18"/>
    </row>
    <row r="121" spans="1:33" x14ac:dyDescent="0.3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>
        <v>7.1156899999999995E-2</v>
      </c>
      <c r="T121" s="18">
        <v>0.12410839999999999</v>
      </c>
      <c r="U121" s="17">
        <f t="shared" si="8"/>
        <v>2</v>
      </c>
      <c r="V121" s="18" t="s">
        <v>2</v>
      </c>
      <c r="W121" s="18">
        <v>7.1156899999999995E-2</v>
      </c>
      <c r="X121" s="18">
        <v>0.1466654</v>
      </c>
      <c r="Y121" s="17">
        <f t="shared" si="9"/>
        <v>2</v>
      </c>
      <c r="Z121" s="18"/>
      <c r="AA121" s="18"/>
      <c r="AB121" s="18"/>
      <c r="AC121" s="18"/>
      <c r="AD121" s="18"/>
      <c r="AE121" s="18"/>
      <c r="AF121" s="18"/>
      <c r="AG121" s="18"/>
    </row>
    <row r="122" spans="1:33" x14ac:dyDescent="0.3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7.8141150000000006E-2</v>
      </c>
      <c r="T122" s="18">
        <v>0.1210232</v>
      </c>
      <c r="U122" s="17">
        <f t="shared" si="8"/>
        <v>2</v>
      </c>
      <c r="V122" s="18" t="s">
        <v>2</v>
      </c>
      <c r="W122" s="18">
        <v>7.8141150000000006E-2</v>
      </c>
      <c r="X122" s="18">
        <v>0.14272480000000001</v>
      </c>
      <c r="Y122" s="17">
        <f t="shared" si="9"/>
        <v>2</v>
      </c>
      <c r="Z122" s="18"/>
      <c r="AA122" s="18"/>
      <c r="AB122" s="18"/>
      <c r="AC122" s="18"/>
      <c r="AD122" s="18"/>
      <c r="AE122" s="18"/>
      <c r="AF122" s="18"/>
      <c r="AG122" s="18"/>
    </row>
    <row r="123" spans="1:33" x14ac:dyDescent="0.3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>
        <v>8.5419300000000004E-2</v>
      </c>
      <c r="T123" s="18">
        <v>0.1168053</v>
      </c>
      <c r="U123" s="17">
        <f t="shared" si="8"/>
        <v>2</v>
      </c>
      <c r="V123" s="18" t="s">
        <v>2</v>
      </c>
      <c r="W123" s="18">
        <v>8.5419300000000004E-2</v>
      </c>
      <c r="X123" s="18">
        <v>0.1377215</v>
      </c>
      <c r="Y123" s="17">
        <f t="shared" si="9"/>
        <v>2</v>
      </c>
      <c r="Z123" s="18"/>
      <c r="AA123" s="18"/>
      <c r="AB123" s="18"/>
      <c r="AC123" s="18"/>
      <c r="AD123" s="18"/>
      <c r="AE123" s="18"/>
      <c r="AF123" s="18"/>
      <c r="AG123" s="18"/>
    </row>
    <row r="124" spans="1:33" x14ac:dyDescent="0.3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>
        <v>9.2986669999999993E-2</v>
      </c>
      <c r="T124" s="18">
        <v>0.1113257</v>
      </c>
      <c r="U124" s="17">
        <f t="shared" si="8"/>
        <v>2</v>
      </c>
      <c r="V124" s="18" t="s">
        <v>2</v>
      </c>
      <c r="W124" s="18">
        <v>9.2986669999999993E-2</v>
      </c>
      <c r="X124" s="18">
        <v>0.13152059999999999</v>
      </c>
      <c r="Y124" s="17">
        <f t="shared" si="9"/>
        <v>2</v>
      </c>
      <c r="Z124" s="18"/>
      <c r="AA124" s="18"/>
      <c r="AB124" s="18"/>
      <c r="AC124" s="18"/>
      <c r="AD124" s="18"/>
      <c r="AE124" s="18"/>
      <c r="AF124" s="18"/>
      <c r="AG124" s="18"/>
    </row>
    <row r="125" spans="1:33" x14ac:dyDescent="0.3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>
        <v>0.1008386</v>
      </c>
      <c r="T125" s="18">
        <v>0.10449600000000001</v>
      </c>
      <c r="U125" s="17">
        <f t="shared" si="8"/>
        <v>2</v>
      </c>
      <c r="V125" s="18" t="s">
        <v>2</v>
      </c>
      <c r="W125" s="18">
        <v>0.1008386</v>
      </c>
      <c r="X125" s="18">
        <v>0.1240294</v>
      </c>
      <c r="Y125" s="17">
        <f t="shared" si="9"/>
        <v>2</v>
      </c>
      <c r="Z125" s="18"/>
      <c r="AA125" s="18"/>
      <c r="AB125" s="18"/>
      <c r="AC125" s="18"/>
      <c r="AD125" s="18"/>
      <c r="AE125" s="18"/>
      <c r="AF125" s="18"/>
      <c r="AG125" s="18"/>
    </row>
    <row r="126" spans="1:33" x14ac:dyDescent="0.3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>
        <v>0.1089702</v>
      </c>
      <c r="T126" s="18">
        <v>9.6262890000000004E-2</v>
      </c>
      <c r="U126" s="17">
        <f t="shared" si="8"/>
        <v>2</v>
      </c>
      <c r="V126" s="18" t="s">
        <v>2</v>
      </c>
      <c r="W126" s="18">
        <v>0.1089702</v>
      </c>
      <c r="X126" s="18">
        <v>0.1151906</v>
      </c>
      <c r="Y126" s="17">
        <f t="shared" si="9"/>
        <v>2</v>
      </c>
      <c r="Z126" s="18"/>
      <c r="AA126" s="18"/>
      <c r="AB126" s="18"/>
      <c r="AC126" s="18"/>
      <c r="AD126" s="18"/>
      <c r="AE126" s="18"/>
      <c r="AF126" s="18"/>
      <c r="AG126" s="18"/>
    </row>
    <row r="127" spans="1:33" x14ac:dyDescent="0.3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>
        <v>0.1173767</v>
      </c>
      <c r="T127" s="18">
        <v>8.6606039999999995E-2</v>
      </c>
      <c r="U127" s="17">
        <f t="shared" si="8"/>
        <v>2</v>
      </c>
      <c r="V127" s="18" t="s">
        <v>2</v>
      </c>
      <c r="W127" s="18">
        <v>0.1173767</v>
      </c>
      <c r="X127" s="18">
        <v>0.1049802</v>
      </c>
      <c r="Y127" s="17">
        <f t="shared" si="9"/>
        <v>2</v>
      </c>
      <c r="Z127" s="18"/>
      <c r="AA127" s="18"/>
      <c r="AB127" s="18"/>
      <c r="AC127" s="18"/>
      <c r="AD127" s="18"/>
      <c r="AE127" s="18"/>
      <c r="AF127" s="18"/>
      <c r="AG127" s="18"/>
    </row>
    <row r="128" spans="1:33" x14ac:dyDescent="0.3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>
        <v>0.12605330000000001</v>
      </c>
      <c r="T128" s="18">
        <v>7.553812E-2</v>
      </c>
      <c r="U128" s="17">
        <f t="shared" si="8"/>
        <v>2</v>
      </c>
      <c r="V128" s="18" t="s">
        <v>2</v>
      </c>
      <c r="W128" s="18">
        <v>0.12605330000000001</v>
      </c>
      <c r="X128" s="18">
        <v>9.340677E-2</v>
      </c>
      <c r="Y128" s="17">
        <f t="shared" si="9"/>
        <v>2</v>
      </c>
      <c r="Z128" s="18"/>
      <c r="AA128" s="18"/>
      <c r="AB128" s="18"/>
      <c r="AC128" s="18"/>
      <c r="AD128" s="18"/>
      <c r="AE128" s="18"/>
      <c r="AF128" s="18"/>
      <c r="AG128" s="18"/>
    </row>
    <row r="129" spans="1:33" x14ac:dyDescent="0.3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>
        <v>0.1349949</v>
      </c>
      <c r="T129" s="18">
        <v>6.3107640000000007E-2</v>
      </c>
      <c r="U129" s="17">
        <f t="shared" si="8"/>
        <v>2</v>
      </c>
      <c r="V129" s="18" t="s">
        <v>2</v>
      </c>
      <c r="W129" s="18">
        <v>0.1349949</v>
      </c>
      <c r="X129" s="18">
        <v>8.0514240000000001E-2</v>
      </c>
      <c r="Y129" s="17">
        <f t="shared" si="9"/>
        <v>2</v>
      </c>
      <c r="Z129" s="18"/>
      <c r="AA129" s="18"/>
      <c r="AB129" s="18"/>
      <c r="AC129" s="18"/>
      <c r="AD129" s="18"/>
      <c r="AE129" s="18"/>
      <c r="AF129" s="18"/>
      <c r="AG129" s="18"/>
    </row>
    <row r="130" spans="1:33" x14ac:dyDescent="0.3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>
        <v>0.14419670000000001</v>
      </c>
      <c r="T130" s="18">
        <v>4.9404749999999997E-2</v>
      </c>
      <c r="U130" s="17">
        <f t="shared" si="8"/>
        <v>2</v>
      </c>
      <c r="V130" s="18" t="s">
        <v>2</v>
      </c>
      <c r="W130" s="18">
        <v>0.14419670000000001</v>
      </c>
      <c r="X130" s="18">
        <v>6.6387299999999996E-2</v>
      </c>
      <c r="Y130" s="17">
        <f t="shared" si="9"/>
        <v>2</v>
      </c>
      <c r="Z130" s="18"/>
      <c r="AA130" s="18"/>
      <c r="AB130" s="18"/>
      <c r="AC130" s="18"/>
      <c r="AD130" s="18"/>
      <c r="AE130" s="18"/>
      <c r="AF130" s="18"/>
      <c r="AG130" s="18"/>
    </row>
    <row r="131" spans="1:33" x14ac:dyDescent="0.3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>
        <v>0.1536536</v>
      </c>
      <c r="T131" s="18">
        <v>3.4570759999999999E-2</v>
      </c>
      <c r="U131" s="17">
        <f t="shared" ref="U131:U194" si="12">IF($AJ$4, T131, 2)</f>
        <v>2</v>
      </c>
      <c r="V131" s="18" t="s">
        <v>2</v>
      </c>
      <c r="W131" s="18">
        <v>0.1536536</v>
      </c>
      <c r="X131" s="18">
        <v>5.1160789999999998E-2</v>
      </c>
      <c r="Y131" s="17">
        <f t="shared" ref="Y131:Y194" si="13">IF($AJ$4, X131, 2)</f>
        <v>2</v>
      </c>
      <c r="Z131" s="18"/>
      <c r="AA131" s="18"/>
      <c r="AB131" s="18"/>
      <c r="AC131" s="18"/>
      <c r="AD131" s="18"/>
      <c r="AE131" s="18"/>
      <c r="AF131" s="18"/>
      <c r="AG131" s="18"/>
    </row>
    <row r="132" spans="1:33" x14ac:dyDescent="0.3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>
        <v>0.16336049999999999</v>
      </c>
      <c r="T132" s="18">
        <v>1.881354E-2</v>
      </c>
      <c r="U132" s="17">
        <f t="shared" si="12"/>
        <v>2</v>
      </c>
      <c r="V132" s="18" t="s">
        <v>2</v>
      </c>
      <c r="W132" s="18">
        <v>0.16336049999999999</v>
      </c>
      <c r="X132" s="18">
        <v>3.5034839999999998E-2</v>
      </c>
      <c r="Y132" s="17">
        <f t="shared" si="13"/>
        <v>2</v>
      </c>
      <c r="Z132" s="18"/>
      <c r="AA132" s="18"/>
      <c r="AB132" s="18"/>
      <c r="AC132" s="18"/>
      <c r="AD132" s="18"/>
      <c r="AE132" s="18"/>
      <c r="AF132" s="18"/>
      <c r="AG132" s="18"/>
    </row>
    <row r="133" spans="1:33" x14ac:dyDescent="0.3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>
        <v>0.1733122</v>
      </c>
      <c r="T133" s="18">
        <v>2.4311440000000001E-3</v>
      </c>
      <c r="U133" s="17">
        <f t="shared" si="12"/>
        <v>2</v>
      </c>
      <c r="V133" s="18" t="s">
        <v>2</v>
      </c>
      <c r="W133" s="18">
        <v>0.1733122</v>
      </c>
      <c r="X133" s="18">
        <v>1.8297709999999998E-2</v>
      </c>
      <c r="Y133" s="17">
        <f t="shared" si="13"/>
        <v>2</v>
      </c>
      <c r="Z133" s="18"/>
      <c r="AA133" s="18"/>
      <c r="AB133" s="18"/>
      <c r="AC133" s="18"/>
      <c r="AD133" s="18"/>
      <c r="AE133" s="18"/>
      <c r="AF133" s="18"/>
      <c r="AG133" s="18"/>
    </row>
    <row r="134" spans="1:33" x14ac:dyDescent="0.3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>
        <v>0.18350340000000001</v>
      </c>
      <c r="T134" s="18">
        <v>-1.413785E-2</v>
      </c>
      <c r="U134" s="17">
        <f t="shared" si="12"/>
        <v>2</v>
      </c>
      <c r="V134" s="18" t="s">
        <v>2</v>
      </c>
      <c r="W134" s="18">
        <v>0.18350340000000001</v>
      </c>
      <c r="X134" s="18">
        <v>1.3794510000000001E-3</v>
      </c>
      <c r="Y134" s="17">
        <f t="shared" si="13"/>
        <v>2</v>
      </c>
      <c r="Z134" s="18"/>
      <c r="AA134" s="18"/>
      <c r="AB134" s="18"/>
      <c r="AC134" s="18"/>
      <c r="AD134" s="18"/>
      <c r="AE134" s="18"/>
      <c r="AF134" s="18"/>
      <c r="AG134" s="18"/>
    </row>
    <row r="135" spans="1:33" x14ac:dyDescent="0.3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>
        <v>0.19392899999999999</v>
      </c>
      <c r="T135" s="18">
        <v>-3.0267280000000001E-2</v>
      </c>
      <c r="U135" s="17">
        <f t="shared" si="12"/>
        <v>2</v>
      </c>
      <c r="V135" s="18" t="s">
        <v>2</v>
      </c>
      <c r="W135" s="18">
        <v>0.19392899999999999</v>
      </c>
      <c r="X135" s="18">
        <v>-1.512398E-2</v>
      </c>
      <c r="Y135" s="17">
        <f t="shared" si="13"/>
        <v>2</v>
      </c>
      <c r="Z135" s="18"/>
      <c r="AA135" s="18"/>
      <c r="AB135" s="18"/>
      <c r="AC135" s="18"/>
      <c r="AD135" s="18"/>
      <c r="AE135" s="18"/>
      <c r="AF135" s="18"/>
      <c r="AG135" s="18"/>
    </row>
    <row r="136" spans="1:33" x14ac:dyDescent="0.3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>
        <v>0.2045835</v>
      </c>
      <c r="T136" s="18">
        <v>-4.461888E-2</v>
      </c>
      <c r="U136" s="17">
        <f t="shared" si="12"/>
        <v>2</v>
      </c>
      <c r="V136" s="18" t="s">
        <v>2</v>
      </c>
      <c r="W136" s="18">
        <v>0.2045835</v>
      </c>
      <c r="X136" s="18">
        <v>-2.9678530000000002E-2</v>
      </c>
      <c r="Y136" s="17">
        <f t="shared" si="13"/>
        <v>2</v>
      </c>
      <c r="Z136" s="18"/>
      <c r="AA136" s="18"/>
      <c r="AB136" s="18"/>
      <c r="AC136" s="18"/>
      <c r="AD136" s="18"/>
      <c r="AE136" s="18"/>
      <c r="AF136" s="18"/>
      <c r="AG136" s="18"/>
    </row>
    <row r="137" spans="1:33" x14ac:dyDescent="0.3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>
        <v>0.2154615</v>
      </c>
      <c r="T137" s="18">
        <v>-5.5766400000000001E-2</v>
      </c>
      <c r="U137" s="17">
        <f t="shared" si="12"/>
        <v>2</v>
      </c>
      <c r="V137" s="18" t="s">
        <v>2</v>
      </c>
      <c r="W137" s="18">
        <v>0.2154615</v>
      </c>
      <c r="X137" s="18">
        <v>-4.0551070000000002E-2</v>
      </c>
      <c r="Y137" s="17">
        <f t="shared" si="13"/>
        <v>2</v>
      </c>
      <c r="Z137" s="18"/>
      <c r="AA137" s="18"/>
      <c r="AB137" s="18"/>
      <c r="AC137" s="18"/>
      <c r="AD137" s="18"/>
      <c r="AE137" s="18"/>
      <c r="AF137" s="18"/>
      <c r="AG137" s="18"/>
    </row>
    <row r="138" spans="1:33" x14ac:dyDescent="0.3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>
        <v>0.22655749999999999</v>
      </c>
      <c r="T138" s="18">
        <v>-6.4783069999999998E-2</v>
      </c>
      <c r="U138" s="17">
        <f t="shared" si="12"/>
        <v>2</v>
      </c>
      <c r="V138" s="18" t="s">
        <v>2</v>
      </c>
      <c r="W138" s="18">
        <v>0.22655749999999999</v>
      </c>
      <c r="X138" s="18">
        <v>-4.9435060000000003E-2</v>
      </c>
      <c r="Y138" s="17">
        <f t="shared" si="13"/>
        <v>2</v>
      </c>
      <c r="Z138" s="18"/>
      <c r="AA138" s="18"/>
      <c r="AB138" s="18"/>
      <c r="AC138" s="18"/>
      <c r="AD138" s="18"/>
      <c r="AE138" s="18"/>
      <c r="AF138" s="18"/>
      <c r="AG138" s="18"/>
    </row>
    <row r="139" spans="1:33" x14ac:dyDescent="0.3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>
        <v>0.23786599999999999</v>
      </c>
      <c r="T139" s="18">
        <v>-7.2197239999999996E-2</v>
      </c>
      <c r="U139" s="17">
        <f t="shared" si="12"/>
        <v>2</v>
      </c>
      <c r="V139" s="18" t="s">
        <v>2</v>
      </c>
      <c r="W139" s="18">
        <v>0.23786599999999999</v>
      </c>
      <c r="X139" s="18">
        <v>-5.6833849999999998E-2</v>
      </c>
      <c r="Y139" s="17">
        <f t="shared" si="13"/>
        <v>2</v>
      </c>
      <c r="Z139" s="18"/>
      <c r="AA139" s="18"/>
      <c r="AB139" s="18"/>
      <c r="AC139" s="18"/>
      <c r="AD139" s="18"/>
      <c r="AE139" s="18"/>
      <c r="AF139" s="18"/>
      <c r="AG139" s="18"/>
    </row>
    <row r="140" spans="1:33" x14ac:dyDescent="0.3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>
        <v>0.2493812</v>
      </c>
      <c r="T140" s="18">
        <v>-7.8331399999999995E-2</v>
      </c>
      <c r="U140" s="17">
        <f t="shared" si="12"/>
        <v>2</v>
      </c>
      <c r="V140" s="18" t="s">
        <v>2</v>
      </c>
      <c r="W140" s="18">
        <v>0.2493812</v>
      </c>
      <c r="X140" s="18">
        <v>-6.3020240000000005E-2</v>
      </c>
      <c r="Y140" s="17">
        <f t="shared" si="13"/>
        <v>2</v>
      </c>
      <c r="Z140" s="18"/>
      <c r="AA140" s="18"/>
      <c r="AB140" s="18"/>
      <c r="AC140" s="18"/>
      <c r="AD140" s="18"/>
      <c r="AE140" s="18"/>
      <c r="AF140" s="18"/>
      <c r="AG140" s="18"/>
    </row>
    <row r="141" spans="1:33" x14ac:dyDescent="0.3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>
        <v>0.26109749999999998</v>
      </c>
      <c r="T141" s="18">
        <v>-8.3398710000000001E-2</v>
      </c>
      <c r="U141" s="17">
        <f t="shared" si="12"/>
        <v>2</v>
      </c>
      <c r="V141" s="18" t="s">
        <v>2</v>
      </c>
      <c r="W141" s="18">
        <v>0.26109749999999998</v>
      </c>
      <c r="X141" s="18">
        <v>-6.8175269999999996E-2</v>
      </c>
      <c r="Y141" s="17">
        <f t="shared" si="13"/>
        <v>2</v>
      </c>
      <c r="Z141" s="18"/>
      <c r="AA141" s="18"/>
      <c r="AB141" s="18"/>
      <c r="AC141" s="18"/>
      <c r="AD141" s="18"/>
      <c r="AE141" s="18"/>
      <c r="AF141" s="18"/>
      <c r="AG141" s="18"/>
    </row>
    <row r="142" spans="1:33" x14ac:dyDescent="0.3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>
        <v>0.273009</v>
      </c>
      <c r="T142" s="18">
        <v>-8.7550729999999993E-2</v>
      </c>
      <c r="U142" s="17">
        <f t="shared" si="12"/>
        <v>2</v>
      </c>
      <c r="V142" s="18" t="s">
        <v>2</v>
      </c>
      <c r="W142" s="18">
        <v>0.273009</v>
      </c>
      <c r="X142" s="18">
        <v>-7.2431380000000004E-2</v>
      </c>
      <c r="Y142" s="17">
        <f t="shared" si="13"/>
        <v>2</v>
      </c>
      <c r="Z142" s="18"/>
      <c r="AA142" s="18"/>
      <c r="AB142" s="18"/>
      <c r="AC142" s="18"/>
      <c r="AD142" s="18"/>
      <c r="AE142" s="18"/>
      <c r="AF142" s="18"/>
      <c r="AG142" s="18"/>
    </row>
    <row r="143" spans="1:33" x14ac:dyDescent="0.3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>
        <v>0.28510990000000003</v>
      </c>
      <c r="T143" s="18">
        <v>-9.090144E-2</v>
      </c>
      <c r="U143" s="17">
        <f t="shared" si="12"/>
        <v>2</v>
      </c>
      <c r="V143" s="18" t="s">
        <v>2</v>
      </c>
      <c r="W143" s="18">
        <v>0.28510990000000003</v>
      </c>
      <c r="X143" s="18">
        <v>-7.5891719999999996E-2</v>
      </c>
      <c r="Y143" s="17">
        <f t="shared" si="13"/>
        <v>2</v>
      </c>
      <c r="Z143" s="18"/>
      <c r="AA143" s="18"/>
      <c r="AB143" s="18"/>
      <c r="AC143" s="18"/>
      <c r="AD143" s="18"/>
      <c r="AE143" s="18"/>
      <c r="AF143" s="18"/>
      <c r="AG143" s="18"/>
    </row>
    <row r="144" spans="1:33" x14ac:dyDescent="0.3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>
        <v>0.29739409999999999</v>
      </c>
      <c r="T144" s="18">
        <v>-9.3540799999999993E-2</v>
      </c>
      <c r="U144" s="17">
        <f t="shared" si="12"/>
        <v>2</v>
      </c>
      <c r="V144" s="18" t="s">
        <v>2</v>
      </c>
      <c r="W144" s="18">
        <v>0.29739409999999999</v>
      </c>
      <c r="X144" s="18">
        <v>-7.8640089999999996E-2</v>
      </c>
      <c r="Y144" s="17">
        <f t="shared" si="13"/>
        <v>2</v>
      </c>
      <c r="Z144" s="18"/>
      <c r="AA144" s="18"/>
      <c r="AB144" s="18"/>
      <c r="AC144" s="18"/>
      <c r="AD144" s="18"/>
      <c r="AE144" s="18"/>
      <c r="AF144" s="18"/>
      <c r="AG144" s="18"/>
    </row>
    <row r="145" spans="1:33" x14ac:dyDescent="0.3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>
        <v>0.30985560000000001</v>
      </c>
      <c r="T145" s="18">
        <v>-9.5542520000000006E-2</v>
      </c>
      <c r="U145" s="17">
        <f t="shared" si="12"/>
        <v>2</v>
      </c>
      <c r="V145" s="18" t="s">
        <v>2</v>
      </c>
      <c r="W145" s="18">
        <v>0.30985560000000001</v>
      </c>
      <c r="X145" s="18">
        <v>-8.0746750000000006E-2</v>
      </c>
      <c r="Y145" s="17">
        <f t="shared" si="13"/>
        <v>2</v>
      </c>
      <c r="Z145" s="18"/>
      <c r="AA145" s="18"/>
      <c r="AB145" s="18"/>
      <c r="AC145" s="18"/>
      <c r="AD145" s="18"/>
      <c r="AE145" s="18"/>
      <c r="AF145" s="18"/>
      <c r="AG145" s="18"/>
    </row>
    <row r="146" spans="1:33" x14ac:dyDescent="0.3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>
        <v>0.3224882</v>
      </c>
      <c r="T146" s="18">
        <v>-9.6968899999999997E-2</v>
      </c>
      <c r="U146" s="17">
        <f t="shared" si="12"/>
        <v>2</v>
      </c>
      <c r="V146" s="18" t="s">
        <v>2</v>
      </c>
      <c r="W146" s="18">
        <v>0.3224882</v>
      </c>
      <c r="X146" s="18">
        <v>-8.2272010000000007E-2</v>
      </c>
      <c r="Y146" s="17">
        <f t="shared" si="13"/>
        <v>2</v>
      </c>
      <c r="Z146" s="18"/>
      <c r="AA146" s="18"/>
      <c r="AB146" s="18"/>
      <c r="AC146" s="18"/>
      <c r="AD146" s="18"/>
      <c r="AE146" s="18"/>
      <c r="AF146" s="18"/>
      <c r="AG146" s="18"/>
    </row>
    <row r="147" spans="1:33" x14ac:dyDescent="0.3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>
        <v>0.33528560000000002</v>
      </c>
      <c r="T147" s="18">
        <v>-9.7873799999999997E-2</v>
      </c>
      <c r="U147" s="17">
        <f t="shared" si="12"/>
        <v>2</v>
      </c>
      <c r="V147" s="18" t="s">
        <v>2</v>
      </c>
      <c r="W147" s="18">
        <v>0.33528560000000002</v>
      </c>
      <c r="X147" s="18">
        <v>-8.3268510000000004E-2</v>
      </c>
      <c r="Y147" s="17">
        <f t="shared" si="13"/>
        <v>2</v>
      </c>
      <c r="Z147" s="18"/>
      <c r="AA147" s="18"/>
      <c r="AB147" s="18"/>
      <c r="AC147" s="18"/>
      <c r="AD147" s="18"/>
      <c r="AE147" s="18"/>
      <c r="AF147" s="18"/>
      <c r="AG147" s="18"/>
    </row>
    <row r="148" spans="1:33" x14ac:dyDescent="0.3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>
        <v>0.34824149999999998</v>
      </c>
      <c r="T148" s="18">
        <v>-9.8304610000000001E-2</v>
      </c>
      <c r="U148" s="17">
        <f t="shared" si="12"/>
        <v>2</v>
      </c>
      <c r="V148" s="18" t="s">
        <v>2</v>
      </c>
      <c r="W148" s="18">
        <v>0.34824149999999998</v>
      </c>
      <c r="X148" s="18">
        <v>-8.3782930000000005E-2</v>
      </c>
      <c r="Y148" s="17">
        <f t="shared" si="13"/>
        <v>2</v>
      </c>
      <c r="Z148" s="18"/>
      <c r="AA148" s="18"/>
      <c r="AB148" s="18"/>
      <c r="AC148" s="18"/>
      <c r="AD148" s="18"/>
      <c r="AE148" s="18"/>
      <c r="AF148" s="18"/>
      <c r="AG148" s="18"/>
    </row>
    <row r="149" spans="1:33" x14ac:dyDescent="0.3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>
        <v>0.36134929999999998</v>
      </c>
      <c r="T149" s="18">
        <v>-9.8303559999999998E-2</v>
      </c>
      <c r="U149" s="17">
        <f t="shared" si="12"/>
        <v>2</v>
      </c>
      <c r="V149" s="18" t="s">
        <v>2</v>
      </c>
      <c r="W149" s="18">
        <v>0.36134929999999998</v>
      </c>
      <c r="X149" s="18">
        <v>-8.3857009999999996E-2</v>
      </c>
      <c r="Y149" s="17">
        <f t="shared" si="13"/>
        <v>2</v>
      </c>
      <c r="Z149" s="18"/>
      <c r="AA149" s="18"/>
      <c r="AB149" s="18"/>
      <c r="AC149" s="18"/>
      <c r="AD149" s="18"/>
      <c r="AE149" s="18"/>
      <c r="AF149" s="18"/>
      <c r="AG149" s="18"/>
    </row>
    <row r="150" spans="1:33" x14ac:dyDescent="0.3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>
        <v>0.3746025</v>
      </c>
      <c r="T150" s="18">
        <v>-9.7908679999999998E-2</v>
      </c>
      <c r="U150" s="17">
        <f t="shared" si="12"/>
        <v>2</v>
      </c>
      <c r="V150" s="18" t="s">
        <v>2</v>
      </c>
      <c r="W150" s="18">
        <v>0.3746025</v>
      </c>
      <c r="X150" s="18">
        <v>-8.3528420000000006E-2</v>
      </c>
      <c r="Y150" s="17">
        <f t="shared" si="13"/>
        <v>2</v>
      </c>
      <c r="Z150" s="18"/>
      <c r="AA150" s="18"/>
      <c r="AB150" s="18"/>
      <c r="AC150" s="18"/>
      <c r="AD150" s="18"/>
      <c r="AE150" s="18"/>
      <c r="AF150" s="18"/>
      <c r="AG150" s="18"/>
    </row>
    <row r="151" spans="1:33" x14ac:dyDescent="0.3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>
        <v>0.38799440000000002</v>
      </c>
      <c r="T151" s="18">
        <v>-9.715443E-2</v>
      </c>
      <c r="U151" s="17">
        <f t="shared" si="12"/>
        <v>2</v>
      </c>
      <c r="V151" s="18" t="s">
        <v>2</v>
      </c>
      <c r="W151" s="18">
        <v>0.38799440000000002</v>
      </c>
      <c r="X151" s="18">
        <v>-8.2831379999999996E-2</v>
      </c>
      <c r="Y151" s="17">
        <f t="shared" si="13"/>
        <v>2</v>
      </c>
      <c r="Z151" s="18"/>
      <c r="AA151" s="18"/>
      <c r="AB151" s="18"/>
      <c r="AC151" s="18"/>
      <c r="AD151" s="18"/>
      <c r="AE151" s="18"/>
      <c r="AF151" s="18"/>
      <c r="AG151" s="18"/>
    </row>
    <row r="152" spans="1:33" x14ac:dyDescent="0.3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>
        <v>0.40151809999999999</v>
      </c>
      <c r="T152" s="18">
        <v>-9.6072210000000005E-2</v>
      </c>
      <c r="U152" s="17">
        <f t="shared" si="12"/>
        <v>2</v>
      </c>
      <c r="V152" s="18" t="s">
        <v>2</v>
      </c>
      <c r="W152" s="18">
        <v>0.40151809999999999</v>
      </c>
      <c r="X152" s="18">
        <v>-8.1797060000000005E-2</v>
      </c>
      <c r="Y152" s="17">
        <f t="shared" si="13"/>
        <v>2</v>
      </c>
      <c r="Z152" s="18"/>
      <c r="AA152" s="18"/>
      <c r="AB152" s="18"/>
      <c r="AC152" s="18"/>
      <c r="AD152" s="18"/>
      <c r="AE152" s="18"/>
      <c r="AF152" s="18"/>
      <c r="AG152" s="18"/>
    </row>
    <row r="153" spans="1:33" x14ac:dyDescent="0.3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>
        <v>0.4151667</v>
      </c>
      <c r="T153" s="18">
        <v>-9.4690720000000006E-2</v>
      </c>
      <c r="U153" s="17">
        <f t="shared" si="12"/>
        <v>2</v>
      </c>
      <c r="V153" s="18" t="s">
        <v>2</v>
      </c>
      <c r="W153" s="18">
        <v>0.4151667</v>
      </c>
      <c r="X153" s="18">
        <v>-8.0453940000000002E-2</v>
      </c>
      <c r="Y153" s="17">
        <f t="shared" si="13"/>
        <v>2</v>
      </c>
      <c r="Z153" s="18"/>
      <c r="AA153" s="18"/>
      <c r="AB153" s="18"/>
      <c r="AC153" s="18"/>
      <c r="AD153" s="18"/>
      <c r="AE153" s="18"/>
      <c r="AF153" s="18"/>
      <c r="AG153" s="18"/>
    </row>
    <row r="154" spans="1:33" x14ac:dyDescent="0.3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>
        <v>0.42893310000000001</v>
      </c>
      <c r="T154" s="18">
        <v>-9.3036220000000003E-2</v>
      </c>
      <c r="U154" s="17">
        <f t="shared" si="12"/>
        <v>2</v>
      </c>
      <c r="V154" s="18" t="s">
        <v>2</v>
      </c>
      <c r="W154" s="18">
        <v>0.42893310000000001</v>
      </c>
      <c r="X154" s="18">
        <v>-7.8828099999999998E-2</v>
      </c>
      <c r="Y154" s="17">
        <f t="shared" si="13"/>
        <v>2</v>
      </c>
      <c r="Z154" s="18"/>
      <c r="AA154" s="18"/>
      <c r="AB154" s="18"/>
      <c r="AC154" s="18"/>
      <c r="AD154" s="18"/>
      <c r="AE154" s="18"/>
      <c r="AF154" s="18"/>
      <c r="AG154" s="18"/>
    </row>
    <row r="155" spans="1:33" x14ac:dyDescent="0.3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>
        <v>0.44280999999999998</v>
      </c>
      <c r="T155" s="18">
        <v>-9.1132779999999997E-2</v>
      </c>
      <c r="U155" s="17">
        <f t="shared" si="12"/>
        <v>2</v>
      </c>
      <c r="V155" s="18" t="s">
        <v>2</v>
      </c>
      <c r="W155" s="18">
        <v>0.44280999999999998</v>
      </c>
      <c r="X155" s="18">
        <v>-7.6943349999999994E-2</v>
      </c>
      <c r="Y155" s="17">
        <f t="shared" si="13"/>
        <v>2</v>
      </c>
      <c r="Z155" s="18"/>
      <c r="AA155" s="18"/>
      <c r="AB155" s="18"/>
      <c r="AC155" s="18"/>
      <c r="AD155" s="18"/>
      <c r="AE155" s="18"/>
      <c r="AF155" s="18"/>
      <c r="AG155" s="18"/>
    </row>
    <row r="156" spans="1:33" x14ac:dyDescent="0.3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>
        <v>0.45679009999999998</v>
      </c>
      <c r="T156" s="18">
        <v>-8.9002399999999995E-2</v>
      </c>
      <c r="U156" s="17">
        <f t="shared" si="12"/>
        <v>2</v>
      </c>
      <c r="V156" s="18" t="s">
        <v>2</v>
      </c>
      <c r="W156" s="18">
        <v>0.45679009999999998</v>
      </c>
      <c r="X156" s="18">
        <v>-7.4821479999999996E-2</v>
      </c>
      <c r="Y156" s="17">
        <f t="shared" si="13"/>
        <v>2</v>
      </c>
      <c r="Z156" s="18"/>
      <c r="AA156" s="18"/>
      <c r="AB156" s="18"/>
      <c r="AC156" s="18"/>
      <c r="AD156" s="18"/>
      <c r="AE156" s="18"/>
      <c r="AF156" s="18"/>
      <c r="AG156" s="18"/>
    </row>
    <row r="157" spans="1:33" x14ac:dyDescent="0.3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>
        <v>0.4708659</v>
      </c>
      <c r="T157" s="18">
        <v>-8.6665190000000003E-2</v>
      </c>
      <c r="U157" s="17">
        <f t="shared" si="12"/>
        <v>2</v>
      </c>
      <c r="V157" s="18" t="s">
        <v>2</v>
      </c>
      <c r="W157" s="18">
        <v>0.4708659</v>
      </c>
      <c r="X157" s="18">
        <v>-7.2482290000000005E-2</v>
      </c>
      <c r="Y157" s="17">
        <f t="shared" si="13"/>
        <v>2</v>
      </c>
      <c r="Z157" s="18"/>
      <c r="AA157" s="18"/>
      <c r="AB157" s="18"/>
      <c r="AC157" s="18"/>
      <c r="AD157" s="18"/>
      <c r="AE157" s="18"/>
      <c r="AF157" s="18"/>
      <c r="AG157" s="18"/>
    </row>
    <row r="158" spans="1:33" x14ac:dyDescent="0.3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>
        <v>0.4850295</v>
      </c>
      <c r="T158" s="18">
        <v>-8.4139439999999996E-2</v>
      </c>
      <c r="U158" s="17">
        <f t="shared" si="12"/>
        <v>2</v>
      </c>
      <c r="V158" s="18" t="s">
        <v>2</v>
      </c>
      <c r="W158" s="18">
        <v>0.4850295</v>
      </c>
      <c r="X158" s="18">
        <v>-6.9943749999999999E-2</v>
      </c>
      <c r="Y158" s="17">
        <f t="shared" si="13"/>
        <v>2</v>
      </c>
      <c r="Z158" s="18"/>
      <c r="AA158" s="18"/>
      <c r="AB158" s="18"/>
      <c r="AC158" s="18"/>
      <c r="AD158" s="18"/>
      <c r="AE158" s="18"/>
      <c r="AF158" s="18"/>
      <c r="AG158" s="18"/>
    </row>
    <row r="159" spans="1:33" x14ac:dyDescent="0.3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>
        <v>0.49927329999999998</v>
      </c>
      <c r="T159" s="18">
        <v>-8.1441700000000006E-2</v>
      </c>
      <c r="U159" s="17">
        <f t="shared" si="12"/>
        <v>2</v>
      </c>
      <c r="V159" s="18" t="s">
        <v>2</v>
      </c>
      <c r="W159" s="18">
        <v>0.49927329999999998</v>
      </c>
      <c r="X159" s="18">
        <v>-6.7222030000000002E-2</v>
      </c>
      <c r="Y159" s="17">
        <f t="shared" si="13"/>
        <v>2</v>
      </c>
      <c r="Z159" s="18"/>
      <c r="AA159" s="18"/>
      <c r="AB159" s="18"/>
      <c r="AC159" s="18"/>
      <c r="AD159" s="18"/>
      <c r="AE159" s="18"/>
      <c r="AF159" s="18"/>
      <c r="AG159" s="18"/>
    </row>
    <row r="160" spans="1:33" x14ac:dyDescent="0.3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>
        <v>0.51358910000000002</v>
      </c>
      <c r="T160" s="18">
        <v>-7.8586879999999998E-2</v>
      </c>
      <c r="U160" s="17">
        <f t="shared" si="12"/>
        <v>2</v>
      </c>
      <c r="V160" s="18" t="s">
        <v>2</v>
      </c>
      <c r="W160" s="18">
        <v>0.51358910000000002</v>
      </c>
      <c r="X160" s="18">
        <v>-6.4331559999999996E-2</v>
      </c>
      <c r="Y160" s="17">
        <f t="shared" si="13"/>
        <v>2</v>
      </c>
      <c r="Z160" s="18"/>
      <c r="AA160" s="18"/>
      <c r="AB160" s="18"/>
      <c r="AC160" s="18"/>
      <c r="AD160" s="18"/>
      <c r="AE160" s="18"/>
      <c r="AF160" s="18"/>
      <c r="AG160" s="18"/>
    </row>
    <row r="161" spans="1:33" x14ac:dyDescent="0.3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>
        <v>0.52796880000000002</v>
      </c>
      <c r="T161" s="18">
        <v>-7.5588299999999997E-2</v>
      </c>
      <c r="U161" s="17">
        <f t="shared" si="12"/>
        <v>2</v>
      </c>
      <c r="V161" s="18" t="s">
        <v>2</v>
      </c>
      <c r="W161" s="18">
        <v>0.52796880000000002</v>
      </c>
      <c r="X161" s="18">
        <v>-6.1285100000000002E-2</v>
      </c>
      <c r="Y161" s="17">
        <f t="shared" si="13"/>
        <v>2</v>
      </c>
      <c r="Z161" s="18"/>
      <c r="AA161" s="18"/>
      <c r="AB161" s="18"/>
      <c r="AC161" s="18"/>
      <c r="AD161" s="18"/>
      <c r="AE161" s="18"/>
      <c r="AF161" s="18"/>
      <c r="AG161" s="18"/>
    </row>
    <row r="162" spans="1:33" x14ac:dyDescent="0.3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>
        <v>0.54240379999999999</v>
      </c>
      <c r="T162" s="18">
        <v>-7.2457709999999995E-2</v>
      </c>
      <c r="U162" s="17">
        <f t="shared" si="12"/>
        <v>2</v>
      </c>
      <c r="V162" s="18" t="s">
        <v>2</v>
      </c>
      <c r="W162" s="18">
        <v>0.54240379999999999</v>
      </c>
      <c r="X162" s="18">
        <v>-5.8093739999999998E-2</v>
      </c>
      <c r="Y162" s="17">
        <f t="shared" si="13"/>
        <v>2</v>
      </c>
      <c r="Z162" s="18"/>
      <c r="AA162" s="18"/>
      <c r="AB162" s="18"/>
      <c r="AC162" s="18"/>
      <c r="AD162" s="18"/>
      <c r="AE162" s="18"/>
      <c r="AF162" s="18"/>
      <c r="AG162" s="18"/>
    </row>
    <row r="163" spans="1:33" x14ac:dyDescent="0.3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>
        <v>0.55688559999999998</v>
      </c>
      <c r="T163" s="18">
        <v>-6.9205379999999997E-2</v>
      </c>
      <c r="U163" s="17">
        <f t="shared" si="12"/>
        <v>2</v>
      </c>
      <c r="V163" s="18" t="s">
        <v>2</v>
      </c>
      <c r="W163" s="18">
        <v>0.55688559999999998</v>
      </c>
      <c r="X163" s="18">
        <v>-5.47669E-2</v>
      </c>
      <c r="Y163" s="17">
        <f t="shared" si="13"/>
        <v>2</v>
      </c>
      <c r="Z163" s="18"/>
      <c r="AA163" s="18"/>
      <c r="AB163" s="18"/>
      <c r="AC163" s="18"/>
      <c r="AD163" s="18"/>
      <c r="AE163" s="18"/>
      <c r="AF163" s="18"/>
      <c r="AG163" s="18"/>
    </row>
    <row r="164" spans="1:33" x14ac:dyDescent="0.3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>
        <v>0.57140539999999995</v>
      </c>
      <c r="T164" s="18">
        <v>-6.5840109999999993E-2</v>
      </c>
      <c r="U164" s="17">
        <f t="shared" si="12"/>
        <v>2</v>
      </c>
      <c r="V164" s="18" t="s">
        <v>2</v>
      </c>
      <c r="W164" s="18">
        <v>0.57140539999999995</v>
      </c>
      <c r="X164" s="18">
        <v>-5.1312400000000001E-2</v>
      </c>
      <c r="Y164" s="17">
        <f t="shared" si="13"/>
        <v>2</v>
      </c>
      <c r="Z164" s="18"/>
      <c r="AA164" s="18"/>
      <c r="AB164" s="18"/>
      <c r="AC164" s="18"/>
      <c r="AD164" s="18"/>
      <c r="AE164" s="18"/>
      <c r="AF164" s="18"/>
      <c r="AG164" s="18"/>
    </row>
    <row r="165" spans="1:33" x14ac:dyDescent="0.3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>
        <v>0.58595390000000003</v>
      </c>
      <c r="T165" s="18">
        <v>-6.2369279999999999E-2</v>
      </c>
      <c r="U165" s="17">
        <f t="shared" si="12"/>
        <v>2</v>
      </c>
      <c r="V165" s="18" t="s">
        <v>2</v>
      </c>
      <c r="W165" s="18">
        <v>0.58595390000000003</v>
      </c>
      <c r="X165" s="18">
        <v>-4.7736389999999997E-2</v>
      </c>
      <c r="Y165" s="17">
        <f t="shared" si="13"/>
        <v>2</v>
      </c>
      <c r="Z165" s="18"/>
      <c r="AA165" s="18"/>
      <c r="AB165" s="18"/>
      <c r="AC165" s="18"/>
      <c r="AD165" s="18"/>
      <c r="AE165" s="18"/>
      <c r="AF165" s="18"/>
      <c r="AG165" s="18"/>
    </row>
    <row r="166" spans="1:33" x14ac:dyDescent="0.3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>
        <v>0.60052190000000005</v>
      </c>
      <c r="T166" s="18">
        <v>-5.8798940000000001E-2</v>
      </c>
      <c r="U166" s="17">
        <f t="shared" si="12"/>
        <v>2</v>
      </c>
      <c r="V166" s="18" t="s">
        <v>2</v>
      </c>
      <c r="W166" s="18">
        <v>0.60052190000000005</v>
      </c>
      <c r="X166" s="18">
        <v>-4.4043400000000003E-2</v>
      </c>
      <c r="Y166" s="17">
        <f t="shared" si="13"/>
        <v>2</v>
      </c>
      <c r="Z166" s="18"/>
      <c r="AA166" s="18"/>
      <c r="AB166" s="18"/>
      <c r="AC166" s="18"/>
      <c r="AD166" s="18"/>
      <c r="AE166" s="18"/>
      <c r="AF166" s="18"/>
      <c r="AG166" s="18"/>
    </row>
    <row r="167" spans="1:33" x14ac:dyDescent="0.3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>
        <v>0.61509979999999997</v>
      </c>
      <c r="T167" s="18">
        <v>-5.5133809999999998E-2</v>
      </c>
      <c r="U167" s="17">
        <f t="shared" si="12"/>
        <v>2</v>
      </c>
      <c r="V167" s="18" t="s">
        <v>2</v>
      </c>
      <c r="W167" s="18">
        <v>0.61509979999999997</v>
      </c>
      <c r="X167" s="18">
        <v>-4.0236290000000001E-2</v>
      </c>
      <c r="Y167" s="17">
        <f t="shared" si="13"/>
        <v>2</v>
      </c>
      <c r="Z167" s="18"/>
      <c r="AA167" s="18"/>
      <c r="AB167" s="18"/>
      <c r="AC167" s="18"/>
      <c r="AD167" s="18"/>
      <c r="AE167" s="18"/>
      <c r="AF167" s="18"/>
      <c r="AG167" s="18"/>
    </row>
    <row r="168" spans="1:33" x14ac:dyDescent="0.3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>
        <v>0.62967770000000001</v>
      </c>
      <c r="T168" s="18">
        <v>-5.1377430000000002E-2</v>
      </c>
      <c r="U168" s="17">
        <f t="shared" si="12"/>
        <v>2</v>
      </c>
      <c r="V168" s="18" t="s">
        <v>2</v>
      </c>
      <c r="W168" s="18">
        <v>0.62967770000000001</v>
      </c>
      <c r="X168" s="18">
        <v>-3.6316269999999998E-2</v>
      </c>
      <c r="Y168" s="17">
        <f t="shared" si="13"/>
        <v>2</v>
      </c>
      <c r="Z168" s="18"/>
      <c r="AA168" s="18"/>
      <c r="AB168" s="18"/>
      <c r="AC168" s="18"/>
      <c r="AD168" s="18"/>
      <c r="AE168" s="18"/>
      <c r="AF168" s="18"/>
      <c r="AG168" s="18"/>
    </row>
    <row r="169" spans="1:33" x14ac:dyDescent="0.3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>
        <v>0.64424530000000002</v>
      </c>
      <c r="T169" s="18">
        <v>-4.7532230000000002E-2</v>
      </c>
      <c r="U169" s="17">
        <f t="shared" si="12"/>
        <v>2</v>
      </c>
      <c r="V169" s="18" t="s">
        <v>2</v>
      </c>
      <c r="W169" s="18">
        <v>0.64424530000000002</v>
      </c>
      <c r="X169" s="18">
        <v>-3.2282829999999998E-2</v>
      </c>
      <c r="Y169" s="17">
        <f t="shared" si="13"/>
        <v>2</v>
      </c>
      <c r="Z169" s="18"/>
      <c r="AA169" s="18"/>
      <c r="AB169" s="18"/>
      <c r="AC169" s="18"/>
      <c r="AD169" s="18"/>
      <c r="AE169" s="18"/>
      <c r="AF169" s="18"/>
      <c r="AG169" s="18"/>
    </row>
    <row r="170" spans="1:33" x14ac:dyDescent="0.3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>
        <v>0.65879220000000005</v>
      </c>
      <c r="T170" s="18">
        <v>-4.3599680000000002E-2</v>
      </c>
      <c r="U170" s="17">
        <f t="shared" si="12"/>
        <v>2</v>
      </c>
      <c r="V170" s="18" t="s">
        <v>2</v>
      </c>
      <c r="W170" s="18">
        <v>0.65879220000000005</v>
      </c>
      <c r="X170" s="18">
        <v>-2.8133709999999999E-2</v>
      </c>
      <c r="Y170" s="17">
        <f t="shared" si="13"/>
        <v>2</v>
      </c>
      <c r="Z170" s="18"/>
      <c r="AA170" s="18"/>
      <c r="AB170" s="18"/>
      <c r="AC170" s="18"/>
      <c r="AD170" s="18"/>
      <c r="AE170" s="18"/>
      <c r="AF170" s="18"/>
      <c r="AG170" s="18"/>
    </row>
    <row r="171" spans="1:33" x14ac:dyDescent="0.3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>
        <v>0.67330749999999995</v>
      </c>
      <c r="T171" s="18">
        <v>-3.9580509999999999E-2</v>
      </c>
      <c r="U171" s="17">
        <f t="shared" si="12"/>
        <v>2</v>
      </c>
      <c r="V171" s="18" t="s">
        <v>2</v>
      </c>
      <c r="W171" s="18">
        <v>0.67330749999999995</v>
      </c>
      <c r="X171" s="18">
        <v>-2.3864900000000001E-2</v>
      </c>
      <c r="Y171" s="17">
        <f t="shared" si="13"/>
        <v>2</v>
      </c>
      <c r="Z171" s="18"/>
      <c r="AA171" s="18"/>
      <c r="AB171" s="18"/>
      <c r="AC171" s="18"/>
      <c r="AD171" s="18"/>
      <c r="AE171" s="18"/>
      <c r="AF171" s="18"/>
      <c r="AG171" s="18"/>
    </row>
    <row r="172" spans="1:33" x14ac:dyDescent="0.3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>
        <v>0.6877799</v>
      </c>
      <c r="T172" s="18">
        <v>-3.5475039999999999E-2</v>
      </c>
      <c r="U172" s="17">
        <f t="shared" si="12"/>
        <v>2</v>
      </c>
      <c r="V172" s="18" t="s">
        <v>2</v>
      </c>
      <c r="W172" s="18">
        <v>0.6877799</v>
      </c>
      <c r="X172" s="18">
        <v>-1.947051E-2</v>
      </c>
      <c r="Y172" s="17">
        <f t="shared" si="13"/>
        <v>2</v>
      </c>
      <c r="Z172" s="18"/>
      <c r="AA172" s="18"/>
      <c r="AB172" s="18"/>
      <c r="AC172" s="18"/>
      <c r="AD172" s="18"/>
      <c r="AE172" s="18"/>
      <c r="AF172" s="18"/>
      <c r="AG172" s="18"/>
    </row>
    <row r="173" spans="1:33" x14ac:dyDescent="0.3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>
        <v>0.70219770000000004</v>
      </c>
      <c r="T173" s="18">
        <v>-3.1283569999999997E-2</v>
      </c>
      <c r="U173" s="17">
        <f t="shared" si="12"/>
        <v>2</v>
      </c>
      <c r="V173" s="18" t="s">
        <v>2</v>
      </c>
      <c r="W173" s="18">
        <v>0.70219770000000004</v>
      </c>
      <c r="X173" s="18">
        <v>-1.4942759999999999E-2</v>
      </c>
      <c r="Y173" s="17">
        <f t="shared" si="13"/>
        <v>2</v>
      </c>
      <c r="Z173" s="18"/>
      <c r="AA173" s="18"/>
      <c r="AB173" s="18"/>
      <c r="AC173" s="18"/>
      <c r="AD173" s="18"/>
      <c r="AE173" s="18"/>
      <c r="AF173" s="18"/>
      <c r="AG173" s="18"/>
    </row>
    <row r="174" spans="1:33" x14ac:dyDescent="0.3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>
        <v>0.71654890000000004</v>
      </c>
      <c r="T174" s="18">
        <v>-2.7007E-2</v>
      </c>
      <c r="U174" s="17">
        <f t="shared" si="12"/>
        <v>2</v>
      </c>
      <c r="V174" s="18" t="s">
        <v>2</v>
      </c>
      <c r="W174" s="18">
        <v>0.71654890000000004</v>
      </c>
      <c r="X174" s="18">
        <v>-1.0271870000000001E-2</v>
      </c>
      <c r="Y174" s="17">
        <f t="shared" si="13"/>
        <v>2</v>
      </c>
      <c r="Z174" s="18"/>
      <c r="AA174" s="18"/>
      <c r="AB174" s="18"/>
      <c r="AC174" s="18"/>
      <c r="AD174" s="18"/>
      <c r="AE174" s="18"/>
      <c r="AF174" s="18"/>
      <c r="AG174" s="18"/>
    </row>
    <row r="175" spans="1:33" x14ac:dyDescent="0.3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>
        <v>0.7308209</v>
      </c>
      <c r="T175" s="18">
        <v>-2.2647759999999999E-2</v>
      </c>
      <c r="U175" s="17">
        <f t="shared" si="12"/>
        <v>2</v>
      </c>
      <c r="V175" s="18" t="s">
        <v>2</v>
      </c>
      <c r="W175" s="18">
        <v>0.7308209</v>
      </c>
      <c r="X175" s="18">
        <v>-5.4459549999999997E-3</v>
      </c>
      <c r="Y175" s="17">
        <f t="shared" si="13"/>
        <v>2</v>
      </c>
      <c r="Z175" s="18"/>
      <c r="AA175" s="18"/>
      <c r="AB175" s="18"/>
      <c r="AC175" s="18"/>
      <c r="AD175" s="18"/>
      <c r="AE175" s="18"/>
      <c r="AF175" s="18"/>
      <c r="AG175" s="18"/>
    </row>
    <row r="176" spans="1:33" x14ac:dyDescent="0.3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>
        <v>0.74500049999999995</v>
      </c>
      <c r="T176" s="18">
        <v>-1.821099E-2</v>
      </c>
      <c r="U176" s="17">
        <f t="shared" si="12"/>
        <v>2</v>
      </c>
      <c r="V176" s="18" t="s">
        <v>2</v>
      </c>
      <c r="W176" s="18">
        <v>0.74500049999999995</v>
      </c>
      <c r="X176" s="18">
        <v>-4.5090069999999998E-4</v>
      </c>
      <c r="Y176" s="17">
        <f t="shared" si="13"/>
        <v>2</v>
      </c>
      <c r="Z176" s="18"/>
      <c r="AA176" s="18"/>
      <c r="AB176" s="18"/>
      <c r="AC176" s="18"/>
      <c r="AD176" s="18"/>
      <c r="AE176" s="18"/>
      <c r="AF176" s="18"/>
      <c r="AG176" s="18"/>
    </row>
    <row r="177" spans="1:33" x14ac:dyDescent="0.3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>
        <v>0.75907420000000003</v>
      </c>
      <c r="T177" s="18">
        <v>-1.3706380000000001E-2</v>
      </c>
      <c r="U177" s="17">
        <f t="shared" si="12"/>
        <v>2</v>
      </c>
      <c r="V177" s="18" t="s">
        <v>2</v>
      </c>
      <c r="W177" s="18">
        <v>0.75907420000000003</v>
      </c>
      <c r="X177" s="18">
        <v>4.7298130000000002E-3</v>
      </c>
      <c r="Y177" s="17">
        <f t="shared" si="13"/>
        <v>2</v>
      </c>
      <c r="Z177" s="18"/>
      <c r="AA177" s="18"/>
      <c r="AB177" s="18"/>
      <c r="AC177" s="18"/>
      <c r="AD177" s="18"/>
      <c r="AE177" s="18"/>
      <c r="AF177" s="18"/>
      <c r="AG177" s="18"/>
    </row>
    <row r="178" spans="1:33" x14ac:dyDescent="0.3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>
        <v>0.77302749999999998</v>
      </c>
      <c r="T178" s="18">
        <v>-9.1505049999999998E-3</v>
      </c>
      <c r="U178" s="17">
        <f t="shared" si="12"/>
        <v>2</v>
      </c>
      <c r="V178" s="18" t="s">
        <v>2</v>
      </c>
      <c r="W178" s="18">
        <v>0.77302749999999998</v>
      </c>
      <c r="X178" s="18">
        <v>1.0115300000000001E-2</v>
      </c>
      <c r="Y178" s="17">
        <f t="shared" si="13"/>
        <v>2</v>
      </c>
      <c r="Z178" s="18"/>
      <c r="AA178" s="18"/>
      <c r="AB178" s="18"/>
      <c r="AC178" s="18"/>
      <c r="AD178" s="18"/>
      <c r="AE178" s="18"/>
      <c r="AF178" s="18"/>
      <c r="AG178" s="18"/>
    </row>
    <row r="179" spans="1:33" x14ac:dyDescent="0.3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>
        <v>0.78684540000000003</v>
      </c>
      <c r="T179" s="18">
        <v>-4.5702269999999996E-3</v>
      </c>
      <c r="U179" s="17">
        <f t="shared" si="12"/>
        <v>2</v>
      </c>
      <c r="V179" s="18" t="s">
        <v>2</v>
      </c>
      <c r="W179" s="18">
        <v>0.78684540000000003</v>
      </c>
      <c r="X179" s="18">
        <v>1.5727540000000002E-2</v>
      </c>
      <c r="Y179" s="17">
        <f t="shared" si="13"/>
        <v>2</v>
      </c>
      <c r="Z179" s="18"/>
      <c r="AA179" s="18"/>
      <c r="AB179" s="18"/>
      <c r="AC179" s="18"/>
      <c r="AD179" s="18"/>
      <c r="AE179" s="18"/>
      <c r="AF179" s="18"/>
      <c r="AG179" s="18"/>
    </row>
    <row r="180" spans="1:33" x14ac:dyDescent="0.3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>
        <v>0.80051220000000001</v>
      </c>
      <c r="T180" s="18">
        <v>-7.2038390000000004E-6</v>
      </c>
      <c r="U180" s="17">
        <f t="shared" si="12"/>
        <v>2</v>
      </c>
      <c r="V180" s="18" t="s">
        <v>2</v>
      </c>
      <c r="W180" s="18">
        <v>0.80051220000000001</v>
      </c>
      <c r="X180" s="18">
        <v>2.159167E-2</v>
      </c>
      <c r="Y180" s="17">
        <f t="shared" si="13"/>
        <v>2</v>
      </c>
      <c r="Z180" s="18"/>
      <c r="AA180" s="18"/>
      <c r="AB180" s="18"/>
      <c r="AC180" s="18"/>
      <c r="AD180" s="18"/>
      <c r="AE180" s="18"/>
      <c r="AF180" s="18"/>
      <c r="AG180" s="18"/>
    </row>
    <row r="181" spans="1:33" x14ac:dyDescent="0.3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>
        <v>0.81401129999999999</v>
      </c>
      <c r="T181" s="18">
        <v>4.4754909999999998E-3</v>
      </c>
      <c r="U181" s="17">
        <f t="shared" si="12"/>
        <v>2</v>
      </c>
      <c r="V181" s="18" t="s">
        <v>2</v>
      </c>
      <c r="W181" s="18">
        <v>0.81401129999999999</v>
      </c>
      <c r="X181" s="18">
        <v>2.7736420000000001E-2</v>
      </c>
      <c r="Y181" s="17">
        <f t="shared" si="13"/>
        <v>2</v>
      </c>
      <c r="Z181" s="18"/>
      <c r="AA181" s="18"/>
      <c r="AB181" s="18"/>
      <c r="AC181" s="18"/>
      <c r="AD181" s="18"/>
      <c r="AE181" s="18"/>
      <c r="AF181" s="18"/>
      <c r="AG181" s="18"/>
    </row>
    <row r="182" spans="1:33" x14ac:dyDescent="0.3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>
        <v>0.82732499999999998</v>
      </c>
      <c r="T182" s="18">
        <v>8.781858E-3</v>
      </c>
      <c r="U182" s="17">
        <f t="shared" si="12"/>
        <v>2</v>
      </c>
      <c r="V182" s="18" t="s">
        <v>2</v>
      </c>
      <c r="W182" s="18">
        <v>0.82732499999999998</v>
      </c>
      <c r="X182" s="18">
        <v>3.4194660000000002E-2</v>
      </c>
      <c r="Y182" s="17">
        <f t="shared" si="13"/>
        <v>2</v>
      </c>
      <c r="Z182" s="18"/>
      <c r="AA182" s="18"/>
      <c r="AB182" s="18"/>
      <c r="AC182" s="18"/>
      <c r="AD182" s="18"/>
      <c r="AE182" s="18"/>
      <c r="AF182" s="18"/>
      <c r="AG182" s="18"/>
    </row>
    <row r="183" spans="1:33" x14ac:dyDescent="0.3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>
        <v>0.84043469999999998</v>
      </c>
      <c r="T183" s="18">
        <v>1.275812E-2</v>
      </c>
      <c r="U183" s="17">
        <f t="shared" si="12"/>
        <v>2</v>
      </c>
      <c r="V183" s="18" t="s">
        <v>2</v>
      </c>
      <c r="W183" s="18">
        <v>0.84043469999999998</v>
      </c>
      <c r="X183" s="18">
        <v>4.1004029999999997E-2</v>
      </c>
      <c r="Y183" s="17">
        <f t="shared" si="13"/>
        <v>2</v>
      </c>
      <c r="Z183" s="18"/>
      <c r="AA183" s="18"/>
      <c r="AB183" s="18"/>
      <c r="AC183" s="18"/>
      <c r="AD183" s="18"/>
      <c r="AE183" s="18"/>
      <c r="AF183" s="18"/>
      <c r="AG183" s="18"/>
    </row>
    <row r="184" spans="1:33" x14ac:dyDescent="0.3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>
        <v>0.85332050000000004</v>
      </c>
      <c r="T184" s="18">
        <v>1.6110340000000001E-2</v>
      </c>
      <c r="U184" s="17">
        <f t="shared" si="12"/>
        <v>2</v>
      </c>
      <c r="V184" s="18" t="s">
        <v>2</v>
      </c>
      <c r="W184" s="18">
        <v>0.85332050000000004</v>
      </c>
      <c r="X184" s="18">
        <v>4.8207899999999998E-2</v>
      </c>
      <c r="Y184" s="17">
        <f t="shared" si="13"/>
        <v>2</v>
      </c>
      <c r="Z184" s="18"/>
      <c r="AA184" s="18"/>
      <c r="AB184" s="18"/>
      <c r="AC184" s="18"/>
      <c r="AD184" s="18"/>
      <c r="AE184" s="18"/>
      <c r="AF184" s="18"/>
      <c r="AG184" s="18"/>
    </row>
    <row r="185" spans="1:33" x14ac:dyDescent="0.3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>
        <v>0.86596090000000003</v>
      </c>
      <c r="T185" s="18">
        <v>1.8105050000000001E-2</v>
      </c>
      <c r="U185" s="17">
        <f t="shared" si="12"/>
        <v>2</v>
      </c>
      <c r="V185" s="18" t="s">
        <v>2</v>
      </c>
      <c r="W185" s="18">
        <v>0.86596090000000003</v>
      </c>
      <c r="X185" s="18">
        <v>5.585656E-2</v>
      </c>
      <c r="Y185" s="17">
        <f t="shared" si="13"/>
        <v>2</v>
      </c>
      <c r="Z185" s="18"/>
      <c r="AA185" s="18"/>
      <c r="AB185" s="18"/>
      <c r="AC185" s="18"/>
      <c r="AD185" s="18"/>
      <c r="AE185" s="18"/>
      <c r="AF185" s="18"/>
      <c r="AG185" s="18"/>
    </row>
    <row r="186" spans="1:33" x14ac:dyDescent="0.3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>
        <v>0.87833309999999998</v>
      </c>
      <c r="T186" s="18">
        <v>2.7327529999999999E-2</v>
      </c>
      <c r="U186" s="17">
        <f t="shared" si="12"/>
        <v>2</v>
      </c>
      <c r="V186" s="18" t="s">
        <v>2</v>
      </c>
      <c r="W186" s="18">
        <v>0.87833309999999998</v>
      </c>
      <c r="X186" s="18">
        <v>6.4008850000000006E-2</v>
      </c>
      <c r="Y186" s="17">
        <f t="shared" si="13"/>
        <v>2</v>
      </c>
      <c r="Z186" s="18"/>
      <c r="AA186" s="18"/>
      <c r="AB186" s="18"/>
      <c r="AC186" s="18"/>
      <c r="AD186" s="18"/>
      <c r="AE186" s="18"/>
      <c r="AF186" s="18"/>
      <c r="AG186" s="18"/>
    </row>
    <row r="187" spans="1:33" x14ac:dyDescent="0.3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>
        <v>0.89041230000000005</v>
      </c>
      <c r="T187" s="18">
        <v>5.5111630000000002E-2</v>
      </c>
      <c r="U187" s="17">
        <f t="shared" si="12"/>
        <v>2</v>
      </c>
      <c r="V187" s="18" t="s">
        <v>2</v>
      </c>
      <c r="W187" s="18">
        <v>0.89041230000000005</v>
      </c>
      <c r="X187" s="18">
        <v>7.2734380000000001E-2</v>
      </c>
      <c r="Y187" s="17">
        <f t="shared" si="13"/>
        <v>2</v>
      </c>
      <c r="Z187" s="18"/>
      <c r="AA187" s="18"/>
      <c r="AB187" s="18"/>
      <c r="AC187" s="18"/>
      <c r="AD187" s="18"/>
      <c r="AE187" s="18"/>
      <c r="AF187" s="18"/>
      <c r="AG187" s="18"/>
    </row>
    <row r="188" spans="1:33" x14ac:dyDescent="0.3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>
        <v>0.90217119999999995</v>
      </c>
      <c r="T188" s="18">
        <v>7.2559109999999996E-2</v>
      </c>
      <c r="U188" s="17">
        <f t="shared" si="12"/>
        <v>2</v>
      </c>
      <c r="V188" s="18" t="s">
        <v>2</v>
      </c>
      <c r="W188" s="18">
        <v>0.90217119999999995</v>
      </c>
      <c r="X188" s="18">
        <v>8.2116709999999996E-2</v>
      </c>
      <c r="Y188" s="17">
        <f t="shared" si="13"/>
        <v>2</v>
      </c>
      <c r="Z188" s="18"/>
      <c r="AA188" s="18"/>
      <c r="AB188" s="18"/>
      <c r="AC188" s="18"/>
      <c r="AD188" s="18"/>
      <c r="AE188" s="18"/>
      <c r="AF188" s="18"/>
      <c r="AG188" s="18"/>
    </row>
    <row r="189" spans="1:33" x14ac:dyDescent="0.3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>
        <v>0.91358019999999995</v>
      </c>
      <c r="T189" s="18">
        <v>8.2120410000000005E-2</v>
      </c>
      <c r="U189" s="17">
        <f t="shared" si="12"/>
        <v>2</v>
      </c>
      <c r="V189" s="18" t="s">
        <v>2</v>
      </c>
      <c r="W189" s="18">
        <v>0.91358019999999995</v>
      </c>
      <c r="X189" s="18">
        <v>9.2257779999999998E-2</v>
      </c>
      <c r="Y189" s="17">
        <f t="shared" si="13"/>
        <v>2</v>
      </c>
      <c r="Z189" s="18"/>
      <c r="AA189" s="18"/>
      <c r="AB189" s="18"/>
      <c r="AC189" s="18"/>
      <c r="AD189" s="18"/>
      <c r="AE189" s="18"/>
      <c r="AF189" s="18"/>
      <c r="AG189" s="18"/>
    </row>
    <row r="190" spans="1:33" x14ac:dyDescent="0.3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>
        <v>0.92460629999999999</v>
      </c>
      <c r="T190" s="18">
        <v>8.9840379999999997E-2</v>
      </c>
      <c r="U190" s="17">
        <f t="shared" si="12"/>
        <v>2</v>
      </c>
      <c r="V190" s="18" t="s">
        <v>2</v>
      </c>
      <c r="W190" s="18">
        <v>0.92460629999999999</v>
      </c>
      <c r="X190" s="18">
        <v>0.1032844</v>
      </c>
      <c r="Y190" s="17">
        <f t="shared" si="13"/>
        <v>2</v>
      </c>
      <c r="Z190" s="18"/>
      <c r="AA190" s="18"/>
      <c r="AB190" s="18"/>
      <c r="AC190" s="18"/>
      <c r="AD190" s="18"/>
      <c r="AE190" s="18"/>
      <c r="AF190" s="18"/>
      <c r="AG190" s="18"/>
    </row>
    <row r="191" spans="1:33" x14ac:dyDescent="0.3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>
        <v>0.93521240000000005</v>
      </c>
      <c r="T191" s="18">
        <v>9.8069610000000002E-2</v>
      </c>
      <c r="U191" s="17">
        <f t="shared" si="12"/>
        <v>2</v>
      </c>
      <c r="V191" s="18" t="s">
        <v>2</v>
      </c>
      <c r="W191" s="18">
        <v>0.93521240000000005</v>
      </c>
      <c r="X191" s="18">
        <v>0.1153584</v>
      </c>
      <c r="Y191" s="17">
        <f t="shared" si="13"/>
        <v>2</v>
      </c>
      <c r="Z191" s="18"/>
      <c r="AA191" s="18"/>
      <c r="AB191" s="18"/>
      <c r="AC191" s="18"/>
      <c r="AD191" s="18"/>
      <c r="AE191" s="18"/>
      <c r="AF191" s="18"/>
      <c r="AG191" s="18"/>
    </row>
    <row r="192" spans="1:33" x14ac:dyDescent="0.3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>
        <v>0.94535659999999999</v>
      </c>
      <c r="T192" s="18">
        <v>0.10745440000000001</v>
      </c>
      <c r="U192" s="17">
        <f t="shared" si="12"/>
        <v>2</v>
      </c>
      <c r="V192" s="18" t="s">
        <v>2</v>
      </c>
      <c r="W192" s="18">
        <v>0.94535659999999999</v>
      </c>
      <c r="X192" s="18">
        <v>0.12869140000000001</v>
      </c>
      <c r="Y192" s="17">
        <f t="shared" si="13"/>
        <v>2</v>
      </c>
      <c r="Z192" s="18"/>
      <c r="AA192" s="18"/>
      <c r="AB192" s="18"/>
      <c r="AC192" s="18"/>
      <c r="AD192" s="18"/>
      <c r="AE192" s="18"/>
      <c r="AF192" s="18"/>
      <c r="AG192" s="18"/>
    </row>
    <row r="193" spans="1:33" x14ac:dyDescent="0.3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>
        <v>0.95499020000000001</v>
      </c>
      <c r="T193" s="18">
        <v>0.1181861</v>
      </c>
      <c r="U193" s="17">
        <f t="shared" si="12"/>
        <v>2</v>
      </c>
      <c r="V193" s="18" t="s">
        <v>2</v>
      </c>
      <c r="W193" s="18">
        <v>0.95499020000000001</v>
      </c>
      <c r="X193" s="18">
        <v>0.14357059999999999</v>
      </c>
      <c r="Y193" s="17">
        <f t="shared" si="13"/>
        <v>2</v>
      </c>
      <c r="Z193" s="18"/>
      <c r="AA193" s="18"/>
      <c r="AB193" s="18"/>
      <c r="AC193" s="18"/>
      <c r="AD193" s="18"/>
      <c r="AE193" s="18"/>
      <c r="AF193" s="18"/>
      <c r="AG193" s="18"/>
    </row>
    <row r="194" spans="1:33" x14ac:dyDescent="0.3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>
        <v>0.96405589999999997</v>
      </c>
      <c r="T194" s="18">
        <v>0.13038749999999999</v>
      </c>
      <c r="U194" s="17">
        <f t="shared" si="12"/>
        <v>2</v>
      </c>
      <c r="V194" s="18" t="s">
        <v>2</v>
      </c>
      <c r="W194" s="18">
        <v>0.96405589999999997</v>
      </c>
      <c r="X194" s="18">
        <v>0.1604015</v>
      </c>
      <c r="Y194" s="17">
        <f t="shared" si="13"/>
        <v>2</v>
      </c>
      <c r="Z194" s="18"/>
      <c r="AA194" s="18"/>
      <c r="AB194" s="18"/>
      <c r="AC194" s="18"/>
      <c r="AD194" s="18"/>
      <c r="AE194" s="18"/>
      <c r="AF194" s="18"/>
      <c r="AG194" s="18"/>
    </row>
    <row r="195" spans="1:33" x14ac:dyDescent="0.3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>
        <v>0.97248440000000003</v>
      </c>
      <c r="T195" s="18">
        <v>0.14421129999999999</v>
      </c>
      <c r="U195" s="17">
        <f t="shared" ref="U195:U200" si="14">IF($AJ$4, T195, 2)</f>
        <v>2</v>
      </c>
      <c r="V195" s="18" t="s">
        <v>2</v>
      </c>
      <c r="W195" s="18">
        <v>0.97248440000000003</v>
      </c>
      <c r="X195" s="18">
        <v>0.1797851</v>
      </c>
      <c r="Y195" s="17">
        <f t="shared" ref="Y195:Y200" si="15">IF($AJ$4, X195, 2)</f>
        <v>2</v>
      </c>
      <c r="Z195" s="18"/>
      <c r="AA195" s="18"/>
      <c r="AB195" s="18"/>
      <c r="AC195" s="18"/>
      <c r="AD195" s="18"/>
      <c r="AE195" s="18"/>
      <c r="AF195" s="18"/>
      <c r="AG195" s="18"/>
    </row>
    <row r="196" spans="1:33" x14ac:dyDescent="0.3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>
        <v>0.98018839999999996</v>
      </c>
      <c r="T196" s="18">
        <v>0.15982740000000001</v>
      </c>
      <c r="U196" s="17">
        <f t="shared" si="14"/>
        <v>2</v>
      </c>
      <c r="V196" s="18" t="s">
        <v>2</v>
      </c>
      <c r="W196" s="18">
        <v>0.98018839999999996</v>
      </c>
      <c r="X196" s="18">
        <v>0.2026868</v>
      </c>
      <c r="Y196" s="17">
        <f t="shared" si="15"/>
        <v>2</v>
      </c>
      <c r="Z196" s="18"/>
      <c r="AA196" s="18"/>
      <c r="AB196" s="18"/>
      <c r="AC196" s="18"/>
      <c r="AD196" s="18"/>
      <c r="AE196" s="18"/>
      <c r="AF196" s="18"/>
      <c r="AG196" s="18"/>
    </row>
    <row r="197" spans="1:33" x14ac:dyDescent="0.3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>
        <v>0.98705209999999999</v>
      </c>
      <c r="T197" s="18">
        <v>0.17742450000000001</v>
      </c>
      <c r="U197" s="17">
        <f t="shared" si="14"/>
        <v>2</v>
      </c>
      <c r="V197" s="18" t="s">
        <v>2</v>
      </c>
      <c r="W197" s="18">
        <v>0.98705209999999999</v>
      </c>
      <c r="X197" s="18">
        <v>0.23071140000000001</v>
      </c>
      <c r="Y197" s="17">
        <f t="shared" si="15"/>
        <v>2</v>
      </c>
      <c r="Z197" s="18"/>
      <c r="AA197" s="18"/>
      <c r="AB197" s="18"/>
      <c r="AC197" s="18"/>
      <c r="AD197" s="18"/>
      <c r="AE197" s="18"/>
      <c r="AF197" s="18"/>
      <c r="AG197" s="18"/>
    </row>
    <row r="198" spans="1:33" x14ac:dyDescent="0.3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>
        <v>0.99290849999999997</v>
      </c>
      <c r="T198" s="18">
        <v>0.19632759999999999</v>
      </c>
      <c r="U198" s="17">
        <f t="shared" si="14"/>
        <v>2</v>
      </c>
      <c r="V198" s="18" t="s">
        <v>2</v>
      </c>
      <c r="W198" s="18">
        <v>0.99290849999999997</v>
      </c>
      <c r="X198" s="18">
        <v>0.26760420000000001</v>
      </c>
      <c r="Y198" s="17">
        <f t="shared" si="15"/>
        <v>2</v>
      </c>
      <c r="Z198" s="18"/>
      <c r="AA198" s="18"/>
      <c r="AB198" s="18"/>
      <c r="AC198" s="18"/>
      <c r="AD198" s="18"/>
      <c r="AE198" s="18"/>
      <c r="AF198" s="18"/>
      <c r="AG198" s="18"/>
    </row>
    <row r="199" spans="1:33" x14ac:dyDescent="0.3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>
        <v>0.99747739999999996</v>
      </c>
      <c r="T199" s="18">
        <v>0.216645</v>
      </c>
      <c r="U199" s="17">
        <f t="shared" si="14"/>
        <v>2</v>
      </c>
      <c r="V199" s="18" t="s">
        <v>2</v>
      </c>
      <c r="W199" s="18">
        <v>0.99747739999999996</v>
      </c>
      <c r="X199" s="18">
        <v>0.31823099999999999</v>
      </c>
      <c r="Y199" s="17">
        <f t="shared" si="15"/>
        <v>2</v>
      </c>
      <c r="Z199" s="18"/>
      <c r="AA199" s="18"/>
      <c r="AB199" s="18"/>
      <c r="AC199" s="18"/>
      <c r="AD199" s="18"/>
      <c r="AE199" s="18"/>
      <c r="AF199" s="18"/>
      <c r="AG199" s="18"/>
    </row>
    <row r="200" spans="1:33" x14ac:dyDescent="0.3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>
        <v>1</v>
      </c>
      <c r="T200" s="18">
        <v>0.21598059999999999</v>
      </c>
      <c r="U200" s="17">
        <f t="shared" si="14"/>
        <v>2</v>
      </c>
      <c r="V200" s="18" t="s">
        <v>2</v>
      </c>
      <c r="W200" s="18">
        <v>1</v>
      </c>
      <c r="X200" s="18">
        <v>0.42589349999999998</v>
      </c>
      <c r="Y200" s="17">
        <f t="shared" si="15"/>
        <v>2</v>
      </c>
      <c r="Z200" s="18"/>
      <c r="AA200" s="18"/>
      <c r="AB200" s="18"/>
      <c r="AC200" s="18"/>
      <c r="AD200" s="18"/>
      <c r="AE200" s="18"/>
      <c r="AF200" s="18"/>
      <c r="AG200" s="18"/>
    </row>
  </sheetData>
  <sheetProtection algorithmName="SHA-512" hashValue="z0vVbPvwE8zMUDUIrms94IAj39xtTDIQc4mGXfjGfGan8kcUK2icpPKutOH6AEp2qWGVzuD57M8wXBqb9yYusQ==" saltValue="1Usv2GgOGpehb8duryavv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17DEE-E3EE-4203-9B57-331F4D8EC86F}">
  <sheetPr codeName="Sheet11"/>
  <dimension ref="O1:P4"/>
  <sheetViews>
    <sheetView showGridLines="0" showRowColHeaders="0" zoomScale="120" zoomScaleNormal="120" workbookViewId="0">
      <selection activeCell="Q17" sqref="Q17"/>
    </sheetView>
  </sheetViews>
  <sheetFormatPr defaultRowHeight="14.4" x14ac:dyDescent="0.3"/>
  <cols>
    <col min="14" max="14" width="10.44140625" customWidth="1"/>
    <col min="15" max="15" width="14.44140625" customWidth="1"/>
    <col min="16" max="16" width="15.77734375" customWidth="1"/>
    <col min="17" max="17" width="12.77734375" customWidth="1"/>
  </cols>
  <sheetData>
    <row r="1" spans="15:16" ht="12.6" customHeight="1" x14ac:dyDescent="0.3">
      <c r="P1" s="4"/>
    </row>
    <row r="2" spans="15:16" ht="90" customHeight="1" x14ac:dyDescent="0.3">
      <c r="O2" s="5"/>
      <c r="P2" s="7"/>
    </row>
    <row r="3" spans="15:16" ht="4.95" customHeight="1" x14ac:dyDescent="0.3">
      <c r="P3" s="6"/>
    </row>
    <row r="4" spans="15:16" ht="24" customHeight="1" x14ac:dyDescent="0.3">
      <c r="O4" s="5"/>
      <c r="P4" s="7"/>
    </row>
  </sheetData>
  <sheetProtection algorithmName="SHA-512" hashValue="liN/kHr+scw57scPRedmZp4gVZliHakyMoJBbT/bAbqsdmVhCNBok2RCYx6qbLOU6giw2MhtvEZEbN29FbO8pw==" saltValue="jfffXaEX1+Ou/ZVDv2KidQ==" spinCount="100000"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3" name="Check Box 6">
              <controlPr defaultSize="0" autoFill="0" autoLine="0" autoPict="0">
                <anchor moveWithCells="1">
                  <from>
                    <xdr:col>15</xdr:col>
                    <xdr:colOff>99060</xdr:colOff>
                    <xdr:row>1</xdr:row>
                    <xdr:rowOff>99060</xdr:rowOff>
                  </from>
                  <to>
                    <xdr:col>15</xdr:col>
                    <xdr:colOff>792480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4" name="Check Box 7">
              <controlPr defaultSize="0" autoFill="0" autoLine="0" autoPict="0">
                <anchor moveWithCells="1">
                  <from>
                    <xdr:col>15</xdr:col>
                    <xdr:colOff>99060</xdr:colOff>
                    <xdr:row>1</xdr:row>
                    <xdr:rowOff>335280</xdr:rowOff>
                  </from>
                  <to>
                    <xdr:col>15</xdr:col>
                    <xdr:colOff>868680</xdr:colOff>
                    <xdr:row>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5" name="Check Box 8">
              <controlPr defaultSize="0" autoFill="0" autoLine="0" autoPict="0">
                <anchor moveWithCells="1">
                  <from>
                    <xdr:col>15</xdr:col>
                    <xdr:colOff>91440</xdr:colOff>
                    <xdr:row>1</xdr:row>
                    <xdr:rowOff>579120</xdr:rowOff>
                  </from>
                  <to>
                    <xdr:col>15</xdr:col>
                    <xdr:colOff>906780</xdr:colOff>
                    <xdr:row>1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6" name="Check Box 9">
              <controlPr defaultSize="0" autoFill="0" autoLine="0" autoPict="0">
                <anchor moveWithCells="1">
                  <from>
                    <xdr:col>15</xdr:col>
                    <xdr:colOff>91440</xdr:colOff>
                    <xdr:row>1</xdr:row>
                    <xdr:rowOff>815340</xdr:rowOff>
                  </from>
                  <to>
                    <xdr:col>15</xdr:col>
                    <xdr:colOff>990600</xdr:colOff>
                    <xdr:row>1</xdr:row>
                    <xdr:rowOff>1051560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7" name="Check Box 10">
              <controlPr defaultSize="0" autoFill="0" autoLine="0" autoPict="0" macro="[0]!cp_grid.ToggleGridlinesAndLabels">
                <anchor moveWithCells="1">
                  <from>
                    <xdr:col>15</xdr:col>
                    <xdr:colOff>91440</xdr:colOff>
                    <xdr:row>3</xdr:row>
                    <xdr:rowOff>45720</xdr:rowOff>
                  </from>
                  <to>
                    <xdr:col>15</xdr:col>
                    <xdr:colOff>998220</xdr:colOff>
                    <xdr:row>3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Start_page</vt:lpstr>
      <vt:lpstr>cl_data</vt:lpstr>
      <vt:lpstr>cl_plot</vt:lpstr>
      <vt:lpstr>cm_data</vt:lpstr>
      <vt:lpstr>cm_plot</vt:lpstr>
      <vt:lpstr>dragpolar_data</vt:lpstr>
      <vt:lpstr>dragpolar_plot</vt:lpstr>
      <vt:lpstr>liftdragratio_data</vt:lpstr>
      <vt:lpstr>liftdragratio_plot</vt:lpstr>
      <vt:lpstr>cp_data</vt:lpstr>
      <vt:lpstr>cp_plot</vt:lpstr>
      <vt:lpstr>Start_page!Print_Area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Nghĩa Trần</dc:creator>
  <cp:lastModifiedBy>Trung Nghĩa Trần</cp:lastModifiedBy>
  <dcterms:created xsi:type="dcterms:W3CDTF">2026-04-27T03:49:49Z</dcterms:created>
  <dcterms:modified xsi:type="dcterms:W3CDTF">2026-05-08T04:09:22Z</dcterms:modified>
</cp:coreProperties>
</file>